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/>
  <bookViews>
    <workbookView xWindow="120" yWindow="45" windowWidth="12120" windowHeight="7815" tabRatio="229" activeTab="1"/>
  </bookViews>
  <sheets>
    <sheet name="Calender" sheetId="4" r:id="rId1"/>
    <sheet name="sales per week" sheetId="1" r:id="rId2"/>
  </sheets>
  <calcPr calcId="124519"/>
</workbook>
</file>

<file path=xl/calcChain.xml><?xml version="1.0" encoding="utf-8"?>
<calcChain xmlns="http://schemas.openxmlformats.org/spreadsheetml/2006/main">
  <c r="W5" i="1"/>
  <c r="X1056"/>
  <c r="X1057"/>
  <c r="X1058"/>
  <c r="X1059"/>
  <c r="X1060"/>
  <c r="X1061"/>
  <c r="X1062"/>
  <c r="X1063"/>
  <c r="X1064"/>
  <c r="X1065"/>
  <c r="X1066"/>
  <c r="X1067"/>
  <c r="X1068"/>
  <c r="X1069"/>
  <c r="X1070"/>
  <c r="X1071"/>
  <c r="X1072"/>
  <c r="X1073"/>
  <c r="X1074"/>
  <c r="X1075"/>
  <c r="X1076"/>
  <c r="X1077"/>
  <c r="X1078"/>
  <c r="X1079"/>
  <c r="X1080"/>
  <c r="X1081"/>
  <c r="X1082"/>
  <c r="X1083"/>
  <c r="X1084"/>
  <c r="X1085"/>
  <c r="X1086"/>
  <c r="X1087"/>
  <c r="X1088"/>
  <c r="X1089"/>
  <c r="X1090"/>
  <c r="X1091"/>
  <c r="X1092"/>
  <c r="X1093"/>
  <c r="X1094"/>
  <c r="X1095"/>
  <c r="X1096"/>
  <c r="X1097"/>
  <c r="X1098"/>
  <c r="X1099"/>
  <c r="X1100"/>
  <c r="X1101"/>
  <c r="X1102"/>
  <c r="X1103"/>
  <c r="X1104"/>
  <c r="X1105"/>
  <c r="X1106"/>
  <c r="X1107"/>
  <c r="X1108"/>
  <c r="X1109"/>
  <c r="X1110"/>
  <c r="X1111"/>
  <c r="X1112"/>
  <c r="X1113"/>
  <c r="X1114"/>
  <c r="X1115"/>
  <c r="X1116"/>
  <c r="X1117"/>
  <c r="X1118"/>
  <c r="X1119"/>
  <c r="X1120"/>
  <c r="X1121"/>
  <c r="X1122"/>
  <c r="X1123"/>
  <c r="X1124"/>
  <c r="X1125"/>
  <c r="X1126"/>
  <c r="X1127"/>
  <c r="X1128"/>
  <c r="X1129"/>
  <c r="X1130"/>
  <c r="X1131"/>
  <c r="X1132"/>
  <c r="X1133"/>
  <c r="X1134"/>
  <c r="X1135"/>
  <c r="X1136"/>
  <c r="X1137"/>
  <c r="X1138"/>
  <c r="X1139"/>
  <c r="X1140"/>
  <c r="X1141"/>
  <c r="X1142"/>
  <c r="X1143"/>
  <c r="X1144"/>
  <c r="X1145"/>
  <c r="X1146"/>
  <c r="X1147"/>
  <c r="X1148"/>
  <c r="X1149"/>
  <c r="X1150"/>
  <c r="X1151"/>
  <c r="X1152"/>
  <c r="X1153"/>
  <c r="X1154"/>
  <c r="X1155"/>
  <c r="X1156"/>
  <c r="X1157"/>
  <c r="X1158"/>
  <c r="X1159"/>
  <c r="X1160"/>
  <c r="X1161"/>
  <c r="X1162"/>
  <c r="X1163"/>
  <c r="X1164"/>
  <c r="X1165"/>
  <c r="X1166"/>
  <c r="X1167"/>
  <c r="X1168"/>
  <c r="X1169"/>
  <c r="X1170"/>
  <c r="X1171"/>
  <c r="X1172"/>
  <c r="X1173"/>
  <c r="X1174"/>
  <c r="X1175"/>
  <c r="X1176"/>
  <c r="X1177"/>
  <c r="X1178"/>
  <c r="X1179"/>
  <c r="X1180"/>
  <c r="X1181"/>
  <c r="X1182"/>
  <c r="X1183"/>
  <c r="X1184"/>
  <c r="X1185"/>
  <c r="X1186"/>
  <c r="X1187"/>
  <c r="X1188"/>
  <c r="X1189"/>
  <c r="X1190"/>
  <c r="X1191"/>
  <c r="X1192"/>
  <c r="X1193"/>
  <c r="X1194"/>
  <c r="X1195"/>
  <c r="X1196"/>
  <c r="X1197"/>
  <c r="X1198"/>
  <c r="X1199"/>
  <c r="X1200"/>
  <c r="X1201"/>
  <c r="X1202"/>
  <c r="X1203"/>
  <c r="X1204"/>
  <c r="X1205"/>
  <c r="X1206"/>
  <c r="X1207"/>
  <c r="X1208"/>
  <c r="X1209"/>
  <c r="X1210"/>
  <c r="X1211"/>
  <c r="X1212"/>
  <c r="X1213"/>
  <c r="X1214"/>
  <c r="X1215"/>
  <c r="X1216"/>
  <c r="X1217"/>
  <c r="X1218"/>
  <c r="X1219"/>
  <c r="X1220"/>
  <c r="X1221"/>
  <c r="X1222"/>
  <c r="X1223"/>
  <c r="X1224"/>
  <c r="X1225"/>
  <c r="X1226"/>
  <c r="X1227"/>
  <c r="X1228"/>
  <c r="X1229"/>
  <c r="X1230"/>
  <c r="X1231"/>
  <c r="X1232"/>
  <c r="X1233"/>
  <c r="X1234"/>
  <c r="X1235"/>
  <c r="X1236"/>
  <c r="X1237"/>
  <c r="X1238"/>
  <c r="X1239"/>
  <c r="X1240"/>
  <c r="X1241"/>
  <c r="X1242"/>
  <c r="X1243"/>
  <c r="X1244"/>
  <c r="X1245"/>
  <c r="X1246"/>
  <c r="X1247"/>
  <c r="X1248"/>
  <c r="X1249"/>
  <c r="X1250"/>
  <c r="X1251"/>
  <c r="X1252"/>
  <c r="X1253"/>
  <c r="X1254"/>
  <c r="X1255"/>
  <c r="X1256"/>
  <c r="X1257"/>
  <c r="X1258"/>
  <c r="X1259"/>
  <c r="X1260"/>
  <c r="X1261"/>
  <c r="X1262"/>
  <c r="X1263"/>
  <c r="X1264"/>
  <c r="X1265"/>
  <c r="X1266"/>
  <c r="X1267"/>
  <c r="X1268"/>
  <c r="X1269"/>
  <c r="X1270"/>
  <c r="X1271"/>
  <c r="X1272"/>
  <c r="X1273"/>
  <c r="X1274"/>
  <c r="X1275"/>
  <c r="X1276"/>
  <c r="X1277"/>
  <c r="X1278"/>
  <c r="X1279"/>
  <c r="X1280"/>
  <c r="X1281"/>
  <c r="X1282"/>
  <c r="X1283"/>
  <c r="X1284"/>
  <c r="X1285"/>
  <c r="X1286"/>
  <c r="X1287"/>
  <c r="X1288"/>
  <c r="X1289"/>
  <c r="X1290"/>
  <c r="X1291"/>
  <c r="X1292"/>
  <c r="X1293"/>
  <c r="X1294"/>
  <c r="X1295"/>
  <c r="X1296"/>
  <c r="X1297"/>
  <c r="X1298"/>
  <c r="X1299"/>
  <c r="X1300"/>
  <c r="X1301"/>
  <c r="X1302"/>
  <c r="X1303"/>
  <c r="X1304"/>
  <c r="X1305"/>
  <c r="X1306"/>
  <c r="X1307"/>
  <c r="X1308"/>
  <c r="X1309"/>
  <c r="X1310"/>
  <c r="X1311"/>
  <c r="X1312"/>
  <c r="X1313"/>
  <c r="X1314"/>
  <c r="X1315"/>
  <c r="X1316"/>
  <c r="X1317"/>
  <c r="X1318"/>
  <c r="X1319"/>
  <c r="X1320"/>
  <c r="X1321"/>
  <c r="X1322"/>
  <c r="X1323"/>
  <c r="X1324"/>
  <c r="X1325"/>
  <c r="X1326"/>
  <c r="X1327"/>
  <c r="X1328"/>
  <c r="X1329"/>
  <c r="X1330"/>
  <c r="X1331"/>
  <c r="X1332"/>
  <c r="X1333"/>
  <c r="X1334"/>
  <c r="X1335"/>
  <c r="X1336"/>
  <c r="X1337"/>
  <c r="X1338"/>
  <c r="X1339"/>
  <c r="X1340"/>
  <c r="X1341"/>
  <c r="X1342"/>
  <c r="X1343"/>
  <c r="X1344"/>
  <c r="X1345"/>
  <c r="X1346"/>
  <c r="X1347"/>
  <c r="X1348"/>
  <c r="X1349"/>
  <c r="X1350"/>
  <c r="X1351"/>
  <c r="X1352"/>
  <c r="X1353"/>
  <c r="X1354"/>
  <c r="X1355"/>
  <c r="X1356"/>
  <c r="X1357"/>
  <c r="X1358"/>
  <c r="X1359"/>
  <c r="X1360"/>
  <c r="X1361"/>
  <c r="X1362"/>
  <c r="X1363"/>
  <c r="X1364"/>
  <c r="X1365"/>
  <c r="X1366"/>
  <c r="X1367"/>
  <c r="X1368"/>
  <c r="X1369"/>
  <c r="X1370"/>
  <c r="X1371"/>
  <c r="X1372"/>
  <c r="X1373"/>
  <c r="X1374"/>
  <c r="X1375"/>
  <c r="X1376"/>
  <c r="X1377"/>
  <c r="X1378"/>
  <c r="X1379"/>
  <c r="X1380"/>
  <c r="X1381"/>
  <c r="X1382"/>
  <c r="X1383"/>
  <c r="X1384"/>
  <c r="X1385"/>
  <c r="X1386"/>
  <c r="X1387"/>
  <c r="X1388"/>
  <c r="X1389"/>
  <c r="X1390"/>
  <c r="X1391"/>
  <c r="X1392"/>
  <c r="X1393"/>
  <c r="X1394"/>
  <c r="X1395"/>
  <c r="O8"/>
  <c r="X8" s="1"/>
  <c r="O9"/>
  <c r="X9" s="1"/>
  <c r="O10"/>
  <c r="X10" s="1"/>
  <c r="O11"/>
  <c r="X11" s="1"/>
  <c r="O12"/>
  <c r="X12" s="1"/>
  <c r="O13"/>
  <c r="X13" s="1"/>
  <c r="O14"/>
  <c r="X14" s="1"/>
  <c r="O15"/>
  <c r="X15" s="1"/>
  <c r="O16"/>
  <c r="X16" s="1"/>
  <c r="O17"/>
  <c r="X17" s="1"/>
  <c r="O18"/>
  <c r="X18" s="1"/>
  <c r="O19"/>
  <c r="X19" s="1"/>
  <c r="O20"/>
  <c r="X20" s="1"/>
  <c r="O21"/>
  <c r="X21" s="1"/>
  <c r="O22"/>
  <c r="X22" s="1"/>
  <c r="O23"/>
  <c r="X23" s="1"/>
  <c r="O24"/>
  <c r="X24" s="1"/>
  <c r="O25"/>
  <c r="X25" s="1"/>
  <c r="O26"/>
  <c r="X26" s="1"/>
  <c r="O27"/>
  <c r="X27" s="1"/>
  <c r="O28"/>
  <c r="X28" s="1"/>
  <c r="O29"/>
  <c r="X29" s="1"/>
  <c r="O30"/>
  <c r="X30" s="1"/>
  <c r="O31"/>
  <c r="X31" s="1"/>
  <c r="O32"/>
  <c r="X32" s="1"/>
  <c r="O33"/>
  <c r="X33" s="1"/>
  <c r="O34"/>
  <c r="X34" s="1"/>
  <c r="O35"/>
  <c r="X35" s="1"/>
  <c r="O36"/>
  <c r="X36" s="1"/>
  <c r="O37"/>
  <c r="X37" s="1"/>
  <c r="O38"/>
  <c r="X38" s="1"/>
  <c r="O39"/>
  <c r="X39" s="1"/>
  <c r="O40"/>
  <c r="X40" s="1"/>
  <c r="O41"/>
  <c r="X41" s="1"/>
  <c r="O42"/>
  <c r="X42" s="1"/>
  <c r="O43"/>
  <c r="X43" s="1"/>
  <c r="O44"/>
  <c r="X44" s="1"/>
  <c r="O45"/>
  <c r="X45" s="1"/>
  <c r="O46"/>
  <c r="X46" s="1"/>
  <c r="O47"/>
  <c r="X47" s="1"/>
  <c r="O48"/>
  <c r="X48" s="1"/>
  <c r="O49"/>
  <c r="X49" s="1"/>
  <c r="O50"/>
  <c r="X50" s="1"/>
  <c r="O51"/>
  <c r="X51" s="1"/>
  <c r="O52"/>
  <c r="X52" s="1"/>
  <c r="O53"/>
  <c r="X53" s="1"/>
  <c r="O54"/>
  <c r="X54" s="1"/>
  <c r="O55"/>
  <c r="X55" s="1"/>
  <c r="O56"/>
  <c r="X56" s="1"/>
  <c r="O57"/>
  <c r="X57" s="1"/>
  <c r="O58"/>
  <c r="X58" s="1"/>
  <c r="O59"/>
  <c r="X59" s="1"/>
  <c r="O60"/>
  <c r="X60" s="1"/>
  <c r="O61"/>
  <c r="X61" s="1"/>
  <c r="O62"/>
  <c r="X62" s="1"/>
  <c r="O63"/>
  <c r="X63" s="1"/>
  <c r="O64"/>
  <c r="X64" s="1"/>
  <c r="O65"/>
  <c r="X65" s="1"/>
  <c r="O66"/>
  <c r="X66" s="1"/>
  <c r="O67"/>
  <c r="X67" s="1"/>
  <c r="O68"/>
  <c r="X68" s="1"/>
  <c r="O69"/>
  <c r="X69" s="1"/>
  <c r="O70"/>
  <c r="X70" s="1"/>
  <c r="O71"/>
  <c r="X71" s="1"/>
  <c r="O72"/>
  <c r="X72" s="1"/>
  <c r="O73"/>
  <c r="X73" s="1"/>
  <c r="O74"/>
  <c r="X74" s="1"/>
  <c r="O75"/>
  <c r="X75" s="1"/>
  <c r="O76"/>
  <c r="X76" s="1"/>
  <c r="O77"/>
  <c r="X77" s="1"/>
  <c r="O78"/>
  <c r="X78" s="1"/>
  <c r="O79"/>
  <c r="X79" s="1"/>
  <c r="O80"/>
  <c r="X80" s="1"/>
  <c r="O81"/>
  <c r="X81" s="1"/>
  <c r="O82"/>
  <c r="X82" s="1"/>
  <c r="O83"/>
  <c r="X83" s="1"/>
  <c r="O84"/>
  <c r="X84" s="1"/>
  <c r="O85"/>
  <c r="X85" s="1"/>
  <c r="O86"/>
  <c r="X86" s="1"/>
  <c r="O87"/>
  <c r="X87" s="1"/>
  <c r="O88"/>
  <c r="X88" s="1"/>
  <c r="O89"/>
  <c r="X89" s="1"/>
  <c r="O90"/>
  <c r="X90" s="1"/>
  <c r="O91"/>
  <c r="X91" s="1"/>
  <c r="O92"/>
  <c r="X92" s="1"/>
  <c r="O93"/>
  <c r="X93" s="1"/>
  <c r="O94"/>
  <c r="X94" s="1"/>
  <c r="O95"/>
  <c r="X95" s="1"/>
  <c r="O96"/>
  <c r="X96" s="1"/>
  <c r="O97"/>
  <c r="X97" s="1"/>
  <c r="O98"/>
  <c r="X98" s="1"/>
  <c r="O99"/>
  <c r="X99" s="1"/>
  <c r="O100"/>
  <c r="X100" s="1"/>
  <c r="O101"/>
  <c r="X101" s="1"/>
  <c r="O102"/>
  <c r="X102" s="1"/>
  <c r="O103"/>
  <c r="X103" s="1"/>
  <c r="O104"/>
  <c r="X104" s="1"/>
  <c r="O105"/>
  <c r="X105" s="1"/>
  <c r="O106"/>
  <c r="X106" s="1"/>
  <c r="O107"/>
  <c r="X107" s="1"/>
  <c r="O108"/>
  <c r="X108" s="1"/>
  <c r="O109"/>
  <c r="X109" s="1"/>
  <c r="O110"/>
  <c r="X110" s="1"/>
  <c r="O111"/>
  <c r="X111" s="1"/>
  <c r="O112"/>
  <c r="X112" s="1"/>
  <c r="O113"/>
  <c r="X113" s="1"/>
  <c r="O114"/>
  <c r="X114" s="1"/>
  <c r="O115"/>
  <c r="X115" s="1"/>
  <c r="O116"/>
  <c r="X116" s="1"/>
  <c r="O117"/>
  <c r="X117" s="1"/>
  <c r="O118"/>
  <c r="X118" s="1"/>
  <c r="O119"/>
  <c r="X119" s="1"/>
  <c r="O120"/>
  <c r="X120" s="1"/>
  <c r="O121"/>
  <c r="X121" s="1"/>
  <c r="O122"/>
  <c r="X122" s="1"/>
  <c r="O123"/>
  <c r="X123" s="1"/>
  <c r="O124"/>
  <c r="X124" s="1"/>
  <c r="O125"/>
  <c r="X125" s="1"/>
  <c r="O126"/>
  <c r="X126" s="1"/>
  <c r="O127"/>
  <c r="X127" s="1"/>
  <c r="O128"/>
  <c r="X128" s="1"/>
  <c r="O129"/>
  <c r="X129" s="1"/>
  <c r="O130"/>
  <c r="X130" s="1"/>
  <c r="O131"/>
  <c r="X131" s="1"/>
  <c r="O132"/>
  <c r="X132" s="1"/>
  <c r="O133"/>
  <c r="X133" s="1"/>
  <c r="O134"/>
  <c r="X134" s="1"/>
  <c r="O135"/>
  <c r="X135" s="1"/>
  <c r="O136"/>
  <c r="X136" s="1"/>
  <c r="O137"/>
  <c r="X137" s="1"/>
  <c r="O138"/>
  <c r="X138" s="1"/>
  <c r="O139"/>
  <c r="X139" s="1"/>
  <c r="O140"/>
  <c r="X140" s="1"/>
  <c r="O141"/>
  <c r="X141" s="1"/>
  <c r="O142"/>
  <c r="X142" s="1"/>
  <c r="O143"/>
  <c r="X143" s="1"/>
  <c r="O144"/>
  <c r="X144" s="1"/>
  <c r="O145"/>
  <c r="X145" s="1"/>
  <c r="O146"/>
  <c r="X146" s="1"/>
  <c r="O147"/>
  <c r="X147" s="1"/>
  <c r="O148"/>
  <c r="X148" s="1"/>
  <c r="O149"/>
  <c r="X149" s="1"/>
  <c r="O150"/>
  <c r="X150" s="1"/>
  <c r="O151"/>
  <c r="X151" s="1"/>
  <c r="O152"/>
  <c r="X152" s="1"/>
  <c r="O153"/>
  <c r="X153" s="1"/>
  <c r="O154"/>
  <c r="X154" s="1"/>
  <c r="O155"/>
  <c r="X155" s="1"/>
  <c r="O156"/>
  <c r="X156" s="1"/>
  <c r="O157"/>
  <c r="X157" s="1"/>
  <c r="O158"/>
  <c r="X158" s="1"/>
  <c r="O159"/>
  <c r="X159" s="1"/>
  <c r="O160"/>
  <c r="X160" s="1"/>
  <c r="O161"/>
  <c r="X161" s="1"/>
  <c r="O162"/>
  <c r="X162" s="1"/>
  <c r="O163"/>
  <c r="X163" s="1"/>
  <c r="O164"/>
  <c r="X164" s="1"/>
  <c r="O165"/>
  <c r="X165" s="1"/>
  <c r="O166"/>
  <c r="X166" s="1"/>
  <c r="O167"/>
  <c r="X167" s="1"/>
  <c r="O168"/>
  <c r="X168" s="1"/>
  <c r="O169"/>
  <c r="X169" s="1"/>
  <c r="O170"/>
  <c r="X170" s="1"/>
  <c r="O171"/>
  <c r="X171" s="1"/>
  <c r="O172"/>
  <c r="X172" s="1"/>
  <c r="O173"/>
  <c r="X173" s="1"/>
  <c r="O174"/>
  <c r="X174" s="1"/>
  <c r="O175"/>
  <c r="X175" s="1"/>
  <c r="O176"/>
  <c r="X176" s="1"/>
  <c r="O177"/>
  <c r="X177" s="1"/>
  <c r="O178"/>
  <c r="X178" s="1"/>
  <c r="O179"/>
  <c r="X179" s="1"/>
  <c r="O180"/>
  <c r="X180" s="1"/>
  <c r="O181"/>
  <c r="X181" s="1"/>
  <c r="O182"/>
  <c r="X182" s="1"/>
  <c r="O183"/>
  <c r="X183" s="1"/>
  <c r="O184"/>
  <c r="X184" s="1"/>
  <c r="O185"/>
  <c r="X185" s="1"/>
  <c r="O186"/>
  <c r="X186" s="1"/>
  <c r="O187"/>
  <c r="X187" s="1"/>
  <c r="O188"/>
  <c r="X188" s="1"/>
  <c r="O189"/>
  <c r="X189" s="1"/>
  <c r="O190"/>
  <c r="X190" s="1"/>
  <c r="O191"/>
  <c r="X191" s="1"/>
  <c r="O192"/>
  <c r="X192" s="1"/>
  <c r="O193"/>
  <c r="X193" s="1"/>
  <c r="O194"/>
  <c r="X194" s="1"/>
  <c r="O195"/>
  <c r="X195" s="1"/>
  <c r="O196"/>
  <c r="X196" s="1"/>
  <c r="O197"/>
  <c r="X197" s="1"/>
  <c r="O198"/>
  <c r="X198" s="1"/>
  <c r="O199"/>
  <c r="X199" s="1"/>
  <c r="O200"/>
  <c r="X200" s="1"/>
  <c r="O201"/>
  <c r="X201" s="1"/>
  <c r="O202"/>
  <c r="X202" s="1"/>
  <c r="O203"/>
  <c r="X203" s="1"/>
  <c r="O204"/>
  <c r="X204" s="1"/>
  <c r="O205"/>
  <c r="X205" s="1"/>
  <c r="O206"/>
  <c r="X206" s="1"/>
  <c r="O207"/>
  <c r="X207" s="1"/>
  <c r="O208"/>
  <c r="X208" s="1"/>
  <c r="O209"/>
  <c r="X209" s="1"/>
  <c r="O210"/>
  <c r="X210" s="1"/>
  <c r="O211"/>
  <c r="X211" s="1"/>
  <c r="O212"/>
  <c r="X212" s="1"/>
  <c r="O213"/>
  <c r="X213" s="1"/>
  <c r="O214"/>
  <c r="X214" s="1"/>
  <c r="O215"/>
  <c r="X215" s="1"/>
  <c r="O216"/>
  <c r="X216" s="1"/>
  <c r="O217"/>
  <c r="X217" s="1"/>
  <c r="O218"/>
  <c r="X218" s="1"/>
  <c r="O219"/>
  <c r="X219" s="1"/>
  <c r="O220"/>
  <c r="X220" s="1"/>
  <c r="O221"/>
  <c r="X221" s="1"/>
  <c r="O222"/>
  <c r="X222" s="1"/>
  <c r="O223"/>
  <c r="X223" s="1"/>
  <c r="O224"/>
  <c r="X224" s="1"/>
  <c r="O225"/>
  <c r="X225" s="1"/>
  <c r="O226"/>
  <c r="X226" s="1"/>
  <c r="O227"/>
  <c r="X227" s="1"/>
  <c r="O228"/>
  <c r="X228" s="1"/>
  <c r="O229"/>
  <c r="X229" s="1"/>
  <c r="O230"/>
  <c r="X230" s="1"/>
  <c r="O231"/>
  <c r="X231" s="1"/>
  <c r="O232"/>
  <c r="X232" s="1"/>
  <c r="O233"/>
  <c r="X233" s="1"/>
  <c r="O234"/>
  <c r="X234" s="1"/>
  <c r="O235"/>
  <c r="X235" s="1"/>
  <c r="O236"/>
  <c r="X236" s="1"/>
  <c r="O237"/>
  <c r="X237" s="1"/>
  <c r="O238"/>
  <c r="X238" s="1"/>
  <c r="O239"/>
  <c r="X239" s="1"/>
  <c r="O240"/>
  <c r="X240" s="1"/>
  <c r="O241"/>
  <c r="X241" s="1"/>
  <c r="O242"/>
  <c r="X242" s="1"/>
  <c r="O243"/>
  <c r="X243" s="1"/>
  <c r="O244"/>
  <c r="X244" s="1"/>
  <c r="O245"/>
  <c r="X245" s="1"/>
  <c r="O246"/>
  <c r="X246" s="1"/>
  <c r="O247"/>
  <c r="X247" s="1"/>
  <c r="O248"/>
  <c r="X248" s="1"/>
  <c r="O249"/>
  <c r="X249" s="1"/>
  <c r="O250"/>
  <c r="X250" s="1"/>
  <c r="O251"/>
  <c r="X251" s="1"/>
  <c r="O252"/>
  <c r="X252" s="1"/>
  <c r="O253"/>
  <c r="X253" s="1"/>
  <c r="O254"/>
  <c r="X254" s="1"/>
  <c r="O255"/>
  <c r="X255" s="1"/>
  <c r="O256"/>
  <c r="X256" s="1"/>
  <c r="O257"/>
  <c r="X257" s="1"/>
  <c r="O258"/>
  <c r="X258" s="1"/>
  <c r="O259"/>
  <c r="X259" s="1"/>
  <c r="O260"/>
  <c r="X260" s="1"/>
  <c r="O261"/>
  <c r="X261" s="1"/>
  <c r="O262"/>
  <c r="X262" s="1"/>
  <c r="O263"/>
  <c r="X263" s="1"/>
  <c r="O264"/>
  <c r="X264" s="1"/>
  <c r="O265"/>
  <c r="X265" s="1"/>
  <c r="O266"/>
  <c r="X266" s="1"/>
  <c r="O267"/>
  <c r="X267" s="1"/>
  <c r="O268"/>
  <c r="X268" s="1"/>
  <c r="O269"/>
  <c r="X269" s="1"/>
  <c r="O270"/>
  <c r="X270" s="1"/>
  <c r="O271"/>
  <c r="X271" s="1"/>
  <c r="O272"/>
  <c r="X272" s="1"/>
  <c r="O273"/>
  <c r="X273" s="1"/>
  <c r="O274"/>
  <c r="X274" s="1"/>
  <c r="O275"/>
  <c r="X275" s="1"/>
  <c r="O276"/>
  <c r="X276" s="1"/>
  <c r="O277"/>
  <c r="X277" s="1"/>
  <c r="O278"/>
  <c r="X278" s="1"/>
  <c r="O279"/>
  <c r="X279" s="1"/>
  <c r="O280"/>
  <c r="X280" s="1"/>
  <c r="O281"/>
  <c r="X281" s="1"/>
  <c r="O282"/>
  <c r="X282" s="1"/>
  <c r="O283"/>
  <c r="X283" s="1"/>
  <c r="O284"/>
  <c r="X284" s="1"/>
  <c r="O285"/>
  <c r="X285" s="1"/>
  <c r="O286"/>
  <c r="X286" s="1"/>
  <c r="O287"/>
  <c r="X287" s="1"/>
  <c r="O288"/>
  <c r="X288" s="1"/>
  <c r="O289"/>
  <c r="X289" s="1"/>
  <c r="O290"/>
  <c r="X290" s="1"/>
  <c r="O291"/>
  <c r="X291" s="1"/>
  <c r="O292"/>
  <c r="X292" s="1"/>
  <c r="O293"/>
  <c r="X293" s="1"/>
  <c r="O294"/>
  <c r="X294" s="1"/>
  <c r="O295"/>
  <c r="X295" s="1"/>
  <c r="O296"/>
  <c r="X296" s="1"/>
  <c r="O297"/>
  <c r="X297" s="1"/>
  <c r="O298"/>
  <c r="X298" s="1"/>
  <c r="O299"/>
  <c r="X299" s="1"/>
  <c r="O300"/>
  <c r="X300" s="1"/>
  <c r="O301"/>
  <c r="X301" s="1"/>
  <c r="O302"/>
  <c r="X302" s="1"/>
  <c r="O303"/>
  <c r="X303" s="1"/>
  <c r="O304"/>
  <c r="X304" s="1"/>
  <c r="O305"/>
  <c r="X305" s="1"/>
  <c r="O306"/>
  <c r="X306" s="1"/>
  <c r="O307"/>
  <c r="X307" s="1"/>
  <c r="O308"/>
  <c r="X308" s="1"/>
  <c r="O309"/>
  <c r="X309" s="1"/>
  <c r="O310"/>
  <c r="X310" s="1"/>
  <c r="O311"/>
  <c r="X311" s="1"/>
  <c r="O312"/>
  <c r="X312" s="1"/>
  <c r="O313"/>
  <c r="X313" s="1"/>
  <c r="O314"/>
  <c r="X314" s="1"/>
  <c r="O315"/>
  <c r="X315" s="1"/>
  <c r="O316"/>
  <c r="X316" s="1"/>
  <c r="O317"/>
  <c r="X317" s="1"/>
  <c r="O318"/>
  <c r="X318" s="1"/>
  <c r="O319"/>
  <c r="X319" s="1"/>
  <c r="O320"/>
  <c r="X320" s="1"/>
  <c r="O321"/>
  <c r="X321" s="1"/>
  <c r="O322"/>
  <c r="X322" s="1"/>
  <c r="O323"/>
  <c r="X323" s="1"/>
  <c r="O324"/>
  <c r="X324" s="1"/>
  <c r="O325"/>
  <c r="X325" s="1"/>
  <c r="O326"/>
  <c r="X326" s="1"/>
  <c r="O327"/>
  <c r="X327" s="1"/>
  <c r="O328"/>
  <c r="X328" s="1"/>
  <c r="O329"/>
  <c r="X329" s="1"/>
  <c r="O330"/>
  <c r="X330" s="1"/>
  <c r="O331"/>
  <c r="X331" s="1"/>
  <c r="O332"/>
  <c r="X332" s="1"/>
  <c r="O333"/>
  <c r="X333" s="1"/>
  <c r="O334"/>
  <c r="X334" s="1"/>
  <c r="O335"/>
  <c r="X335" s="1"/>
  <c r="O336"/>
  <c r="X336" s="1"/>
  <c r="O337"/>
  <c r="X337" s="1"/>
  <c r="O338"/>
  <c r="X338" s="1"/>
  <c r="O339"/>
  <c r="X339" s="1"/>
  <c r="O340"/>
  <c r="X340" s="1"/>
  <c r="O341"/>
  <c r="X341" s="1"/>
  <c r="O342"/>
  <c r="X342" s="1"/>
  <c r="O343"/>
  <c r="X343" s="1"/>
  <c r="O344"/>
  <c r="X344" s="1"/>
  <c r="O345"/>
  <c r="X345" s="1"/>
  <c r="O346"/>
  <c r="X346" s="1"/>
  <c r="O347"/>
  <c r="X347" s="1"/>
  <c r="O348"/>
  <c r="X348" s="1"/>
  <c r="O349"/>
  <c r="X349" s="1"/>
  <c r="O350"/>
  <c r="X350" s="1"/>
  <c r="O351"/>
  <c r="X351" s="1"/>
  <c r="O352"/>
  <c r="X352" s="1"/>
  <c r="O353"/>
  <c r="X353" s="1"/>
  <c r="O354"/>
  <c r="X354" s="1"/>
  <c r="O355"/>
  <c r="X355" s="1"/>
  <c r="O356"/>
  <c r="X356" s="1"/>
  <c r="O357"/>
  <c r="X357" s="1"/>
  <c r="O358"/>
  <c r="X358" s="1"/>
  <c r="O359"/>
  <c r="X359" s="1"/>
  <c r="O360"/>
  <c r="X360" s="1"/>
  <c r="O361"/>
  <c r="X361" s="1"/>
  <c r="O362"/>
  <c r="X362" s="1"/>
  <c r="O363"/>
  <c r="X363" s="1"/>
  <c r="O364"/>
  <c r="X364" s="1"/>
  <c r="O365"/>
  <c r="X365" s="1"/>
  <c r="O366"/>
  <c r="X366" s="1"/>
  <c r="O367"/>
  <c r="X367" s="1"/>
  <c r="O368"/>
  <c r="X368" s="1"/>
  <c r="O369"/>
  <c r="X369" s="1"/>
  <c r="O370"/>
  <c r="X370" s="1"/>
  <c r="O371"/>
  <c r="X371" s="1"/>
  <c r="O372"/>
  <c r="X372" s="1"/>
  <c r="O373"/>
  <c r="X373" s="1"/>
  <c r="O374"/>
  <c r="X374" s="1"/>
  <c r="O375"/>
  <c r="X375" s="1"/>
  <c r="O376"/>
  <c r="X376" s="1"/>
  <c r="O377"/>
  <c r="X377" s="1"/>
  <c r="O378"/>
  <c r="X378" s="1"/>
  <c r="O379"/>
  <c r="X379" s="1"/>
  <c r="O380"/>
  <c r="X380" s="1"/>
  <c r="O381"/>
  <c r="X381" s="1"/>
  <c r="O382"/>
  <c r="X382" s="1"/>
  <c r="O383"/>
  <c r="X383" s="1"/>
  <c r="O384"/>
  <c r="X384" s="1"/>
  <c r="O385"/>
  <c r="X385" s="1"/>
  <c r="O386"/>
  <c r="X386" s="1"/>
  <c r="O387"/>
  <c r="X387" s="1"/>
  <c r="O388"/>
  <c r="X388" s="1"/>
  <c r="O389"/>
  <c r="X389" s="1"/>
  <c r="O390"/>
  <c r="X390" s="1"/>
  <c r="O391"/>
  <c r="X391" s="1"/>
  <c r="O392"/>
  <c r="X392" s="1"/>
  <c r="O393"/>
  <c r="X393" s="1"/>
  <c r="O394"/>
  <c r="X394" s="1"/>
  <c r="O395"/>
  <c r="X395" s="1"/>
  <c r="O396"/>
  <c r="X396" s="1"/>
  <c r="O397"/>
  <c r="X397" s="1"/>
  <c r="O398"/>
  <c r="X398" s="1"/>
  <c r="O399"/>
  <c r="X399" s="1"/>
  <c r="O400"/>
  <c r="X400" s="1"/>
  <c r="O401"/>
  <c r="X401" s="1"/>
  <c r="O402"/>
  <c r="X402" s="1"/>
  <c r="O403"/>
  <c r="X403" s="1"/>
  <c r="O404"/>
  <c r="X404" s="1"/>
  <c r="O405"/>
  <c r="X405" s="1"/>
  <c r="O406"/>
  <c r="X406" s="1"/>
  <c r="O407"/>
  <c r="X407" s="1"/>
  <c r="O408"/>
  <c r="X408" s="1"/>
  <c r="O409"/>
  <c r="X409" s="1"/>
  <c r="O410"/>
  <c r="X410" s="1"/>
  <c r="O411"/>
  <c r="X411" s="1"/>
  <c r="O412"/>
  <c r="X412" s="1"/>
  <c r="O413"/>
  <c r="X413" s="1"/>
  <c r="O414"/>
  <c r="X414" s="1"/>
  <c r="O415"/>
  <c r="X415" s="1"/>
  <c r="O416"/>
  <c r="X416" s="1"/>
  <c r="O417"/>
  <c r="X417" s="1"/>
  <c r="O418"/>
  <c r="X418" s="1"/>
  <c r="O419"/>
  <c r="X419" s="1"/>
  <c r="O420"/>
  <c r="X420" s="1"/>
  <c r="O421"/>
  <c r="X421" s="1"/>
  <c r="O422"/>
  <c r="X422" s="1"/>
  <c r="O423"/>
  <c r="X423" s="1"/>
  <c r="O424"/>
  <c r="X424" s="1"/>
  <c r="O425"/>
  <c r="X425" s="1"/>
  <c r="O426"/>
  <c r="X426" s="1"/>
  <c r="O427"/>
  <c r="X427" s="1"/>
  <c r="O428"/>
  <c r="X428" s="1"/>
  <c r="O429"/>
  <c r="X429" s="1"/>
  <c r="O430"/>
  <c r="X430" s="1"/>
  <c r="O431"/>
  <c r="X431" s="1"/>
  <c r="O432"/>
  <c r="X432" s="1"/>
  <c r="O433"/>
  <c r="X433" s="1"/>
  <c r="O434"/>
  <c r="X434" s="1"/>
  <c r="O435"/>
  <c r="X435" s="1"/>
  <c r="O436"/>
  <c r="X436" s="1"/>
  <c r="O437"/>
  <c r="X437" s="1"/>
  <c r="O438"/>
  <c r="X438" s="1"/>
  <c r="O439"/>
  <c r="X439" s="1"/>
  <c r="O440"/>
  <c r="X440" s="1"/>
  <c r="O441"/>
  <c r="X441" s="1"/>
  <c r="O442"/>
  <c r="X442" s="1"/>
  <c r="O443"/>
  <c r="X443" s="1"/>
  <c r="O444"/>
  <c r="X444" s="1"/>
  <c r="O445"/>
  <c r="X445" s="1"/>
  <c r="O446"/>
  <c r="X446" s="1"/>
  <c r="O447"/>
  <c r="X447" s="1"/>
  <c r="O448"/>
  <c r="X448" s="1"/>
  <c r="O449"/>
  <c r="X449" s="1"/>
  <c r="O450"/>
  <c r="X450" s="1"/>
  <c r="O451"/>
  <c r="X451" s="1"/>
  <c r="O452"/>
  <c r="X452" s="1"/>
  <c r="O453"/>
  <c r="X453" s="1"/>
  <c r="O454"/>
  <c r="X454" s="1"/>
  <c r="O455"/>
  <c r="X455" s="1"/>
  <c r="O456"/>
  <c r="X456" s="1"/>
  <c r="O457"/>
  <c r="X457" s="1"/>
  <c r="O458"/>
  <c r="X458" s="1"/>
  <c r="O459"/>
  <c r="X459" s="1"/>
  <c r="O460"/>
  <c r="X460" s="1"/>
  <c r="O461"/>
  <c r="X461" s="1"/>
  <c r="O462"/>
  <c r="X462" s="1"/>
  <c r="O463"/>
  <c r="X463" s="1"/>
  <c r="O464"/>
  <c r="X464" s="1"/>
  <c r="O465"/>
  <c r="X465" s="1"/>
  <c r="O466"/>
  <c r="X466" s="1"/>
  <c r="O467"/>
  <c r="X467" s="1"/>
  <c r="O468"/>
  <c r="X468" s="1"/>
  <c r="O469"/>
  <c r="X469" s="1"/>
  <c r="O470"/>
  <c r="X470" s="1"/>
  <c r="O471"/>
  <c r="X471" s="1"/>
  <c r="O472"/>
  <c r="X472" s="1"/>
  <c r="O473"/>
  <c r="X473" s="1"/>
  <c r="O474"/>
  <c r="X474" s="1"/>
  <c r="O475"/>
  <c r="X475" s="1"/>
  <c r="O476"/>
  <c r="X476" s="1"/>
  <c r="O477"/>
  <c r="X477" s="1"/>
  <c r="O478"/>
  <c r="X478" s="1"/>
  <c r="O479"/>
  <c r="X479" s="1"/>
  <c r="O480"/>
  <c r="X480" s="1"/>
  <c r="O481"/>
  <c r="X481" s="1"/>
  <c r="O482"/>
  <c r="X482" s="1"/>
  <c r="O483"/>
  <c r="X483" s="1"/>
  <c r="O484"/>
  <c r="X484" s="1"/>
  <c r="O485"/>
  <c r="X485" s="1"/>
  <c r="O486"/>
  <c r="X486" s="1"/>
  <c r="O487"/>
  <c r="X487" s="1"/>
  <c r="O488"/>
  <c r="X488" s="1"/>
  <c r="O489"/>
  <c r="X489" s="1"/>
  <c r="O490"/>
  <c r="X490" s="1"/>
  <c r="O491"/>
  <c r="X491" s="1"/>
  <c r="O492"/>
  <c r="X492" s="1"/>
  <c r="O493"/>
  <c r="X493" s="1"/>
  <c r="O494"/>
  <c r="X494" s="1"/>
  <c r="O495"/>
  <c r="X495" s="1"/>
  <c r="O496"/>
  <c r="X496" s="1"/>
  <c r="O497"/>
  <c r="X497" s="1"/>
  <c r="O498"/>
  <c r="X498" s="1"/>
  <c r="O499"/>
  <c r="X499" s="1"/>
  <c r="O500"/>
  <c r="X500" s="1"/>
  <c r="O501"/>
  <c r="X501" s="1"/>
  <c r="O502"/>
  <c r="X502" s="1"/>
  <c r="O503"/>
  <c r="X503" s="1"/>
  <c r="O504"/>
  <c r="X504" s="1"/>
  <c r="O505"/>
  <c r="X505" s="1"/>
  <c r="O506"/>
  <c r="X506" s="1"/>
  <c r="O507"/>
  <c r="X507" s="1"/>
  <c r="O508"/>
  <c r="X508" s="1"/>
  <c r="O509"/>
  <c r="X509" s="1"/>
  <c r="O510"/>
  <c r="X510" s="1"/>
  <c r="O511"/>
  <c r="X511" s="1"/>
  <c r="O512"/>
  <c r="X512" s="1"/>
  <c r="O513"/>
  <c r="X513" s="1"/>
  <c r="O514"/>
  <c r="X514" s="1"/>
  <c r="O515"/>
  <c r="X515" s="1"/>
  <c r="O516"/>
  <c r="X516" s="1"/>
  <c r="O517"/>
  <c r="X517" s="1"/>
  <c r="O518"/>
  <c r="X518" s="1"/>
  <c r="O519"/>
  <c r="X519" s="1"/>
  <c r="O520"/>
  <c r="X520" s="1"/>
  <c r="O521"/>
  <c r="X521" s="1"/>
  <c r="O522"/>
  <c r="X522" s="1"/>
  <c r="O523"/>
  <c r="X523" s="1"/>
  <c r="O524"/>
  <c r="X524" s="1"/>
  <c r="O525"/>
  <c r="X525" s="1"/>
  <c r="O526"/>
  <c r="X526" s="1"/>
  <c r="O527"/>
  <c r="X527" s="1"/>
  <c r="O528"/>
  <c r="X528" s="1"/>
  <c r="O529"/>
  <c r="X529" s="1"/>
  <c r="O530"/>
  <c r="X530" s="1"/>
  <c r="O531"/>
  <c r="X531" s="1"/>
  <c r="O532"/>
  <c r="X532" s="1"/>
  <c r="O533"/>
  <c r="X533" s="1"/>
  <c r="O534"/>
  <c r="X534" s="1"/>
  <c r="O535"/>
  <c r="X535" s="1"/>
  <c r="O536"/>
  <c r="X536" s="1"/>
  <c r="O537"/>
  <c r="X537" s="1"/>
  <c r="O538"/>
  <c r="X538" s="1"/>
  <c r="O539"/>
  <c r="X539" s="1"/>
  <c r="O540"/>
  <c r="X540" s="1"/>
  <c r="O541"/>
  <c r="X541" s="1"/>
  <c r="O542"/>
  <c r="X542" s="1"/>
  <c r="O543"/>
  <c r="X543" s="1"/>
  <c r="O544"/>
  <c r="X544" s="1"/>
  <c r="O545"/>
  <c r="X545" s="1"/>
  <c r="O546"/>
  <c r="X546" s="1"/>
  <c r="O547"/>
  <c r="X547" s="1"/>
  <c r="O548"/>
  <c r="X548" s="1"/>
  <c r="O549"/>
  <c r="X549" s="1"/>
  <c r="O550"/>
  <c r="X550" s="1"/>
  <c r="O551"/>
  <c r="X551" s="1"/>
  <c r="O552"/>
  <c r="X552" s="1"/>
  <c r="O553"/>
  <c r="X553" s="1"/>
  <c r="O554"/>
  <c r="X554" s="1"/>
  <c r="O555"/>
  <c r="X555" s="1"/>
  <c r="O556"/>
  <c r="X556" s="1"/>
  <c r="O557"/>
  <c r="X557" s="1"/>
  <c r="O558"/>
  <c r="X558" s="1"/>
  <c r="O559"/>
  <c r="X559" s="1"/>
  <c r="O560"/>
  <c r="X560" s="1"/>
  <c r="O561"/>
  <c r="X561" s="1"/>
  <c r="O562"/>
  <c r="X562" s="1"/>
  <c r="O563"/>
  <c r="X563" s="1"/>
  <c r="O564"/>
  <c r="X564" s="1"/>
  <c r="O565"/>
  <c r="X565" s="1"/>
  <c r="O566"/>
  <c r="X566" s="1"/>
  <c r="O567"/>
  <c r="X567" s="1"/>
  <c r="O568"/>
  <c r="X568" s="1"/>
  <c r="O569"/>
  <c r="X569" s="1"/>
  <c r="O570"/>
  <c r="X570" s="1"/>
  <c r="O571"/>
  <c r="X571" s="1"/>
  <c r="O572"/>
  <c r="X572" s="1"/>
  <c r="O573"/>
  <c r="X573" s="1"/>
  <c r="O574"/>
  <c r="X574" s="1"/>
  <c r="O575"/>
  <c r="X575" s="1"/>
  <c r="O576"/>
  <c r="X576" s="1"/>
  <c r="O577"/>
  <c r="X577" s="1"/>
  <c r="O578"/>
  <c r="X578" s="1"/>
  <c r="O579"/>
  <c r="X579" s="1"/>
  <c r="O580"/>
  <c r="X580" s="1"/>
  <c r="O581"/>
  <c r="X581" s="1"/>
  <c r="O582"/>
  <c r="X582" s="1"/>
  <c r="O583"/>
  <c r="X583" s="1"/>
  <c r="O584"/>
  <c r="X584" s="1"/>
  <c r="O585"/>
  <c r="X585" s="1"/>
  <c r="O586"/>
  <c r="X586" s="1"/>
  <c r="O587"/>
  <c r="X587" s="1"/>
  <c r="O588"/>
  <c r="X588" s="1"/>
  <c r="O589"/>
  <c r="X589" s="1"/>
  <c r="O590"/>
  <c r="X590" s="1"/>
  <c r="O591"/>
  <c r="X591" s="1"/>
  <c r="O592"/>
  <c r="X592" s="1"/>
  <c r="O593"/>
  <c r="X593" s="1"/>
  <c r="O594"/>
  <c r="X594" s="1"/>
  <c r="O595"/>
  <c r="X595" s="1"/>
  <c r="O596"/>
  <c r="X596" s="1"/>
  <c r="O597"/>
  <c r="X597" s="1"/>
  <c r="O598"/>
  <c r="X598" s="1"/>
  <c r="O599"/>
  <c r="X599" s="1"/>
  <c r="O600"/>
  <c r="X600" s="1"/>
  <c r="O601"/>
  <c r="X601" s="1"/>
  <c r="O602"/>
  <c r="X602" s="1"/>
  <c r="O603"/>
  <c r="X603" s="1"/>
  <c r="O604"/>
  <c r="X604" s="1"/>
  <c r="O605"/>
  <c r="X605" s="1"/>
  <c r="O606"/>
  <c r="X606" s="1"/>
  <c r="O607"/>
  <c r="X607" s="1"/>
  <c r="O608"/>
  <c r="X608" s="1"/>
  <c r="O609"/>
  <c r="X609" s="1"/>
  <c r="O610"/>
  <c r="X610" s="1"/>
  <c r="O611"/>
  <c r="X611" s="1"/>
  <c r="O612"/>
  <c r="X612" s="1"/>
  <c r="O613"/>
  <c r="X613" s="1"/>
  <c r="O614"/>
  <c r="X614" s="1"/>
  <c r="O615"/>
  <c r="X615" s="1"/>
  <c r="O616"/>
  <c r="X616" s="1"/>
  <c r="O617"/>
  <c r="X617" s="1"/>
  <c r="O618"/>
  <c r="X618" s="1"/>
  <c r="O619"/>
  <c r="X619" s="1"/>
  <c r="O620"/>
  <c r="X620" s="1"/>
  <c r="O621"/>
  <c r="X621" s="1"/>
  <c r="O622"/>
  <c r="X622" s="1"/>
  <c r="O623"/>
  <c r="X623" s="1"/>
  <c r="O624"/>
  <c r="X624" s="1"/>
  <c r="O625"/>
  <c r="X625" s="1"/>
  <c r="O626"/>
  <c r="X626" s="1"/>
  <c r="O627"/>
  <c r="X627" s="1"/>
  <c r="O628"/>
  <c r="X628" s="1"/>
  <c r="O629"/>
  <c r="X629" s="1"/>
  <c r="O630"/>
  <c r="X630" s="1"/>
  <c r="O631"/>
  <c r="X631" s="1"/>
  <c r="O632"/>
  <c r="X632" s="1"/>
  <c r="O633"/>
  <c r="X633" s="1"/>
  <c r="O634"/>
  <c r="X634" s="1"/>
  <c r="O635"/>
  <c r="X635" s="1"/>
  <c r="O636"/>
  <c r="X636" s="1"/>
  <c r="O637"/>
  <c r="X637" s="1"/>
  <c r="O638"/>
  <c r="X638" s="1"/>
  <c r="O639"/>
  <c r="X639" s="1"/>
  <c r="O640"/>
  <c r="X640" s="1"/>
  <c r="O641"/>
  <c r="X641" s="1"/>
  <c r="O642"/>
  <c r="X642" s="1"/>
  <c r="O643"/>
  <c r="X643" s="1"/>
  <c r="O644"/>
  <c r="X644" s="1"/>
  <c r="O645"/>
  <c r="X645" s="1"/>
  <c r="O646"/>
  <c r="X646" s="1"/>
  <c r="O647"/>
  <c r="X647" s="1"/>
  <c r="O648"/>
  <c r="X648" s="1"/>
  <c r="O649"/>
  <c r="X649" s="1"/>
  <c r="O650"/>
  <c r="X650" s="1"/>
  <c r="O651"/>
  <c r="X651" s="1"/>
  <c r="O652"/>
  <c r="X652" s="1"/>
  <c r="O653"/>
  <c r="X653" s="1"/>
  <c r="O654"/>
  <c r="X654" s="1"/>
  <c r="O655"/>
  <c r="X655" s="1"/>
  <c r="O656"/>
  <c r="X656" s="1"/>
  <c r="O657"/>
  <c r="X657" s="1"/>
  <c r="O658"/>
  <c r="X658" s="1"/>
  <c r="O659"/>
  <c r="X659" s="1"/>
  <c r="O660"/>
  <c r="X660" s="1"/>
  <c r="O661"/>
  <c r="X661" s="1"/>
  <c r="O662"/>
  <c r="X662" s="1"/>
  <c r="O663"/>
  <c r="X663" s="1"/>
  <c r="O664"/>
  <c r="X664" s="1"/>
  <c r="O665"/>
  <c r="X665" s="1"/>
  <c r="O666"/>
  <c r="X666" s="1"/>
  <c r="O667"/>
  <c r="X667" s="1"/>
  <c r="O668"/>
  <c r="X668" s="1"/>
  <c r="O669"/>
  <c r="X669" s="1"/>
  <c r="O670"/>
  <c r="X670" s="1"/>
  <c r="O671"/>
  <c r="X671" s="1"/>
  <c r="O672"/>
  <c r="X672" s="1"/>
  <c r="O673"/>
  <c r="X673" s="1"/>
  <c r="O674"/>
  <c r="X674" s="1"/>
  <c r="O675"/>
  <c r="X675" s="1"/>
  <c r="O676"/>
  <c r="X676" s="1"/>
  <c r="O677"/>
  <c r="X677" s="1"/>
  <c r="O678"/>
  <c r="X678" s="1"/>
  <c r="O679"/>
  <c r="X679" s="1"/>
  <c r="O680"/>
  <c r="X680" s="1"/>
  <c r="O681"/>
  <c r="X681" s="1"/>
  <c r="O682"/>
  <c r="X682" s="1"/>
  <c r="O683"/>
  <c r="X683" s="1"/>
  <c r="O684"/>
  <c r="X684" s="1"/>
  <c r="O685"/>
  <c r="X685" s="1"/>
  <c r="O686"/>
  <c r="X686" s="1"/>
  <c r="O687"/>
  <c r="X687" s="1"/>
  <c r="O688"/>
  <c r="X688" s="1"/>
  <c r="O689"/>
  <c r="X689" s="1"/>
  <c r="O690"/>
  <c r="X690" s="1"/>
  <c r="O691"/>
  <c r="X691" s="1"/>
  <c r="O692"/>
  <c r="X692" s="1"/>
  <c r="O693"/>
  <c r="X693" s="1"/>
  <c r="O694"/>
  <c r="X694" s="1"/>
  <c r="O695"/>
  <c r="X695" s="1"/>
  <c r="O696"/>
  <c r="X696" s="1"/>
  <c r="O697"/>
  <c r="X697" s="1"/>
  <c r="O698"/>
  <c r="X698" s="1"/>
  <c r="O699"/>
  <c r="X699" s="1"/>
  <c r="O700"/>
  <c r="X700" s="1"/>
  <c r="O701"/>
  <c r="X701" s="1"/>
  <c r="O702"/>
  <c r="X702" s="1"/>
  <c r="O703"/>
  <c r="X703" s="1"/>
  <c r="O704"/>
  <c r="X704" s="1"/>
  <c r="O705"/>
  <c r="X705" s="1"/>
  <c r="O706"/>
  <c r="X706" s="1"/>
  <c r="O707"/>
  <c r="X707" s="1"/>
  <c r="O708"/>
  <c r="X708" s="1"/>
  <c r="O709"/>
  <c r="X709" s="1"/>
  <c r="O710"/>
  <c r="X710" s="1"/>
  <c r="O711"/>
  <c r="X711" s="1"/>
  <c r="O712"/>
  <c r="X712" s="1"/>
  <c r="O713"/>
  <c r="X713" s="1"/>
  <c r="O714"/>
  <c r="X714" s="1"/>
  <c r="O715"/>
  <c r="X715" s="1"/>
  <c r="O716"/>
  <c r="X716" s="1"/>
  <c r="O717"/>
  <c r="X717" s="1"/>
  <c r="O718"/>
  <c r="X718" s="1"/>
  <c r="O719"/>
  <c r="X719" s="1"/>
  <c r="O720"/>
  <c r="X720" s="1"/>
  <c r="O721"/>
  <c r="X721" s="1"/>
  <c r="O722"/>
  <c r="X722" s="1"/>
  <c r="O723"/>
  <c r="X723" s="1"/>
  <c r="O724"/>
  <c r="X724" s="1"/>
  <c r="O725"/>
  <c r="X725" s="1"/>
  <c r="O726"/>
  <c r="X726" s="1"/>
  <c r="O727"/>
  <c r="X727" s="1"/>
  <c r="O728"/>
  <c r="X728" s="1"/>
  <c r="O729"/>
  <c r="X729" s="1"/>
  <c r="O730"/>
  <c r="X730" s="1"/>
  <c r="O731"/>
  <c r="X731" s="1"/>
  <c r="O732"/>
  <c r="X732" s="1"/>
  <c r="O733"/>
  <c r="X733" s="1"/>
  <c r="O734"/>
  <c r="X734" s="1"/>
  <c r="O735"/>
  <c r="X735" s="1"/>
  <c r="O736"/>
  <c r="X736" s="1"/>
  <c r="O737"/>
  <c r="X737" s="1"/>
  <c r="O738"/>
  <c r="X738" s="1"/>
  <c r="O739"/>
  <c r="X739" s="1"/>
  <c r="O740"/>
  <c r="X740" s="1"/>
  <c r="O741"/>
  <c r="X741" s="1"/>
  <c r="O742"/>
  <c r="X742" s="1"/>
  <c r="O743"/>
  <c r="X743" s="1"/>
  <c r="O744"/>
  <c r="X744" s="1"/>
  <c r="O745"/>
  <c r="X745" s="1"/>
  <c r="O746"/>
  <c r="X746" s="1"/>
  <c r="O747"/>
  <c r="X747" s="1"/>
  <c r="O748"/>
  <c r="X748" s="1"/>
  <c r="O749"/>
  <c r="X749" s="1"/>
  <c r="O750"/>
  <c r="X750" s="1"/>
  <c r="O751"/>
  <c r="X751" s="1"/>
  <c r="O752"/>
  <c r="X752" s="1"/>
  <c r="O753"/>
  <c r="X753" s="1"/>
  <c r="O754"/>
  <c r="X754" s="1"/>
  <c r="O755"/>
  <c r="X755" s="1"/>
  <c r="O756"/>
  <c r="X756" s="1"/>
  <c r="O757"/>
  <c r="X757" s="1"/>
  <c r="O758"/>
  <c r="X758" s="1"/>
  <c r="O759"/>
  <c r="X759" s="1"/>
  <c r="O760"/>
  <c r="X760" s="1"/>
  <c r="O761"/>
  <c r="X761" s="1"/>
  <c r="O762"/>
  <c r="X762" s="1"/>
  <c r="O763"/>
  <c r="X763" s="1"/>
  <c r="O764"/>
  <c r="X764" s="1"/>
  <c r="O765"/>
  <c r="X765" s="1"/>
  <c r="O766"/>
  <c r="X766" s="1"/>
  <c r="O767"/>
  <c r="X767" s="1"/>
  <c r="O768"/>
  <c r="X768" s="1"/>
  <c r="O769"/>
  <c r="X769" s="1"/>
  <c r="O770"/>
  <c r="X770" s="1"/>
  <c r="O771"/>
  <c r="X771" s="1"/>
  <c r="O772"/>
  <c r="X772" s="1"/>
  <c r="O773"/>
  <c r="X773" s="1"/>
  <c r="O774"/>
  <c r="X774" s="1"/>
  <c r="O775"/>
  <c r="X775" s="1"/>
  <c r="O776"/>
  <c r="X776" s="1"/>
  <c r="O777"/>
  <c r="X777" s="1"/>
  <c r="O778"/>
  <c r="X778" s="1"/>
  <c r="O779"/>
  <c r="X779" s="1"/>
  <c r="O780"/>
  <c r="X780" s="1"/>
  <c r="O781"/>
  <c r="X781" s="1"/>
  <c r="O782"/>
  <c r="X782" s="1"/>
  <c r="O783"/>
  <c r="X783" s="1"/>
  <c r="O784"/>
  <c r="X784" s="1"/>
  <c r="O785"/>
  <c r="X785" s="1"/>
  <c r="O786"/>
  <c r="X786" s="1"/>
  <c r="O787"/>
  <c r="X787" s="1"/>
  <c r="O788"/>
  <c r="X788" s="1"/>
  <c r="O789"/>
  <c r="X789" s="1"/>
  <c r="O790"/>
  <c r="X790" s="1"/>
  <c r="O791"/>
  <c r="X791" s="1"/>
  <c r="O792"/>
  <c r="X792" s="1"/>
  <c r="O793"/>
  <c r="X793" s="1"/>
  <c r="O794"/>
  <c r="X794" s="1"/>
  <c r="O795"/>
  <c r="X795" s="1"/>
  <c r="O796"/>
  <c r="X796" s="1"/>
  <c r="O797"/>
  <c r="X797" s="1"/>
  <c r="O798"/>
  <c r="X798" s="1"/>
  <c r="O799"/>
  <c r="X799" s="1"/>
  <c r="O800"/>
  <c r="X800" s="1"/>
  <c r="O801"/>
  <c r="X801" s="1"/>
  <c r="O802"/>
  <c r="X802" s="1"/>
  <c r="O803"/>
  <c r="X803" s="1"/>
  <c r="O804"/>
  <c r="X804" s="1"/>
  <c r="O805"/>
  <c r="X805" s="1"/>
  <c r="O806"/>
  <c r="X806" s="1"/>
  <c r="O807"/>
  <c r="X807" s="1"/>
  <c r="O808"/>
  <c r="X808" s="1"/>
  <c r="O809"/>
  <c r="X809" s="1"/>
  <c r="O810"/>
  <c r="X810" s="1"/>
  <c r="O811"/>
  <c r="X811" s="1"/>
  <c r="O812"/>
  <c r="X812" s="1"/>
  <c r="O813"/>
  <c r="X813" s="1"/>
  <c r="O814"/>
  <c r="X814" s="1"/>
  <c r="O815"/>
  <c r="X815" s="1"/>
  <c r="O816"/>
  <c r="X816" s="1"/>
  <c r="O817"/>
  <c r="X817" s="1"/>
  <c r="O818"/>
  <c r="X818" s="1"/>
  <c r="O819"/>
  <c r="X819" s="1"/>
  <c r="O820"/>
  <c r="X820" s="1"/>
  <c r="O821"/>
  <c r="X821" s="1"/>
  <c r="O822"/>
  <c r="X822" s="1"/>
  <c r="O823"/>
  <c r="X823" s="1"/>
  <c r="O824"/>
  <c r="X824" s="1"/>
  <c r="O825"/>
  <c r="X825" s="1"/>
  <c r="O826"/>
  <c r="X826" s="1"/>
  <c r="O827"/>
  <c r="X827" s="1"/>
  <c r="O828"/>
  <c r="X828" s="1"/>
  <c r="O829"/>
  <c r="X829" s="1"/>
  <c r="O830"/>
  <c r="X830" s="1"/>
  <c r="O831"/>
  <c r="X831" s="1"/>
  <c r="O832"/>
  <c r="X832" s="1"/>
  <c r="O833"/>
  <c r="X833" s="1"/>
  <c r="O834"/>
  <c r="X834" s="1"/>
  <c r="O835"/>
  <c r="X835" s="1"/>
  <c r="O836"/>
  <c r="X836" s="1"/>
  <c r="O837"/>
  <c r="X837" s="1"/>
  <c r="O838"/>
  <c r="X838" s="1"/>
  <c r="O839"/>
  <c r="X839" s="1"/>
  <c r="O840"/>
  <c r="X840" s="1"/>
  <c r="O841"/>
  <c r="X841" s="1"/>
  <c r="O842"/>
  <c r="X842" s="1"/>
  <c r="O843"/>
  <c r="X843" s="1"/>
  <c r="O844"/>
  <c r="X844" s="1"/>
  <c r="O845"/>
  <c r="X845" s="1"/>
  <c r="O846"/>
  <c r="X846" s="1"/>
  <c r="O847"/>
  <c r="X847" s="1"/>
  <c r="O848"/>
  <c r="X848" s="1"/>
  <c r="O849"/>
  <c r="X849" s="1"/>
  <c r="O850"/>
  <c r="X850" s="1"/>
  <c r="O851"/>
  <c r="X851" s="1"/>
  <c r="O852"/>
  <c r="X852" s="1"/>
  <c r="O853"/>
  <c r="X853" s="1"/>
  <c r="O854"/>
  <c r="X854" s="1"/>
  <c r="O855"/>
  <c r="X855" s="1"/>
  <c r="O856"/>
  <c r="X856" s="1"/>
  <c r="O857"/>
  <c r="X857" s="1"/>
  <c r="O858"/>
  <c r="X858" s="1"/>
  <c r="O859"/>
  <c r="X859" s="1"/>
  <c r="O860"/>
  <c r="X860" s="1"/>
  <c r="O861"/>
  <c r="X861" s="1"/>
  <c r="O862"/>
  <c r="X862" s="1"/>
  <c r="O863"/>
  <c r="X863" s="1"/>
  <c r="O864"/>
  <c r="X864" s="1"/>
  <c r="O865"/>
  <c r="X865" s="1"/>
  <c r="O866"/>
  <c r="X866" s="1"/>
  <c r="O867"/>
  <c r="X867" s="1"/>
  <c r="O868"/>
  <c r="X868" s="1"/>
  <c r="O869"/>
  <c r="X869" s="1"/>
  <c r="O870"/>
  <c r="X870" s="1"/>
  <c r="O871"/>
  <c r="X871" s="1"/>
  <c r="O872"/>
  <c r="X872" s="1"/>
  <c r="O873"/>
  <c r="X873" s="1"/>
  <c r="O874"/>
  <c r="X874" s="1"/>
  <c r="O875"/>
  <c r="X875" s="1"/>
  <c r="O876"/>
  <c r="X876" s="1"/>
  <c r="O877"/>
  <c r="X877" s="1"/>
  <c r="O878"/>
  <c r="X878" s="1"/>
  <c r="O879"/>
  <c r="X879" s="1"/>
  <c r="O880"/>
  <c r="X880" s="1"/>
  <c r="O881"/>
  <c r="X881" s="1"/>
  <c r="O882"/>
  <c r="X882" s="1"/>
  <c r="O883"/>
  <c r="X883" s="1"/>
  <c r="O884"/>
  <c r="X884" s="1"/>
  <c r="O885"/>
  <c r="X885" s="1"/>
  <c r="O886"/>
  <c r="X886" s="1"/>
  <c r="O887"/>
  <c r="X887" s="1"/>
  <c r="O888"/>
  <c r="X888" s="1"/>
  <c r="O889"/>
  <c r="X889" s="1"/>
  <c r="O890"/>
  <c r="X890" s="1"/>
  <c r="O891"/>
  <c r="X891" s="1"/>
  <c r="O892"/>
  <c r="X892" s="1"/>
  <c r="O893"/>
  <c r="X893" s="1"/>
  <c r="O894"/>
  <c r="X894" s="1"/>
  <c r="O895"/>
  <c r="X895" s="1"/>
  <c r="O896"/>
  <c r="X896" s="1"/>
  <c r="O897"/>
  <c r="X897" s="1"/>
  <c r="O898"/>
  <c r="X898" s="1"/>
  <c r="O899"/>
  <c r="X899" s="1"/>
  <c r="O900"/>
  <c r="X900" s="1"/>
  <c r="O901"/>
  <c r="X901" s="1"/>
  <c r="O902"/>
  <c r="X902" s="1"/>
  <c r="O903"/>
  <c r="X903" s="1"/>
  <c r="O904"/>
  <c r="X904" s="1"/>
  <c r="O905"/>
  <c r="X905" s="1"/>
  <c r="O906"/>
  <c r="X906" s="1"/>
  <c r="O907"/>
  <c r="X907" s="1"/>
  <c r="O908"/>
  <c r="X908" s="1"/>
  <c r="O909"/>
  <c r="X909" s="1"/>
  <c r="O910"/>
  <c r="X910" s="1"/>
  <c r="O911"/>
  <c r="X911" s="1"/>
  <c r="O912"/>
  <c r="X912" s="1"/>
  <c r="O913"/>
  <c r="X913" s="1"/>
  <c r="O914"/>
  <c r="X914" s="1"/>
  <c r="O915"/>
  <c r="X915" s="1"/>
  <c r="O916"/>
  <c r="X916" s="1"/>
  <c r="O917"/>
  <c r="X917" s="1"/>
  <c r="O918"/>
  <c r="X918" s="1"/>
  <c r="O919"/>
  <c r="X919" s="1"/>
  <c r="O920"/>
  <c r="X920" s="1"/>
  <c r="O921"/>
  <c r="X921" s="1"/>
  <c r="O922"/>
  <c r="X922" s="1"/>
  <c r="O923"/>
  <c r="X923" s="1"/>
  <c r="O924"/>
  <c r="X924" s="1"/>
  <c r="O925"/>
  <c r="X925" s="1"/>
  <c r="O926"/>
  <c r="X926" s="1"/>
  <c r="O927"/>
  <c r="X927" s="1"/>
  <c r="O928"/>
  <c r="X928" s="1"/>
  <c r="O929"/>
  <c r="X929" s="1"/>
  <c r="O930"/>
  <c r="X930" s="1"/>
  <c r="O931"/>
  <c r="X931" s="1"/>
  <c r="O932"/>
  <c r="X932" s="1"/>
  <c r="O933"/>
  <c r="X933" s="1"/>
  <c r="O934"/>
  <c r="X934" s="1"/>
  <c r="O935"/>
  <c r="X935" s="1"/>
  <c r="O936"/>
  <c r="X936" s="1"/>
  <c r="O937"/>
  <c r="X937" s="1"/>
  <c r="O938"/>
  <c r="X938" s="1"/>
  <c r="O939"/>
  <c r="X939" s="1"/>
  <c r="O940"/>
  <c r="X940" s="1"/>
  <c r="O941"/>
  <c r="X941" s="1"/>
  <c r="O942"/>
  <c r="X942" s="1"/>
  <c r="O943"/>
  <c r="X943" s="1"/>
  <c r="O944"/>
  <c r="X944" s="1"/>
  <c r="O945"/>
  <c r="X945" s="1"/>
  <c r="O946"/>
  <c r="X946" s="1"/>
  <c r="O947"/>
  <c r="X947" s="1"/>
  <c r="O948"/>
  <c r="X948" s="1"/>
  <c r="O949"/>
  <c r="X949" s="1"/>
  <c r="O950"/>
  <c r="X950" s="1"/>
  <c r="O951"/>
  <c r="X951" s="1"/>
  <c r="O952"/>
  <c r="X952" s="1"/>
  <c r="O953"/>
  <c r="X953" s="1"/>
  <c r="O954"/>
  <c r="X954" s="1"/>
  <c r="O955"/>
  <c r="X955" s="1"/>
  <c r="O956"/>
  <c r="X956" s="1"/>
  <c r="O957"/>
  <c r="X957" s="1"/>
  <c r="O958"/>
  <c r="X958" s="1"/>
  <c r="O959"/>
  <c r="X959" s="1"/>
  <c r="O960"/>
  <c r="X960" s="1"/>
  <c r="O961"/>
  <c r="X961" s="1"/>
  <c r="O962"/>
  <c r="X962" s="1"/>
  <c r="O963"/>
  <c r="X963" s="1"/>
  <c r="O964"/>
  <c r="X964" s="1"/>
  <c r="O965"/>
  <c r="X965" s="1"/>
  <c r="O966"/>
  <c r="X966" s="1"/>
  <c r="O967"/>
  <c r="X967" s="1"/>
  <c r="O968"/>
  <c r="X968" s="1"/>
  <c r="O969"/>
  <c r="X969" s="1"/>
  <c r="O970"/>
  <c r="X970" s="1"/>
  <c r="O971"/>
  <c r="X971" s="1"/>
  <c r="O972"/>
  <c r="X972" s="1"/>
  <c r="O973"/>
  <c r="X973" s="1"/>
  <c r="O974"/>
  <c r="X974" s="1"/>
  <c r="O975"/>
  <c r="X975" s="1"/>
  <c r="O976"/>
  <c r="X976" s="1"/>
  <c r="O977"/>
  <c r="X977" s="1"/>
  <c r="O978"/>
  <c r="X978" s="1"/>
  <c r="O979"/>
  <c r="X979" s="1"/>
  <c r="O980"/>
  <c r="X980" s="1"/>
  <c r="O981"/>
  <c r="X981" s="1"/>
  <c r="O982"/>
  <c r="X982" s="1"/>
  <c r="O983"/>
  <c r="X983" s="1"/>
  <c r="O984"/>
  <c r="X984" s="1"/>
  <c r="O985"/>
  <c r="X985" s="1"/>
  <c r="O986"/>
  <c r="X986" s="1"/>
  <c r="O987"/>
  <c r="X987" s="1"/>
  <c r="O988"/>
  <c r="X988" s="1"/>
  <c r="O989"/>
  <c r="X989" s="1"/>
  <c r="O990"/>
  <c r="X990" s="1"/>
  <c r="O991"/>
  <c r="X991" s="1"/>
  <c r="O992"/>
  <c r="X992" s="1"/>
  <c r="O993"/>
  <c r="X993" s="1"/>
  <c r="O994"/>
  <c r="X994" s="1"/>
  <c r="O995"/>
  <c r="X995" s="1"/>
  <c r="O996"/>
  <c r="X996" s="1"/>
  <c r="O997"/>
  <c r="X997" s="1"/>
  <c r="O998"/>
  <c r="X998" s="1"/>
  <c r="O999"/>
  <c r="X999" s="1"/>
  <c r="O1000"/>
  <c r="X1000" s="1"/>
  <c r="O1001"/>
  <c r="X1001" s="1"/>
  <c r="O1002"/>
  <c r="X1002" s="1"/>
  <c r="O1003"/>
  <c r="X1003" s="1"/>
  <c r="O1004"/>
  <c r="X1004" s="1"/>
  <c r="O1005"/>
  <c r="X1005" s="1"/>
  <c r="O1006"/>
  <c r="X1006" s="1"/>
  <c r="O1007"/>
  <c r="X1007" s="1"/>
  <c r="O1008"/>
  <c r="X1008" s="1"/>
  <c r="O1009"/>
  <c r="X1009" s="1"/>
  <c r="O1010"/>
  <c r="X1010" s="1"/>
  <c r="O1011"/>
  <c r="X1011" s="1"/>
  <c r="O1012"/>
  <c r="X1012" s="1"/>
  <c r="O1013"/>
  <c r="X1013" s="1"/>
  <c r="O1014"/>
  <c r="X1014" s="1"/>
  <c r="O1015"/>
  <c r="X1015" s="1"/>
  <c r="O1016"/>
  <c r="X1016" s="1"/>
  <c r="O1017"/>
  <c r="X1017" s="1"/>
  <c r="O1018"/>
  <c r="X1018" s="1"/>
  <c r="O1019"/>
  <c r="X1019" s="1"/>
  <c r="O1020"/>
  <c r="X1020" s="1"/>
  <c r="O1021"/>
  <c r="X1021" s="1"/>
  <c r="O1022"/>
  <c r="X1022" s="1"/>
  <c r="O1023"/>
  <c r="X1023" s="1"/>
  <c r="O1024"/>
  <c r="X1024" s="1"/>
  <c r="O1025"/>
  <c r="X1025" s="1"/>
  <c r="O1026"/>
  <c r="X1026" s="1"/>
  <c r="O1027"/>
  <c r="X1027" s="1"/>
  <c r="O1028"/>
  <c r="X1028" s="1"/>
  <c r="O1029"/>
  <c r="X1029" s="1"/>
  <c r="O1030"/>
  <c r="X1030" s="1"/>
  <c r="O1031"/>
  <c r="X1031" s="1"/>
  <c r="O1032"/>
  <c r="X1032" s="1"/>
  <c r="Y1032" s="1"/>
  <c r="O1033"/>
  <c r="X1033" s="1"/>
  <c r="Y1033" s="1"/>
  <c r="O1034"/>
  <c r="X1034" s="1"/>
  <c r="Y1034" s="1"/>
  <c r="O1035"/>
  <c r="X1035" s="1"/>
  <c r="Y1035" s="1"/>
  <c r="O1036"/>
  <c r="X1036" s="1"/>
  <c r="Y1036" s="1"/>
  <c r="O1037"/>
  <c r="X1037" s="1"/>
  <c r="Y1037" s="1"/>
  <c r="O1038"/>
  <c r="X1038" s="1"/>
  <c r="Y1038" s="1"/>
  <c r="O1039"/>
  <c r="X1039" s="1"/>
  <c r="Y1039" s="1"/>
  <c r="O1040"/>
  <c r="X1040" s="1"/>
  <c r="Y1040" s="1"/>
  <c r="O1041"/>
  <c r="X1041" s="1"/>
  <c r="Y1041" s="1"/>
  <c r="O1042"/>
  <c r="X1042" s="1"/>
  <c r="Y1042" s="1"/>
  <c r="O1043"/>
  <c r="X1043" s="1"/>
  <c r="Y1043" s="1"/>
  <c r="O1044"/>
  <c r="X1044" s="1"/>
  <c r="Y1044" s="1"/>
  <c r="O1045"/>
  <c r="X1045" s="1"/>
  <c r="Y1045" s="1"/>
  <c r="O1046"/>
  <c r="X1046" s="1"/>
  <c r="Y1046" s="1"/>
  <c r="O1047"/>
  <c r="X1047" s="1"/>
  <c r="Y1047" s="1"/>
  <c r="O1048"/>
  <c r="X1048" s="1"/>
  <c r="Y1048" s="1"/>
  <c r="O1049"/>
  <c r="X1049" s="1"/>
  <c r="Y1049" s="1"/>
  <c r="O1050"/>
  <c r="X1050" s="1"/>
  <c r="Y1050" s="1"/>
  <c r="O1051"/>
  <c r="X1051" s="1"/>
  <c r="Y1051" s="1"/>
  <c r="O1052"/>
  <c r="X1052" s="1"/>
  <c r="Y1052" s="1"/>
  <c r="O1053"/>
  <c r="X1053" s="1"/>
  <c r="Y1053" s="1"/>
  <c r="O1054"/>
  <c r="X1054" s="1"/>
  <c r="Y1054" s="1"/>
  <c r="O1055"/>
  <c r="X1055" s="1"/>
  <c r="Y1055" s="1"/>
  <c r="O7"/>
  <c r="X7" s="1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W1316"/>
  <c r="W1317"/>
  <c r="W1318"/>
  <c r="W1319"/>
  <c r="W1320"/>
  <c r="W1321"/>
  <c r="W1322"/>
  <c r="W1323"/>
  <c r="W1324"/>
  <c r="W1325"/>
  <c r="W1326"/>
  <c r="W1327"/>
  <c r="W1328"/>
  <c r="W1329"/>
  <c r="W1330"/>
  <c r="W1331"/>
  <c r="W1332"/>
  <c r="W1333"/>
  <c r="W1334"/>
  <c r="W1335"/>
  <c r="W1336"/>
  <c r="W1337"/>
  <c r="W1338"/>
  <c r="W1339"/>
  <c r="W1340"/>
  <c r="W1341"/>
  <c r="W1342"/>
  <c r="W1343"/>
  <c r="W1344"/>
  <c r="W1345"/>
  <c r="W1346"/>
  <c r="W1347"/>
  <c r="W1348"/>
  <c r="W1349"/>
  <c r="W1350"/>
  <c r="W1351"/>
  <c r="W1352"/>
  <c r="W1353"/>
  <c r="W1354"/>
  <c r="W1355"/>
  <c r="W1356"/>
  <c r="W1357"/>
  <c r="W1358"/>
  <c r="W1359"/>
  <c r="W1360"/>
  <c r="W1361"/>
  <c r="W1362"/>
  <c r="W1363"/>
  <c r="W1364"/>
  <c r="W1365"/>
  <c r="W1366"/>
  <c r="W1367"/>
  <c r="W1368"/>
  <c r="W1369"/>
  <c r="W1370"/>
  <c r="W1371"/>
  <c r="W1372"/>
  <c r="W1373"/>
  <c r="W1374"/>
  <c r="W1375"/>
  <c r="W1376"/>
  <c r="W1377"/>
  <c r="W1378"/>
  <c r="W1379"/>
  <c r="W1380"/>
  <c r="W1381"/>
  <c r="W1382"/>
  <c r="W1383"/>
  <c r="W1384"/>
  <c r="W1385"/>
  <c r="W1386"/>
  <c r="W1387"/>
  <c r="W1388"/>
  <c r="W1389"/>
  <c r="W1390"/>
  <c r="W1391"/>
  <c r="W1392"/>
  <c r="W1393"/>
  <c r="W1394"/>
  <c r="W1395"/>
  <c r="W1396"/>
  <c r="W1397"/>
  <c r="W1398"/>
  <c r="W1399"/>
  <c r="W1400"/>
  <c r="W1401"/>
  <c r="W1402"/>
  <c r="W1403"/>
  <c r="W1404"/>
  <c r="W1405"/>
  <c r="W1406"/>
  <c r="W1407"/>
  <c r="W1408"/>
  <c r="W1409"/>
  <c r="W1410"/>
  <c r="W1411"/>
  <c r="W1412"/>
  <c r="W1413"/>
  <c r="W1414"/>
  <c r="W1415"/>
  <c r="W1416"/>
  <c r="W1417"/>
  <c r="W1418"/>
  <c r="W1419"/>
  <c r="W1420"/>
  <c r="W1421"/>
  <c r="W1422"/>
  <c r="W1423"/>
  <c r="W1424"/>
  <c r="W1425"/>
  <c r="W1426"/>
  <c r="W1427"/>
  <c r="W1428"/>
  <c r="W1429"/>
  <c r="W1430"/>
  <c r="W1431"/>
  <c r="W1432"/>
  <c r="W1433"/>
  <c r="W1434"/>
  <c r="W1435"/>
  <c r="W1436"/>
  <c r="W1437"/>
  <c r="W1438"/>
  <c r="W1439"/>
  <c r="W1440"/>
  <c r="W1441"/>
  <c r="W1442"/>
  <c r="W1443"/>
  <c r="W1444"/>
  <c r="W1445"/>
  <c r="W1446"/>
  <c r="W1447"/>
  <c r="W1448"/>
  <c r="W1449"/>
  <c r="W1450"/>
  <c r="W1451"/>
  <c r="W1452"/>
  <c r="W1453"/>
  <c r="W1454"/>
  <c r="W1455"/>
  <c r="W1456"/>
  <c r="W1457"/>
  <c r="W1458"/>
  <c r="W1459"/>
  <c r="W1460"/>
  <c r="W1461"/>
  <c r="W1462"/>
  <c r="W1463"/>
  <c r="W1464"/>
  <c r="W1465"/>
  <c r="W1466"/>
  <c r="W1467"/>
  <c r="W1468"/>
  <c r="W1469"/>
  <c r="W1470"/>
  <c r="W1471"/>
  <c r="W1472"/>
  <c r="W1473"/>
  <c r="W1474"/>
  <c r="W1475"/>
  <c r="W1476"/>
  <c r="W1477"/>
  <c r="W1478"/>
  <c r="W1479"/>
  <c r="W1480"/>
  <c r="W1481"/>
  <c r="W1482"/>
  <c r="W1483"/>
  <c r="W1484"/>
  <c r="W1485"/>
  <c r="W1486"/>
  <c r="W1487"/>
  <c r="W1488"/>
  <c r="W1489"/>
  <c r="W1490"/>
  <c r="W1491"/>
  <c r="W1492"/>
  <c r="W1493"/>
  <c r="W1494"/>
  <c r="W1495"/>
  <c r="W1496"/>
  <c r="W1497"/>
  <c r="W1498"/>
  <c r="W1499"/>
  <c r="W1500"/>
  <c r="W1501"/>
  <c r="W1502"/>
  <c r="W1503"/>
  <c r="W1504"/>
  <c r="W1505"/>
  <c r="W1506"/>
  <c r="W1507"/>
  <c r="W1508"/>
  <c r="W1509"/>
  <c r="W1510"/>
  <c r="W1511"/>
  <c r="W1512"/>
  <c r="W1513"/>
  <c r="W1514"/>
  <c r="W1515"/>
  <c r="W1516"/>
  <c r="W1517"/>
  <c r="W1518"/>
  <c r="W1519"/>
  <c r="W1520"/>
  <c r="W1521"/>
  <c r="W1522"/>
  <c r="W1523"/>
  <c r="W1524"/>
  <c r="W1525"/>
  <c r="W1526"/>
  <c r="W1527"/>
  <c r="W1528"/>
  <c r="W1529"/>
  <c r="W1530"/>
  <c r="W1531"/>
  <c r="W1532"/>
  <c r="W1533"/>
  <c r="W1534"/>
  <c r="W1535"/>
  <c r="W1536"/>
  <c r="W1537"/>
  <c r="W1538"/>
  <c r="W1539"/>
  <c r="W1540"/>
  <c r="W1541"/>
  <c r="W1542"/>
  <c r="W1543"/>
  <c r="W1544"/>
  <c r="W1545"/>
  <c r="W1546"/>
  <c r="W1547"/>
  <c r="W1548"/>
  <c r="W1549"/>
  <c r="W1550"/>
  <c r="W1551"/>
  <c r="W1552"/>
  <c r="W1553"/>
  <c r="W1554"/>
  <c r="W1555"/>
  <c r="W1556"/>
  <c r="W1557"/>
  <c r="W1558"/>
  <c r="W1559"/>
  <c r="W1560"/>
  <c r="W1561"/>
  <c r="W1562"/>
  <c r="W1563"/>
  <c r="W1564"/>
  <c r="W1565"/>
  <c r="W1566"/>
  <c r="W1567"/>
  <c r="W1568"/>
  <c r="W1569"/>
  <c r="W1570"/>
  <c r="W1571"/>
  <c r="W1572"/>
  <c r="W1573"/>
  <c r="W1574"/>
  <c r="W1575"/>
  <c r="W1576"/>
  <c r="W1577"/>
  <c r="W1578"/>
  <c r="W1579"/>
  <c r="W1580"/>
  <c r="W1581"/>
  <c r="W1582"/>
  <c r="W1583"/>
  <c r="W1584"/>
  <c r="W1585"/>
  <c r="W1586"/>
  <c r="W1587"/>
  <c r="W1588"/>
  <c r="W1589"/>
  <c r="W1590"/>
  <c r="W1591"/>
  <c r="W1592"/>
  <c r="W1593"/>
  <c r="W1594"/>
  <c r="W1595"/>
  <c r="W1596"/>
  <c r="W1597"/>
  <c r="W1598"/>
  <c r="W1599"/>
  <c r="W1600"/>
  <c r="W1601"/>
  <c r="W1602"/>
  <c r="W1603"/>
  <c r="W1604"/>
  <c r="W1605"/>
  <c r="W1606"/>
  <c r="W1607"/>
  <c r="W1608"/>
  <c r="W1609"/>
  <c r="W1610"/>
  <c r="W1611"/>
  <c r="W1612"/>
  <c r="W1613"/>
  <c r="W1614"/>
  <c r="W1615"/>
  <c r="W1616"/>
  <c r="W1617"/>
  <c r="W1618"/>
  <c r="W1619"/>
  <c r="W1620"/>
  <c r="W1621"/>
  <c r="W1622"/>
  <c r="W1623"/>
  <c r="W1624"/>
  <c r="W1625"/>
  <c r="W1626"/>
  <c r="W1627"/>
  <c r="W1628"/>
  <c r="W1629"/>
  <c r="W1630"/>
  <c r="W1631"/>
  <c r="W1632"/>
  <c r="W1633"/>
  <c r="W1634"/>
  <c r="W1635"/>
  <c r="W1636"/>
  <c r="W1637"/>
  <c r="W1638"/>
  <c r="W1639"/>
  <c r="W1640"/>
  <c r="W1641"/>
  <c r="W1642"/>
  <c r="W1643"/>
  <c r="W1644"/>
  <c r="W1645"/>
  <c r="W1646"/>
  <c r="W1647"/>
  <c r="W1648"/>
  <c r="W1649"/>
  <c r="W1650"/>
  <c r="W1651"/>
  <c r="W1652"/>
  <c r="W1653"/>
  <c r="W1654"/>
  <c r="W1655"/>
  <c r="W1656"/>
  <c r="W1657"/>
  <c r="W1658"/>
  <c r="W1659"/>
  <c r="W1660"/>
  <c r="W1661"/>
  <c r="W1662"/>
  <c r="W1663"/>
  <c r="W1664"/>
  <c r="W1665"/>
  <c r="W1666"/>
  <c r="W1667"/>
  <c r="W1668"/>
  <c r="W1669"/>
  <c r="W1670"/>
  <c r="W1671"/>
  <c r="W1672"/>
  <c r="W1673"/>
  <c r="W1674"/>
  <c r="W1675"/>
  <c r="W1676"/>
  <c r="W1677"/>
  <c r="W1678"/>
  <c r="W1679"/>
  <c r="W1680"/>
  <c r="W1681"/>
  <c r="W1682"/>
  <c r="W1683"/>
  <c r="W1684"/>
  <c r="W1685"/>
  <c r="W1686"/>
  <c r="W1687"/>
  <c r="W1688"/>
  <c r="W1689"/>
  <c r="W1690"/>
  <c r="W1691"/>
  <c r="W1692"/>
  <c r="W1693"/>
  <c r="W1694"/>
  <c r="W1695"/>
  <c r="W1696"/>
  <c r="W1697"/>
  <c r="W1698"/>
  <c r="W1699"/>
  <c r="W1700"/>
  <c r="W1701"/>
  <c r="W1702"/>
  <c r="W1703"/>
  <c r="W1704"/>
  <c r="W1705"/>
  <c r="W1706"/>
  <c r="W1707"/>
  <c r="W1708"/>
  <c r="W1709"/>
  <c r="W1710"/>
  <c r="W1711"/>
  <c r="W1712"/>
  <c r="W1713"/>
  <c r="W1714"/>
  <c r="W1715"/>
  <c r="W1716"/>
  <c r="W1717"/>
  <c r="W1718"/>
  <c r="W1719"/>
  <c r="W1720"/>
  <c r="W1721"/>
  <c r="W1722"/>
  <c r="W1723"/>
  <c r="W1724"/>
  <c r="W1725"/>
  <c r="W1726"/>
  <c r="W1727"/>
  <c r="W1728"/>
  <c r="W1729"/>
  <c r="W1730"/>
  <c r="W1731"/>
  <c r="W1732"/>
  <c r="W1733"/>
  <c r="W1734"/>
  <c r="W1735"/>
  <c r="W1736"/>
  <c r="W1737"/>
  <c r="W1738"/>
  <c r="W1739"/>
  <c r="W1740"/>
  <c r="W1741"/>
  <c r="W1742"/>
  <c r="W1743"/>
  <c r="W1744"/>
  <c r="W1745"/>
  <c r="W1746"/>
  <c r="W1747"/>
  <c r="W1748"/>
  <c r="W1749"/>
  <c r="W1750"/>
  <c r="W1751"/>
  <c r="W1752"/>
  <c r="W1753"/>
  <c r="W1754"/>
  <c r="W1755"/>
  <c r="W1756"/>
  <c r="W1757"/>
  <c r="W1758"/>
  <c r="W1759"/>
  <c r="W1760"/>
  <c r="W1761"/>
  <c r="W1762"/>
  <c r="W1763"/>
  <c r="W1764"/>
  <c r="W1765"/>
  <c r="W1766"/>
  <c r="W1767"/>
  <c r="W1768"/>
  <c r="W1769"/>
  <c r="W1770"/>
  <c r="W1771"/>
  <c r="W1772"/>
  <c r="W1773"/>
  <c r="W1774"/>
  <c r="W1775"/>
  <c r="W1776"/>
  <c r="W1777"/>
  <c r="W1778"/>
  <c r="W1779"/>
  <c r="W1780"/>
  <c r="W1781"/>
  <c r="W1782"/>
  <c r="W1783"/>
  <c r="W1784"/>
  <c r="W1785"/>
  <c r="W1786"/>
  <c r="W1787"/>
  <c r="W1788"/>
  <c r="W1789"/>
  <c r="W1790"/>
  <c r="W1791"/>
  <c r="W1792"/>
  <c r="W1793"/>
  <c r="W1794"/>
  <c r="W1795"/>
  <c r="W1796"/>
  <c r="W1797"/>
  <c r="W1798"/>
  <c r="W1799"/>
  <c r="W1800"/>
  <c r="W1801"/>
  <c r="W1802"/>
  <c r="W1803"/>
  <c r="W1804"/>
  <c r="W1805"/>
  <c r="W1806"/>
  <c r="W1807"/>
  <c r="W1808"/>
  <c r="W1809"/>
  <c r="W1810"/>
  <c r="W1811"/>
  <c r="W1812"/>
  <c r="W1813"/>
  <c r="W1814"/>
  <c r="W1815"/>
  <c r="W1816"/>
  <c r="W1817"/>
  <c r="W1818"/>
  <c r="W1819"/>
  <c r="W1820"/>
  <c r="W1821"/>
  <c r="W1822"/>
  <c r="W1823"/>
  <c r="W1824"/>
  <c r="W1825"/>
  <c r="W1826"/>
  <c r="W1827"/>
  <c r="W1828"/>
  <c r="W1829"/>
  <c r="W1830"/>
  <c r="W1831"/>
  <c r="W1832"/>
  <c r="W1833"/>
  <c r="W1834"/>
  <c r="W1835"/>
  <c r="W1836"/>
  <c r="W1837"/>
  <c r="W1838"/>
  <c r="W1839"/>
  <c r="W1840"/>
  <c r="W1841"/>
  <c r="W1842"/>
  <c r="W1843"/>
  <c r="W1844"/>
  <c r="W1845"/>
  <c r="W1846"/>
  <c r="W1847"/>
  <c r="W1848"/>
  <c r="W1849"/>
  <c r="W1850"/>
  <c r="W1851"/>
  <c r="W1852"/>
  <c r="W1853"/>
  <c r="W1854"/>
  <c r="W1855"/>
  <c r="W1856"/>
  <c r="W1857"/>
  <c r="W1858"/>
  <c r="W1859"/>
  <c r="W1860"/>
  <c r="W1861"/>
  <c r="W1862"/>
  <c r="W1863"/>
  <c r="W1864"/>
  <c r="W1865"/>
  <c r="W1866"/>
  <c r="W1867"/>
  <c r="W1868"/>
  <c r="W1869"/>
  <c r="W1870"/>
  <c r="W1871"/>
  <c r="W1872"/>
  <c r="W1873"/>
  <c r="W1874"/>
  <c r="W1875"/>
  <c r="W1876"/>
  <c r="W1877"/>
  <c r="W1878"/>
  <c r="W1879"/>
  <c r="W1880"/>
  <c r="W1881"/>
  <c r="W1882"/>
  <c r="W1883"/>
  <c r="W1884"/>
  <c r="W1885"/>
  <c r="W1886"/>
  <c r="W1887"/>
  <c r="W1888"/>
  <c r="W1889"/>
  <c r="W1890"/>
  <c r="W1891"/>
  <c r="W1892"/>
  <c r="W1893"/>
  <c r="W1894"/>
  <c r="W1895"/>
  <c r="W1896"/>
  <c r="W1897"/>
  <c r="W1898"/>
  <c r="W1899"/>
  <c r="W1900"/>
  <c r="W1901"/>
  <c r="W1902"/>
  <c r="W1903"/>
  <c r="W1904"/>
  <c r="W1905"/>
  <c r="W1906"/>
  <c r="W1907"/>
  <c r="W1908"/>
  <c r="W1909"/>
  <c r="W1910"/>
  <c r="W1911"/>
  <c r="W1912"/>
  <c r="W1913"/>
  <c r="W1914"/>
  <c r="W1915"/>
  <c r="W1916"/>
  <c r="W1917"/>
  <c r="W1918"/>
  <c r="W1919"/>
  <c r="W1920"/>
  <c r="W1921"/>
  <c r="W1922"/>
  <c r="W1923"/>
  <c r="W1924"/>
  <c r="W1925"/>
  <c r="W1926"/>
  <c r="W1927"/>
  <c r="W1928"/>
  <c r="W1929"/>
  <c r="W1930"/>
  <c r="W1931"/>
  <c r="W1932"/>
  <c r="W1933"/>
  <c r="W1934"/>
  <c r="W1935"/>
  <c r="W1936"/>
  <c r="W1937"/>
  <c r="W1938"/>
  <c r="W1939"/>
  <c r="W1940"/>
  <c r="W1941"/>
  <c r="W1942"/>
  <c r="W1943"/>
  <c r="W1944"/>
  <c r="W1945"/>
  <c r="W1946"/>
  <c r="W1947"/>
  <c r="W1948"/>
  <c r="W1949"/>
  <c r="W1950"/>
  <c r="W1951"/>
  <c r="W1952"/>
  <c r="W1953"/>
  <c r="W1954"/>
  <c r="W1955"/>
  <c r="W1956"/>
  <c r="W1957"/>
  <c r="W1958"/>
  <c r="W1959"/>
  <c r="W1960"/>
  <c r="W1961"/>
  <c r="W1962"/>
  <c r="W1963"/>
  <c r="W1964"/>
  <c r="W1965"/>
  <c r="W1966"/>
  <c r="W1967"/>
  <c r="W1968"/>
  <c r="W1969"/>
  <c r="W1970"/>
  <c r="W1971"/>
  <c r="W1972"/>
  <c r="W1973"/>
  <c r="W1974"/>
  <c r="W1975"/>
  <c r="W1976"/>
  <c r="W1977"/>
  <c r="W1978"/>
  <c r="W1979"/>
  <c r="W1980"/>
  <c r="W1981"/>
  <c r="W1982"/>
  <c r="W1983"/>
  <c r="W1984"/>
  <c r="W1985"/>
  <c r="W1986"/>
  <c r="W1987"/>
  <c r="W1988"/>
  <c r="W1989"/>
  <c r="W7"/>
  <c r="X3522"/>
  <c r="X3521"/>
  <c r="X3520"/>
  <c r="X3519"/>
  <c r="X3518"/>
  <c r="X3517"/>
  <c r="X3516"/>
  <c r="X3515"/>
  <c r="X3514"/>
  <c r="X3513"/>
  <c r="X3512"/>
  <c r="X3511"/>
  <c r="X3510"/>
  <c r="X3509"/>
  <c r="X3508"/>
  <c r="X3507"/>
  <c r="X3506"/>
  <c r="X3505"/>
  <c r="X3504"/>
  <c r="X3503"/>
  <c r="X3502"/>
  <c r="X3501"/>
  <c r="X3500"/>
  <c r="X3499"/>
  <c r="X3498"/>
  <c r="X3497"/>
  <c r="X3496"/>
  <c r="X3495"/>
  <c r="X3494"/>
  <c r="X3493"/>
  <c r="X3492"/>
  <c r="X3491"/>
  <c r="X3490"/>
  <c r="X3489"/>
  <c r="X3488"/>
  <c r="X3487"/>
  <c r="X3486"/>
  <c r="X3485"/>
  <c r="X3484"/>
  <c r="X3483"/>
  <c r="X3482"/>
  <c r="X3481"/>
  <c r="X3480"/>
  <c r="X3479"/>
  <c r="X3478"/>
  <c r="X3477"/>
  <c r="X3476"/>
  <c r="X3475"/>
  <c r="X3474"/>
  <c r="X3473"/>
  <c r="X3472"/>
  <c r="X3471"/>
  <c r="X3470"/>
  <c r="X3469"/>
  <c r="X3468"/>
  <c r="X3467"/>
  <c r="X3466"/>
  <c r="X3465"/>
  <c r="X3464"/>
  <c r="X3463"/>
  <c r="X3462"/>
  <c r="X3461"/>
  <c r="X3460"/>
  <c r="X3459"/>
  <c r="X3458"/>
  <c r="X3457"/>
  <c r="X3456"/>
  <c r="X3455"/>
  <c r="X3454"/>
  <c r="X3453"/>
  <c r="X3452"/>
  <c r="X3451"/>
  <c r="X3450"/>
  <c r="X3449"/>
  <c r="X3448"/>
  <c r="X3447"/>
  <c r="X3446"/>
  <c r="X3445"/>
  <c r="X3444"/>
  <c r="X3443"/>
  <c r="X3442"/>
  <c r="X3441"/>
  <c r="X3440"/>
  <c r="X3439"/>
  <c r="X3438"/>
  <c r="X3437"/>
  <c r="X3436"/>
  <c r="X3435"/>
  <c r="X3434"/>
  <c r="X3433"/>
  <c r="X3432"/>
  <c r="X3431"/>
  <c r="X3430"/>
  <c r="X3429"/>
  <c r="X3428"/>
  <c r="X3427"/>
  <c r="X3426"/>
  <c r="X3425"/>
  <c r="X3424"/>
  <c r="X3423"/>
  <c r="X3422"/>
  <c r="X3421"/>
  <c r="X3420"/>
  <c r="X3419"/>
  <c r="X3418"/>
  <c r="X3417"/>
  <c r="X3416"/>
  <c r="X3415"/>
  <c r="X3414"/>
  <c r="X3413"/>
  <c r="X3412"/>
  <c r="X3411"/>
  <c r="X3410"/>
  <c r="X3409"/>
  <c r="X3408"/>
  <c r="X3407"/>
  <c r="X3406"/>
  <c r="X3405"/>
  <c r="X3404"/>
  <c r="X3403"/>
  <c r="X3402"/>
  <c r="X3401"/>
  <c r="X3400"/>
  <c r="X3399"/>
  <c r="X3398"/>
  <c r="X3397"/>
  <c r="X3396"/>
  <c r="X3395"/>
  <c r="X3394"/>
  <c r="X3393"/>
  <c r="X3392"/>
  <c r="X3391"/>
  <c r="X3390"/>
  <c r="X3389"/>
  <c r="X3388"/>
  <c r="X3387"/>
  <c r="X3386"/>
  <c r="X3385"/>
  <c r="X3384"/>
  <c r="X3383"/>
  <c r="X3382"/>
  <c r="X3381"/>
  <c r="X3380"/>
  <c r="X3379"/>
  <c r="X3378"/>
  <c r="X3377"/>
  <c r="X3376"/>
  <c r="X3375"/>
  <c r="X3374"/>
  <c r="X3373"/>
  <c r="X3372"/>
  <c r="X3371"/>
  <c r="X3370"/>
  <c r="X3369"/>
  <c r="X3368"/>
  <c r="X3367"/>
  <c r="X3366"/>
  <c r="X3365"/>
  <c r="X3364"/>
  <c r="X3363"/>
  <c r="X3362"/>
  <c r="X3361"/>
  <c r="X3360"/>
  <c r="X3359"/>
  <c r="X3358"/>
  <c r="X3357"/>
  <c r="X3356"/>
  <c r="X3355"/>
  <c r="X3354"/>
  <c r="X3353"/>
  <c r="X3352"/>
  <c r="X3351"/>
  <c r="X3350"/>
  <c r="X3349"/>
  <c r="X3348"/>
  <c r="X3347"/>
  <c r="X3346"/>
  <c r="X3345"/>
  <c r="X3344"/>
  <c r="X3343"/>
  <c r="X3342"/>
  <c r="X3341"/>
  <c r="X3340"/>
  <c r="X3339"/>
  <c r="X3338"/>
  <c r="X3337"/>
  <c r="X3336"/>
  <c r="X3335"/>
  <c r="X3334"/>
  <c r="X3333"/>
  <c r="X3332"/>
  <c r="X3331"/>
  <c r="X3330"/>
  <c r="X3329"/>
  <c r="X3328"/>
  <c r="X3327"/>
  <c r="X3326"/>
  <c r="X3325"/>
  <c r="X3324"/>
  <c r="X3323"/>
  <c r="X3322"/>
  <c r="X3321"/>
  <c r="X3320"/>
  <c r="X3319"/>
  <c r="X3318"/>
  <c r="X3317"/>
  <c r="X3316"/>
  <c r="X3315"/>
  <c r="X3314"/>
  <c r="X3313"/>
  <c r="X3312"/>
  <c r="X3311"/>
  <c r="X3310"/>
  <c r="X3309"/>
  <c r="X3308"/>
  <c r="X3307"/>
  <c r="X3306"/>
  <c r="X3305"/>
  <c r="X3304"/>
  <c r="X3303"/>
  <c r="X3302"/>
  <c r="X3301"/>
  <c r="X3300"/>
  <c r="X3299"/>
  <c r="X3298"/>
  <c r="X3297"/>
  <c r="X3296"/>
  <c r="X3295"/>
  <c r="X3294"/>
  <c r="X3293"/>
  <c r="X3292"/>
  <c r="X3291"/>
  <c r="X3290"/>
  <c r="X3289"/>
  <c r="X3288"/>
  <c r="X3287"/>
  <c r="X3286"/>
  <c r="X3285"/>
  <c r="X3284"/>
  <c r="X3283"/>
  <c r="X3282"/>
  <c r="X3281"/>
  <c r="X3280"/>
  <c r="X3279"/>
  <c r="X3278"/>
  <c r="X3277"/>
  <c r="X3276"/>
  <c r="X3275"/>
  <c r="X3274"/>
  <c r="X3273"/>
  <c r="X3272"/>
  <c r="X3271"/>
  <c r="X3270"/>
  <c r="X3269"/>
  <c r="X3268"/>
  <c r="X3267"/>
  <c r="X3266"/>
  <c r="X3265"/>
  <c r="X3264"/>
  <c r="X3263"/>
  <c r="X3262"/>
  <c r="X3261"/>
  <c r="X3260"/>
  <c r="X3259"/>
  <c r="X3258"/>
  <c r="X3257"/>
  <c r="X3256"/>
  <c r="X3255"/>
  <c r="X3254"/>
  <c r="X3253"/>
  <c r="X3252"/>
  <c r="X3251"/>
  <c r="X3250"/>
  <c r="X3249"/>
  <c r="X3248"/>
  <c r="X3247"/>
  <c r="X3246"/>
  <c r="X3245"/>
  <c r="X3244"/>
  <c r="X3243"/>
  <c r="X3242"/>
  <c r="X3241"/>
  <c r="X3240"/>
  <c r="X3239"/>
  <c r="X3238"/>
  <c r="X3237"/>
  <c r="X3236"/>
  <c r="X3235"/>
  <c r="X3234"/>
  <c r="X3233"/>
  <c r="X3232"/>
  <c r="X3231"/>
  <c r="X3230"/>
  <c r="X3229"/>
  <c r="X3228"/>
  <c r="X3227"/>
  <c r="X3226"/>
  <c r="X3225"/>
  <c r="X3224"/>
  <c r="X3223"/>
  <c r="X3222"/>
  <c r="X3221"/>
  <c r="X3220"/>
  <c r="X3219"/>
  <c r="X3218"/>
  <c r="X3217"/>
  <c r="X3216"/>
  <c r="X3215"/>
  <c r="X3214"/>
  <c r="X3213"/>
  <c r="X3212"/>
  <c r="X3211"/>
  <c r="X3210"/>
  <c r="X3209"/>
  <c r="X3208"/>
  <c r="X3207"/>
  <c r="X3206"/>
  <c r="X3205"/>
  <c r="X3204"/>
  <c r="X3203"/>
  <c r="X3202"/>
  <c r="X3201"/>
  <c r="X3200"/>
  <c r="X3199"/>
  <c r="X3198"/>
  <c r="X3197"/>
  <c r="X3196"/>
  <c r="X3195"/>
  <c r="X3194"/>
  <c r="X3193"/>
  <c r="X3192"/>
  <c r="X3191"/>
  <c r="X3190"/>
  <c r="X3189"/>
  <c r="X3188"/>
  <c r="X3187"/>
  <c r="X3186"/>
  <c r="X3185"/>
  <c r="X3184"/>
  <c r="X3183"/>
  <c r="X3182"/>
  <c r="X3181"/>
  <c r="X3180"/>
  <c r="X3179"/>
  <c r="X3178"/>
  <c r="X3177"/>
  <c r="X3176"/>
  <c r="X3175"/>
  <c r="X3174"/>
  <c r="X3173"/>
  <c r="X3172"/>
  <c r="X3171"/>
  <c r="X3170"/>
  <c r="X3169"/>
  <c r="X3168"/>
  <c r="X3167"/>
  <c r="X3166"/>
  <c r="X3165"/>
  <c r="X3164"/>
  <c r="X3163"/>
  <c r="X3162"/>
  <c r="X3161"/>
  <c r="X3160"/>
  <c r="X3159"/>
  <c r="X3158"/>
  <c r="X3157"/>
  <c r="X3156"/>
  <c r="X3155"/>
  <c r="X3154"/>
  <c r="X3153"/>
  <c r="X3152"/>
  <c r="X3151"/>
  <c r="X3150"/>
  <c r="X3149"/>
  <c r="X3148"/>
  <c r="X3147"/>
  <c r="X3146"/>
  <c r="X3145"/>
  <c r="X3144"/>
  <c r="X3143"/>
  <c r="X3142"/>
  <c r="X3141"/>
  <c r="X3140"/>
  <c r="X3139"/>
  <c r="X3138"/>
  <c r="X3137"/>
  <c r="X3136"/>
  <c r="X3135"/>
  <c r="X3134"/>
  <c r="X3133"/>
  <c r="X3132"/>
  <c r="X3131"/>
  <c r="X3130"/>
  <c r="X3129"/>
  <c r="X3128"/>
  <c r="X3127"/>
  <c r="X3126"/>
  <c r="X3125"/>
  <c r="X3124"/>
  <c r="X3123"/>
  <c r="X3122"/>
  <c r="X3121"/>
  <c r="X3120"/>
  <c r="X3119"/>
  <c r="X3118"/>
  <c r="X3117"/>
  <c r="X3116"/>
  <c r="X3115"/>
  <c r="X3114"/>
  <c r="X3113"/>
  <c r="X3112"/>
  <c r="X3111"/>
  <c r="X3110"/>
  <c r="X3109"/>
  <c r="X3108"/>
  <c r="X3107"/>
  <c r="X3106"/>
  <c r="X3105"/>
  <c r="X3104"/>
  <c r="X3103"/>
  <c r="X3102"/>
  <c r="X3101"/>
  <c r="X3100"/>
  <c r="X3099"/>
  <c r="X3098"/>
  <c r="X3097"/>
  <c r="X3096"/>
  <c r="X3095"/>
  <c r="X3094"/>
  <c r="X3093"/>
  <c r="X3092"/>
  <c r="X3091"/>
  <c r="X3090"/>
  <c r="X3089"/>
  <c r="X3088"/>
  <c r="X3087"/>
  <c r="X3086"/>
  <c r="X3085"/>
  <c r="X3084"/>
  <c r="X3083"/>
  <c r="X3082"/>
  <c r="X3081"/>
  <c r="X3080"/>
  <c r="X3079"/>
  <c r="X3078"/>
  <c r="X3077"/>
  <c r="X3076"/>
  <c r="X3075"/>
  <c r="X3074"/>
  <c r="X3073"/>
  <c r="X3072"/>
  <c r="X3071"/>
  <c r="X3070"/>
  <c r="X3069"/>
  <c r="X3068"/>
  <c r="X3067"/>
  <c r="X3066"/>
  <c r="X3065"/>
  <c r="X3064"/>
  <c r="X3063"/>
  <c r="X3062"/>
  <c r="X3061"/>
  <c r="X3060"/>
  <c r="X3059"/>
  <c r="X3058"/>
  <c r="X3057"/>
  <c r="X3056"/>
  <c r="X3055"/>
  <c r="X3054"/>
  <c r="X3053"/>
  <c r="X3052"/>
  <c r="X3051"/>
  <c r="X3050"/>
  <c r="X3049"/>
  <c r="X3048"/>
  <c r="X3047"/>
  <c r="X3046"/>
  <c r="X3045"/>
  <c r="X3044"/>
  <c r="X3043"/>
  <c r="X3042"/>
  <c r="X3041"/>
  <c r="X3040"/>
  <c r="X3039"/>
  <c r="X3038"/>
  <c r="X3037"/>
  <c r="X3036"/>
  <c r="X3035"/>
  <c r="X3034"/>
  <c r="X3033"/>
  <c r="X3032"/>
  <c r="X3031"/>
  <c r="X3030"/>
  <c r="X3029"/>
  <c r="X3028"/>
  <c r="X3027"/>
  <c r="X3026"/>
  <c r="X3025"/>
  <c r="X3024"/>
  <c r="X3023"/>
  <c r="X3022"/>
  <c r="X3021"/>
  <c r="X3020"/>
  <c r="X3019"/>
  <c r="X3018"/>
  <c r="X3017"/>
  <c r="X3016"/>
  <c r="X3015"/>
  <c r="X3014"/>
  <c r="X3013"/>
  <c r="X3012"/>
  <c r="X3011"/>
  <c r="X3010"/>
  <c r="X3009"/>
  <c r="X3008"/>
  <c r="X3007"/>
  <c r="X3006"/>
  <c r="X3005"/>
  <c r="X3004"/>
  <c r="X3003"/>
  <c r="X3002"/>
  <c r="X3001"/>
  <c r="X3000"/>
  <c r="X2999"/>
  <c r="X2998"/>
  <c r="X2997"/>
  <c r="X2996"/>
  <c r="X2995"/>
  <c r="X2994"/>
  <c r="X2993"/>
  <c r="X2992"/>
  <c r="X2991"/>
  <c r="X2990"/>
  <c r="X2989"/>
  <c r="X2988"/>
  <c r="X2987"/>
  <c r="X2986"/>
  <c r="X2985"/>
  <c r="X2984"/>
  <c r="X2983"/>
  <c r="X2982"/>
  <c r="X2981"/>
  <c r="X2980"/>
  <c r="X2979"/>
  <c r="X2978"/>
  <c r="X2977"/>
  <c r="X2976"/>
  <c r="X2975"/>
  <c r="X2974"/>
  <c r="X2973"/>
  <c r="X2972"/>
  <c r="X2971"/>
  <c r="X2970"/>
  <c r="X2969"/>
  <c r="X2968"/>
  <c r="X2967"/>
  <c r="X2966"/>
  <c r="X2965"/>
  <c r="X2964"/>
  <c r="X2963"/>
  <c r="X2962"/>
  <c r="X2961"/>
  <c r="X2960"/>
  <c r="X2959"/>
  <c r="X2958"/>
  <c r="X2957"/>
  <c r="X2956"/>
  <c r="X2955"/>
  <c r="X2954"/>
  <c r="X2953"/>
  <c r="X2952"/>
  <c r="X2951"/>
  <c r="X2950"/>
  <c r="X2949"/>
  <c r="X2948"/>
  <c r="X2947"/>
  <c r="X2946"/>
  <c r="X2945"/>
  <c r="X2944"/>
  <c r="X2943"/>
  <c r="X2942"/>
  <c r="X2941"/>
  <c r="X2940"/>
  <c r="X2939"/>
  <c r="X2938"/>
  <c r="X2937"/>
  <c r="X2936"/>
  <c r="X2935"/>
  <c r="X2934"/>
  <c r="X2933"/>
  <c r="X2932"/>
  <c r="X2931"/>
  <c r="X2930"/>
  <c r="X2929"/>
  <c r="X2928"/>
  <c r="X2927"/>
  <c r="X2926"/>
  <c r="X2925"/>
  <c r="X2924"/>
  <c r="X2923"/>
  <c r="X2922"/>
  <c r="X2921"/>
  <c r="X2920"/>
  <c r="X2919"/>
  <c r="X2918"/>
  <c r="X2917"/>
  <c r="X2916"/>
  <c r="X2915"/>
  <c r="X2914"/>
  <c r="X2913"/>
  <c r="X2912"/>
  <c r="X2911"/>
  <c r="X2910"/>
  <c r="X2909"/>
  <c r="X2908"/>
  <c r="X2907"/>
  <c r="X2906"/>
  <c r="X2905"/>
  <c r="X2904"/>
  <c r="X2903"/>
  <c r="X2902"/>
  <c r="X2901"/>
  <c r="X2900"/>
  <c r="X2899"/>
  <c r="X2898"/>
  <c r="X2897"/>
  <c r="X2896"/>
  <c r="X2895"/>
  <c r="X2894"/>
  <c r="X2893"/>
  <c r="X2892"/>
  <c r="X2891"/>
  <c r="X2890"/>
  <c r="X2889"/>
  <c r="X2888"/>
  <c r="X2887"/>
  <c r="X2886"/>
  <c r="X2885"/>
  <c r="X2884"/>
  <c r="X2883"/>
  <c r="X2882"/>
  <c r="X2881"/>
  <c r="X2880"/>
  <c r="X2879"/>
  <c r="X2878"/>
  <c r="X2877"/>
  <c r="X2876"/>
  <c r="X2875"/>
  <c r="X2874"/>
  <c r="X2873"/>
  <c r="X2872"/>
  <c r="X2871"/>
  <c r="X2870"/>
  <c r="X2869"/>
  <c r="X2868"/>
  <c r="X2867"/>
  <c r="X2866"/>
  <c r="X2865"/>
  <c r="X2864"/>
  <c r="X2863"/>
  <c r="X2862"/>
  <c r="X2861"/>
  <c r="X2860"/>
  <c r="X2859"/>
  <c r="X2858"/>
  <c r="X2857"/>
  <c r="X2856"/>
  <c r="X2855"/>
  <c r="X2854"/>
  <c r="X2853"/>
  <c r="X2852"/>
  <c r="X2851"/>
  <c r="X2850"/>
  <c r="X2849"/>
  <c r="X2848"/>
  <c r="X2847"/>
  <c r="X2846"/>
  <c r="X2845"/>
  <c r="X2844"/>
  <c r="X2843"/>
  <c r="X2842"/>
  <c r="X2841"/>
  <c r="X2840"/>
  <c r="X2839"/>
  <c r="X2838"/>
  <c r="X2837"/>
  <c r="X2836"/>
  <c r="X2835"/>
  <c r="X2834"/>
  <c r="X2833"/>
  <c r="X2832"/>
  <c r="X2831"/>
  <c r="X2830"/>
  <c r="X2829"/>
  <c r="X2828"/>
  <c r="X2827"/>
  <c r="X2826"/>
  <c r="X2825"/>
  <c r="X2824"/>
  <c r="X2823"/>
  <c r="X2822"/>
  <c r="X2821"/>
  <c r="X2820"/>
  <c r="X2819"/>
  <c r="X2818"/>
  <c r="X2817"/>
  <c r="X2816"/>
  <c r="X2815"/>
  <c r="X2814"/>
  <c r="X2813"/>
  <c r="X2812"/>
  <c r="X2811"/>
  <c r="X2810"/>
  <c r="X2809"/>
  <c r="X2808"/>
  <c r="X2807"/>
  <c r="X2806"/>
  <c r="X2805"/>
  <c r="X2804"/>
  <c r="X2803"/>
  <c r="X2802"/>
  <c r="X2801"/>
  <c r="X2800"/>
  <c r="X2799"/>
  <c r="X2798"/>
  <c r="X2797"/>
  <c r="X2796"/>
  <c r="X2795"/>
  <c r="X2794"/>
  <c r="X2793"/>
  <c r="X2792"/>
  <c r="X2791"/>
  <c r="X2790"/>
  <c r="X2789"/>
  <c r="X2788"/>
  <c r="X2787"/>
  <c r="X2786"/>
  <c r="X2785"/>
  <c r="X2784"/>
  <c r="X2783"/>
  <c r="X2782"/>
  <c r="X2781"/>
  <c r="X2780"/>
  <c r="X2779"/>
  <c r="X2778"/>
  <c r="X2777"/>
  <c r="X2776"/>
  <c r="X2775"/>
  <c r="X2774"/>
  <c r="X2773"/>
  <c r="X2772"/>
  <c r="X2771"/>
  <c r="X2770"/>
  <c r="X2769"/>
  <c r="X2768"/>
  <c r="X2767"/>
  <c r="X2766"/>
  <c r="X2765"/>
  <c r="X2764"/>
  <c r="X2763"/>
  <c r="X2762"/>
  <c r="X2761"/>
  <c r="X2760"/>
  <c r="X2759"/>
  <c r="X2758"/>
  <c r="X2757"/>
  <c r="X2756"/>
  <c r="X2755"/>
  <c r="X2754"/>
  <c r="X2753"/>
  <c r="X2752"/>
  <c r="X2751"/>
  <c r="X2750"/>
  <c r="X2749"/>
  <c r="X2748"/>
  <c r="X2747"/>
  <c r="X2746"/>
  <c r="X2745"/>
  <c r="X2744"/>
  <c r="X2743"/>
  <c r="X2742"/>
  <c r="X2741"/>
  <c r="X2740"/>
  <c r="X2739"/>
  <c r="X2738"/>
  <c r="X2737"/>
  <c r="X2736"/>
  <c r="X2735"/>
  <c r="X2734"/>
  <c r="X2733"/>
  <c r="X2732"/>
  <c r="X2731"/>
  <c r="X2730"/>
  <c r="X2729"/>
  <c r="X2728"/>
  <c r="X2727"/>
  <c r="X2726"/>
  <c r="X2725"/>
  <c r="X2724"/>
  <c r="X2723"/>
  <c r="X2722"/>
  <c r="X2721"/>
  <c r="X2720"/>
  <c r="X2719"/>
  <c r="X2718"/>
  <c r="X2717"/>
  <c r="X2716"/>
  <c r="X2715"/>
  <c r="X2714"/>
  <c r="X2713"/>
  <c r="X2712"/>
  <c r="X2711"/>
  <c r="X2710"/>
  <c r="X2709"/>
  <c r="X2708"/>
  <c r="X2707"/>
  <c r="X2706"/>
  <c r="X2705"/>
  <c r="X2704"/>
  <c r="X2703"/>
  <c r="X2702"/>
  <c r="X2701"/>
  <c r="X2700"/>
  <c r="X2699"/>
  <c r="X2698"/>
  <c r="X2697"/>
  <c r="X2696"/>
  <c r="X2695"/>
  <c r="X2694"/>
  <c r="X2693"/>
  <c r="X2692"/>
  <c r="X2691"/>
  <c r="X2690"/>
  <c r="X2689"/>
  <c r="X2688"/>
  <c r="X2687"/>
  <c r="X2686"/>
  <c r="X2685"/>
  <c r="X2684"/>
  <c r="X2683"/>
  <c r="X2682"/>
  <c r="X2681"/>
  <c r="X2680"/>
  <c r="X2679"/>
  <c r="X2678"/>
  <c r="X2677"/>
  <c r="X2676"/>
  <c r="X2675"/>
  <c r="X2674"/>
  <c r="X2673"/>
  <c r="X2672"/>
  <c r="X2671"/>
  <c r="X2670"/>
  <c r="X2669"/>
  <c r="X2668"/>
  <c r="X2667"/>
  <c r="X2666"/>
  <c r="X2665"/>
  <c r="X2664"/>
  <c r="X2663"/>
  <c r="X2662"/>
  <c r="X2661"/>
  <c r="X2660"/>
  <c r="X2659"/>
  <c r="X2658"/>
  <c r="X2657"/>
  <c r="X2656"/>
  <c r="X2655"/>
  <c r="X2654"/>
  <c r="X2653"/>
  <c r="X2652"/>
  <c r="X2651"/>
  <c r="X2650"/>
  <c r="X2649"/>
  <c r="X2648"/>
  <c r="X2647"/>
  <c r="X2646"/>
  <c r="X2645"/>
  <c r="X2644"/>
  <c r="X2643"/>
  <c r="X2642"/>
  <c r="X2641"/>
  <c r="X2640"/>
  <c r="X2639"/>
  <c r="X2638"/>
  <c r="X2637"/>
  <c r="X2636"/>
  <c r="X2635"/>
  <c r="X2634"/>
  <c r="X2633"/>
  <c r="X2632"/>
  <c r="X2631"/>
  <c r="X2630"/>
  <c r="X2629"/>
  <c r="X2628"/>
  <c r="X2627"/>
  <c r="X2626"/>
  <c r="X2625"/>
  <c r="X2624"/>
  <c r="X2623"/>
  <c r="X2622"/>
  <c r="X2621"/>
  <c r="X2620"/>
  <c r="X2619"/>
  <c r="X2618"/>
  <c r="X2617"/>
  <c r="X2616"/>
  <c r="X2615"/>
  <c r="X2614"/>
  <c r="X2613"/>
  <c r="X2612"/>
  <c r="X2611"/>
  <c r="X2610"/>
  <c r="X2609"/>
  <c r="X2608"/>
  <c r="X2607"/>
  <c r="X2606"/>
  <c r="X2605"/>
  <c r="X2604"/>
  <c r="X2603"/>
  <c r="X2602"/>
  <c r="X2601"/>
  <c r="X2600"/>
  <c r="X2599"/>
  <c r="X2598"/>
  <c r="X2597"/>
  <c r="X2596"/>
  <c r="X2595"/>
  <c r="X2594"/>
  <c r="X2593"/>
  <c r="X2592"/>
  <c r="X2591"/>
  <c r="X2590"/>
  <c r="X2589"/>
  <c r="X2588"/>
  <c r="X2587"/>
  <c r="X2586"/>
  <c r="X2585"/>
  <c r="X2584"/>
  <c r="X2583"/>
  <c r="X2582"/>
  <c r="X2581"/>
  <c r="X2580"/>
  <c r="X2579"/>
  <c r="X2578"/>
  <c r="X2577"/>
  <c r="X2576"/>
  <c r="X2575"/>
  <c r="X2574"/>
  <c r="X2573"/>
  <c r="X2572"/>
  <c r="X2571"/>
  <c r="X2570"/>
  <c r="X2569"/>
  <c r="X2568"/>
  <c r="X2567"/>
  <c r="X2566"/>
  <c r="X2565"/>
  <c r="X2564"/>
  <c r="X2563"/>
  <c r="X2562"/>
  <c r="X2561"/>
  <c r="X2560"/>
  <c r="X2559"/>
  <c r="X2558"/>
  <c r="X2557"/>
  <c r="X2556"/>
  <c r="X2555"/>
  <c r="X2554"/>
  <c r="X2553"/>
  <c r="X2552"/>
  <c r="X2551"/>
  <c r="X2550"/>
  <c r="X2549"/>
  <c r="X2548"/>
  <c r="X2547"/>
  <c r="X2546"/>
  <c r="X2545"/>
  <c r="X2544"/>
  <c r="X2543"/>
  <c r="X2542"/>
  <c r="X2541"/>
  <c r="X2540"/>
  <c r="X2539"/>
  <c r="X2538"/>
  <c r="X2537"/>
  <c r="X2536"/>
  <c r="X2535"/>
  <c r="X2534"/>
  <c r="X2533"/>
  <c r="X2532"/>
  <c r="X2531"/>
  <c r="X2530"/>
  <c r="X2529"/>
  <c r="X2528"/>
  <c r="X2527"/>
  <c r="X2526"/>
  <c r="X2525"/>
  <c r="X2524"/>
  <c r="X2523"/>
  <c r="X2522"/>
  <c r="X2521"/>
  <c r="X2520"/>
  <c r="X2519"/>
  <c r="X2518"/>
  <c r="X2517"/>
  <c r="X2516"/>
  <c r="X2515"/>
  <c r="X2514"/>
  <c r="X2513"/>
  <c r="X2512"/>
  <c r="X2511"/>
  <c r="X2510"/>
  <c r="X2509"/>
  <c r="X2508"/>
  <c r="X2507"/>
  <c r="X2506"/>
  <c r="X2505"/>
  <c r="X2504"/>
  <c r="X2503"/>
  <c r="X2502"/>
  <c r="X2501"/>
  <c r="X2500"/>
  <c r="X2499"/>
  <c r="X2498"/>
  <c r="X2497"/>
  <c r="X2496"/>
  <c r="X2495"/>
  <c r="X2494"/>
  <c r="X2493"/>
  <c r="X2492"/>
  <c r="X2491"/>
  <c r="X2490"/>
  <c r="X2489"/>
  <c r="X2488"/>
  <c r="X2487"/>
  <c r="X2486"/>
  <c r="X2485"/>
  <c r="X2484"/>
  <c r="X2483"/>
  <c r="X2482"/>
  <c r="X2481"/>
  <c r="X2480"/>
  <c r="X2479"/>
  <c r="X2478"/>
  <c r="X2477"/>
  <c r="X2476"/>
  <c r="X2475"/>
  <c r="X2474"/>
  <c r="X2473"/>
  <c r="X2472"/>
  <c r="X2471"/>
  <c r="X2470"/>
  <c r="X2469"/>
  <c r="X2468"/>
  <c r="X2467"/>
  <c r="X2466"/>
  <c r="X2465"/>
  <c r="X2464"/>
  <c r="X2463"/>
  <c r="X2462"/>
  <c r="X2461"/>
  <c r="X2460"/>
  <c r="X2459"/>
  <c r="X2458"/>
  <c r="X2457"/>
  <c r="X2456"/>
  <c r="X2455"/>
  <c r="X2454"/>
  <c r="X2453"/>
  <c r="X2452"/>
  <c r="X2451"/>
  <c r="X2450"/>
  <c r="X2449"/>
  <c r="X2448"/>
  <c r="X2447"/>
  <c r="X2446"/>
  <c r="X2445"/>
  <c r="X2444"/>
  <c r="X2443"/>
  <c r="X2442"/>
  <c r="X2441"/>
  <c r="X2440"/>
  <c r="X2439"/>
  <c r="X2438"/>
  <c r="X2437"/>
  <c r="X2436"/>
  <c r="X2435"/>
  <c r="X2434"/>
  <c r="X2433"/>
  <c r="X2432"/>
  <c r="X2431"/>
  <c r="X2430"/>
  <c r="X2429"/>
  <c r="X2428"/>
  <c r="X2427"/>
  <c r="X2426"/>
  <c r="X2425"/>
  <c r="X2424"/>
  <c r="X2423"/>
  <c r="X2422"/>
  <c r="X2421"/>
  <c r="X2420"/>
  <c r="X2419"/>
  <c r="X2418"/>
  <c r="X2417"/>
  <c r="X2416"/>
  <c r="X2415"/>
  <c r="X2414"/>
  <c r="X2413"/>
  <c r="X2412"/>
  <c r="X2411"/>
  <c r="X2410"/>
  <c r="X2409"/>
  <c r="X2408"/>
  <c r="X2407"/>
  <c r="X2406"/>
  <c r="X2405"/>
  <c r="X2404"/>
  <c r="X2403"/>
  <c r="X2402"/>
  <c r="X2401"/>
  <c r="X2400"/>
  <c r="X2399"/>
  <c r="X2398"/>
  <c r="X2397"/>
  <c r="X2396"/>
  <c r="X2395"/>
  <c r="X2394"/>
  <c r="X2393"/>
  <c r="X2392"/>
  <c r="X2391"/>
  <c r="X2390"/>
  <c r="X2389"/>
  <c r="X2388"/>
  <c r="X2387"/>
  <c r="X2386"/>
  <c r="X2385"/>
  <c r="X2384"/>
  <c r="X2383"/>
  <c r="X2382"/>
  <c r="X2381"/>
  <c r="X2380"/>
  <c r="X2379"/>
  <c r="X2378"/>
  <c r="X2377"/>
  <c r="X2376"/>
  <c r="X2375"/>
  <c r="X2374"/>
  <c r="X2373"/>
  <c r="X2372"/>
  <c r="X2371"/>
  <c r="X2370"/>
  <c r="X2369"/>
  <c r="X2368"/>
  <c r="X2367"/>
  <c r="X2366"/>
  <c r="X2365"/>
  <c r="X2364"/>
  <c r="X2363"/>
  <c r="X2362"/>
  <c r="X2361"/>
  <c r="X2360"/>
  <c r="X2359"/>
  <c r="X2358"/>
  <c r="X2357"/>
  <c r="X2356"/>
  <c r="X2355"/>
  <c r="X2354"/>
  <c r="X2353"/>
  <c r="X2352"/>
  <c r="X2351"/>
  <c r="X2350"/>
  <c r="X2349"/>
  <c r="X2348"/>
  <c r="X2347"/>
  <c r="X2346"/>
  <c r="X2345"/>
  <c r="X2344"/>
  <c r="X2343"/>
  <c r="X2342"/>
  <c r="X2341"/>
  <c r="X2340"/>
  <c r="X2339"/>
  <c r="X2338"/>
  <c r="X2337"/>
  <c r="X2336"/>
  <c r="X2335"/>
  <c r="X2334"/>
  <c r="X2333"/>
  <c r="X2332"/>
  <c r="X2331"/>
  <c r="X2330"/>
  <c r="X2329"/>
  <c r="X2328"/>
  <c r="X2327"/>
  <c r="X2326"/>
  <c r="X2325"/>
  <c r="X2324"/>
  <c r="X2323"/>
  <c r="X2322"/>
  <c r="X2321"/>
  <c r="X2320"/>
  <c r="X2319"/>
  <c r="X2318"/>
  <c r="X2317"/>
  <c r="X2316"/>
  <c r="X2315"/>
  <c r="X2314"/>
  <c r="X2313"/>
  <c r="X2312"/>
  <c r="X2311"/>
  <c r="X2310"/>
  <c r="X2309"/>
  <c r="X2308"/>
  <c r="X2307"/>
  <c r="X2306"/>
  <c r="X2305"/>
  <c r="X2304"/>
  <c r="X2303"/>
  <c r="X2302"/>
  <c r="X2301"/>
  <c r="X2300"/>
  <c r="X2299"/>
  <c r="X2298"/>
  <c r="X2297"/>
  <c r="X2296"/>
  <c r="X2295"/>
  <c r="X2294"/>
  <c r="X2293"/>
  <c r="X2292"/>
  <c r="X2291"/>
  <c r="X2290"/>
  <c r="X2289"/>
  <c r="X2288"/>
  <c r="X2287"/>
  <c r="X2286"/>
  <c r="X2285"/>
  <c r="X2284"/>
  <c r="X2283"/>
  <c r="X2282"/>
  <c r="X2281"/>
  <c r="X2280"/>
  <c r="X2279"/>
  <c r="X2278"/>
  <c r="X2277"/>
  <c r="X2276"/>
  <c r="X2275"/>
  <c r="X2274"/>
  <c r="X2273"/>
  <c r="X2272"/>
  <c r="X2271"/>
  <c r="X2270"/>
  <c r="X2269"/>
  <c r="X2268"/>
  <c r="X2267"/>
  <c r="X2266"/>
  <c r="X2265"/>
  <c r="X2264"/>
  <c r="X2263"/>
  <c r="X2262"/>
  <c r="X2261"/>
  <c r="X2260"/>
  <c r="X2259"/>
  <c r="X2258"/>
  <c r="X2257"/>
  <c r="X2256"/>
  <c r="X2255"/>
  <c r="X2254"/>
  <c r="X2253"/>
  <c r="X2252"/>
  <c r="X2251"/>
  <c r="X2250"/>
  <c r="X2249"/>
  <c r="X2248"/>
  <c r="X2247"/>
  <c r="X2246"/>
  <c r="X2245"/>
  <c r="X2244"/>
  <c r="X2243"/>
  <c r="X2242"/>
  <c r="X2241"/>
  <c r="X2240"/>
  <c r="X2239"/>
  <c r="X2238"/>
  <c r="X2237"/>
  <c r="X2236"/>
  <c r="X2235"/>
  <c r="X2234"/>
  <c r="X2233"/>
  <c r="X2232"/>
  <c r="X2231"/>
  <c r="X2230"/>
  <c r="X2229"/>
  <c r="X2228"/>
  <c r="X2227"/>
  <c r="X2226"/>
  <c r="X2225"/>
  <c r="X2224"/>
  <c r="X2223"/>
  <c r="X2222"/>
  <c r="X2221"/>
  <c r="X2220"/>
  <c r="X2219"/>
  <c r="X2218"/>
  <c r="X2217"/>
  <c r="X2216"/>
  <c r="X2215"/>
  <c r="X2214"/>
  <c r="X2213"/>
  <c r="X2212"/>
  <c r="X2211"/>
  <c r="X2210"/>
  <c r="X2209"/>
  <c r="X2208"/>
  <c r="X2207"/>
  <c r="X2206"/>
  <c r="X2205"/>
  <c r="X2204"/>
  <c r="X2203"/>
  <c r="X2202"/>
  <c r="X2201"/>
  <c r="X2200"/>
  <c r="X2199"/>
  <c r="X2198"/>
  <c r="X2197"/>
  <c r="X2196"/>
  <c r="X2195"/>
  <c r="X2194"/>
  <c r="X2193"/>
  <c r="X2192"/>
  <c r="X2191"/>
  <c r="X2190"/>
  <c r="X2189"/>
  <c r="X2188"/>
  <c r="X2187"/>
  <c r="X2186"/>
  <c r="X2185"/>
  <c r="X2184"/>
  <c r="X2183"/>
  <c r="X2182"/>
  <c r="X2181"/>
  <c r="X2180"/>
  <c r="X2179"/>
  <c r="X2178"/>
  <c r="X2177"/>
  <c r="X2176"/>
  <c r="X2175"/>
  <c r="X2174"/>
  <c r="X2173"/>
  <c r="X2172"/>
  <c r="X2171"/>
  <c r="X2170"/>
  <c r="X2169"/>
  <c r="X2168"/>
  <c r="X2167"/>
  <c r="X2166"/>
  <c r="X2165"/>
  <c r="X2164"/>
  <c r="X2163"/>
  <c r="X2162"/>
  <c r="X2161"/>
  <c r="X2160"/>
  <c r="X2159"/>
  <c r="X2158"/>
  <c r="X2157"/>
  <c r="X2156"/>
  <c r="X2155"/>
  <c r="X2154"/>
  <c r="X2153"/>
  <c r="X2152"/>
  <c r="X2151"/>
  <c r="X2150"/>
  <c r="X2149"/>
  <c r="X2148"/>
  <c r="X2147"/>
  <c r="X2146"/>
  <c r="X2145"/>
  <c r="X2144"/>
  <c r="X2143"/>
  <c r="X2142"/>
  <c r="X2141"/>
  <c r="X2140"/>
  <c r="X2139"/>
  <c r="X2138"/>
  <c r="X2137"/>
  <c r="X2136"/>
  <c r="X2135"/>
  <c r="X2134"/>
  <c r="X2133"/>
  <c r="X2132"/>
  <c r="X2131"/>
  <c r="X2130"/>
  <c r="X2129"/>
  <c r="X2128"/>
  <c r="X2127"/>
  <c r="X2126"/>
  <c r="X2125"/>
  <c r="X2124"/>
  <c r="X2123"/>
  <c r="X2122"/>
  <c r="X2121"/>
  <c r="X2120"/>
  <c r="X2119"/>
  <c r="X2118"/>
  <c r="X2117"/>
  <c r="X2116"/>
  <c r="X2115"/>
  <c r="X2114"/>
  <c r="X2113"/>
  <c r="X2112"/>
  <c r="X2111"/>
  <c r="X2110"/>
  <c r="X2109"/>
  <c r="X2108"/>
  <c r="X2107"/>
  <c r="X2106"/>
  <c r="X2105"/>
  <c r="X2104"/>
  <c r="X2103"/>
  <c r="X2102"/>
  <c r="X2101"/>
  <c r="X2100"/>
  <c r="X2099"/>
  <c r="X2098"/>
  <c r="X2097"/>
  <c r="X2096"/>
  <c r="X2095"/>
  <c r="X2094"/>
  <c r="X2093"/>
  <c r="X2092"/>
  <c r="X2091"/>
  <c r="X2090"/>
  <c r="X2089"/>
  <c r="X2088"/>
  <c r="X2087"/>
  <c r="X2086"/>
  <c r="X2085"/>
  <c r="X2084"/>
  <c r="X2083"/>
  <c r="X2082"/>
  <c r="X2081"/>
  <c r="X2080"/>
  <c r="X2079"/>
  <c r="X2078"/>
  <c r="X2077"/>
  <c r="X2076"/>
  <c r="X2075"/>
  <c r="X2074"/>
  <c r="X2073"/>
  <c r="X2072"/>
  <c r="X2071"/>
  <c r="X2070"/>
  <c r="X2069"/>
  <c r="X2068"/>
  <c r="X2067"/>
  <c r="X2066"/>
  <c r="X2065"/>
  <c r="X2064"/>
  <c r="X2063"/>
  <c r="X2062"/>
  <c r="X2061"/>
  <c r="X2060"/>
  <c r="X2059"/>
  <c r="X2058"/>
  <c r="X2057"/>
  <c r="X2056"/>
  <c r="X2055"/>
  <c r="X2054"/>
  <c r="X2053"/>
  <c r="X2052"/>
  <c r="X2051"/>
  <c r="X2050"/>
  <c r="X2049"/>
  <c r="X2048"/>
  <c r="X2047"/>
  <c r="X2046"/>
  <c r="X2045"/>
  <c r="X2044"/>
  <c r="X2043"/>
  <c r="X2042"/>
  <c r="X2041"/>
  <c r="X2040"/>
  <c r="X2039"/>
  <c r="X2038"/>
  <c r="X2037"/>
  <c r="X2036"/>
  <c r="X2035"/>
  <c r="X2034"/>
  <c r="X2033"/>
  <c r="X2032"/>
  <c r="X2031"/>
  <c r="X2030"/>
  <c r="X2029"/>
  <c r="X2028"/>
  <c r="X2027"/>
  <c r="X2026"/>
  <c r="X2025"/>
  <c r="X2024"/>
  <c r="X2023"/>
  <c r="X2022"/>
  <c r="X2021"/>
  <c r="X2020"/>
  <c r="X2019"/>
  <c r="X2018"/>
  <c r="X2017"/>
  <c r="X2016"/>
  <c r="X2015"/>
  <c r="X2014"/>
  <c r="X2013"/>
  <c r="X2012"/>
  <c r="X2011"/>
  <c r="X2010"/>
  <c r="X2009"/>
  <c r="X2008"/>
  <c r="X2007"/>
  <c r="X2006"/>
  <c r="X2005"/>
  <c r="X2004"/>
  <c r="X2003"/>
  <c r="X2002"/>
  <c r="X2001"/>
  <c r="X2000"/>
  <c r="X1999"/>
  <c r="X1998"/>
  <c r="X1997"/>
  <c r="X1996"/>
  <c r="X1995"/>
  <c r="X1994"/>
  <c r="X1993"/>
  <c r="X1992"/>
  <c r="X1991"/>
  <c r="X1990"/>
  <c r="X1989"/>
  <c r="X1988"/>
  <c r="X1987"/>
  <c r="X1986"/>
  <c r="X1985"/>
  <c r="X1984"/>
  <c r="X1983"/>
  <c r="X1982"/>
  <c r="X1981"/>
  <c r="X1980"/>
  <c r="X1979"/>
  <c r="X1978"/>
  <c r="X1977"/>
  <c r="X1976"/>
  <c r="X1975"/>
  <c r="X1974"/>
  <c r="X1973"/>
  <c r="X1972"/>
  <c r="X1971"/>
  <c r="X1970"/>
  <c r="X1969"/>
  <c r="X1968"/>
  <c r="X1967"/>
  <c r="X1966"/>
  <c r="X1965"/>
  <c r="X1964"/>
  <c r="X1963"/>
  <c r="X1962"/>
  <c r="X1961"/>
  <c r="X1960"/>
  <c r="X1959"/>
  <c r="X1958"/>
  <c r="X1957"/>
  <c r="X1956"/>
  <c r="X1955"/>
  <c r="X1954"/>
  <c r="X1953"/>
  <c r="X1952"/>
  <c r="X1951"/>
  <c r="X1950"/>
  <c r="X1949"/>
  <c r="X1948"/>
  <c r="X1947"/>
  <c r="X1946"/>
  <c r="X1945"/>
  <c r="X1944"/>
  <c r="X1943"/>
  <c r="X1942"/>
  <c r="X1941"/>
  <c r="X1940"/>
  <c r="X1939"/>
  <c r="X1938"/>
  <c r="X1937"/>
  <c r="X1936"/>
  <c r="X1935"/>
  <c r="X1934"/>
  <c r="X1933"/>
  <c r="X1932"/>
  <c r="X1931"/>
  <c r="X1930"/>
  <c r="X1929"/>
  <c r="X1928"/>
  <c r="X1927"/>
  <c r="X1926"/>
  <c r="X1925"/>
  <c r="X1924"/>
  <c r="X1923"/>
  <c r="X1922"/>
  <c r="X1921"/>
  <c r="X1920"/>
  <c r="X1919"/>
  <c r="X1918"/>
  <c r="X1917"/>
  <c r="X1916"/>
  <c r="X1915"/>
  <c r="X1914"/>
  <c r="X1913"/>
  <c r="X1912"/>
  <c r="X1911"/>
  <c r="X1910"/>
  <c r="X1909"/>
  <c r="X1908"/>
  <c r="X1907"/>
  <c r="X1906"/>
  <c r="X1905"/>
  <c r="X1904"/>
  <c r="X1903"/>
  <c r="X1902"/>
  <c r="X1901"/>
  <c r="X1900"/>
  <c r="X1899"/>
  <c r="X1898"/>
  <c r="X1897"/>
  <c r="X1896"/>
  <c r="X1895"/>
  <c r="X1894"/>
  <c r="X1893"/>
  <c r="X1892"/>
  <c r="X1891"/>
  <c r="X1890"/>
  <c r="X1889"/>
  <c r="X1888"/>
  <c r="X1887"/>
  <c r="X1886"/>
  <c r="X1885"/>
  <c r="X1884"/>
  <c r="X1883"/>
  <c r="X1882"/>
  <c r="X1881"/>
  <c r="X1880"/>
  <c r="X1879"/>
  <c r="X1878"/>
  <c r="X1877"/>
  <c r="X1876"/>
  <c r="X1875"/>
  <c r="X1874"/>
  <c r="X1873"/>
  <c r="X1872"/>
  <c r="X1871"/>
  <c r="X1870"/>
  <c r="X1869"/>
  <c r="X1868"/>
  <c r="X1867"/>
  <c r="X1866"/>
  <c r="X1865"/>
  <c r="X1864"/>
  <c r="X1863"/>
  <c r="X1862"/>
  <c r="X1861"/>
  <c r="X1860"/>
  <c r="X1859"/>
  <c r="X1858"/>
  <c r="X1857"/>
  <c r="X1856"/>
  <c r="X1855"/>
  <c r="X1854"/>
  <c r="X1853"/>
  <c r="X1852"/>
  <c r="X1851"/>
  <c r="X1850"/>
  <c r="X1849"/>
  <c r="X1848"/>
  <c r="X1847"/>
  <c r="X1846"/>
  <c r="X1845"/>
  <c r="X1844"/>
  <c r="X1843"/>
  <c r="X1842"/>
  <c r="X1841"/>
  <c r="X1840"/>
  <c r="X1839"/>
  <c r="X1838"/>
  <c r="X1837"/>
  <c r="X1836"/>
  <c r="X1835"/>
  <c r="X1834"/>
  <c r="X1833"/>
  <c r="X1832"/>
  <c r="X1831"/>
  <c r="X1830"/>
  <c r="X1829"/>
  <c r="X1828"/>
  <c r="X1827"/>
  <c r="X1826"/>
  <c r="X1825"/>
  <c r="X1824"/>
  <c r="X1823"/>
  <c r="X1822"/>
  <c r="X1821"/>
  <c r="X1820"/>
  <c r="X1819"/>
  <c r="X1818"/>
  <c r="X1817"/>
  <c r="X1816"/>
  <c r="X1815"/>
  <c r="X1814"/>
  <c r="X1813"/>
  <c r="X1812"/>
  <c r="X1811"/>
  <c r="X1810"/>
  <c r="X1809"/>
  <c r="X1808"/>
  <c r="X1807"/>
  <c r="X1806"/>
  <c r="X1805"/>
  <c r="X1804"/>
  <c r="X1803"/>
  <c r="X1802"/>
  <c r="X1801"/>
  <c r="X1800"/>
  <c r="X1799"/>
  <c r="X1798"/>
  <c r="X1797"/>
  <c r="X1796"/>
  <c r="X1795"/>
  <c r="X1794"/>
  <c r="X1793"/>
  <c r="X1792"/>
  <c r="X1791"/>
  <c r="X1790"/>
  <c r="X1789"/>
  <c r="X1788"/>
  <c r="X1787"/>
  <c r="X1786"/>
  <c r="X1785"/>
  <c r="X1784"/>
  <c r="X1783"/>
  <c r="X1782"/>
  <c r="X1781"/>
  <c r="X1780"/>
  <c r="X1779"/>
  <c r="X1778"/>
  <c r="X1777"/>
  <c r="X1776"/>
  <c r="X1775"/>
  <c r="X1774"/>
  <c r="X1773"/>
  <c r="X1772"/>
  <c r="X1771"/>
  <c r="X1770"/>
  <c r="X1769"/>
  <c r="X1768"/>
  <c r="X1767"/>
  <c r="X1766"/>
  <c r="X1765"/>
  <c r="X1764"/>
  <c r="X1763"/>
  <c r="X1762"/>
  <c r="X1761"/>
  <c r="X1760"/>
  <c r="X1759"/>
  <c r="X1758"/>
  <c r="X1757"/>
  <c r="X1756"/>
  <c r="X1755"/>
  <c r="X1754"/>
  <c r="X1753"/>
  <c r="X1752"/>
  <c r="X1751"/>
  <c r="X1750"/>
  <c r="X1749"/>
  <c r="X1748"/>
  <c r="X1747"/>
  <c r="X1746"/>
  <c r="X1745"/>
  <c r="X1744"/>
  <c r="X1743"/>
  <c r="X1742"/>
  <c r="X1741"/>
  <c r="X1740"/>
  <c r="X1739"/>
  <c r="X1738"/>
  <c r="X1737"/>
  <c r="X1736"/>
  <c r="X1735"/>
  <c r="X1734"/>
  <c r="X1733"/>
  <c r="X1732"/>
  <c r="X1731"/>
  <c r="X1730"/>
  <c r="X1729"/>
  <c r="X1728"/>
  <c r="X1727"/>
  <c r="X1726"/>
  <c r="X1725"/>
  <c r="X1724"/>
  <c r="X1723"/>
  <c r="X1722"/>
  <c r="X1721"/>
  <c r="X1720"/>
  <c r="X1719"/>
  <c r="X1718"/>
  <c r="X1717"/>
  <c r="X1716"/>
  <c r="X1715"/>
  <c r="X1714"/>
  <c r="X1713"/>
  <c r="X1712"/>
  <c r="X1711"/>
  <c r="X1710"/>
  <c r="X1709"/>
  <c r="X1708"/>
  <c r="X1707"/>
  <c r="X1706"/>
  <c r="X1705"/>
  <c r="X1704"/>
  <c r="X1703"/>
  <c r="X1702"/>
  <c r="X1701"/>
  <c r="X1700"/>
  <c r="X1699"/>
  <c r="X1698"/>
  <c r="X1697"/>
  <c r="X1696"/>
  <c r="X1695"/>
  <c r="X1694"/>
  <c r="X1693"/>
  <c r="X1692"/>
  <c r="X1691"/>
  <c r="X1690"/>
  <c r="X1689"/>
  <c r="X1688"/>
  <c r="X1687"/>
  <c r="X1686"/>
  <c r="X1685"/>
  <c r="X1684"/>
  <c r="X1683"/>
  <c r="X1682"/>
  <c r="X1681"/>
  <c r="X1680"/>
  <c r="X1679"/>
  <c r="X1678"/>
  <c r="X1677"/>
  <c r="X1676"/>
  <c r="X1675"/>
  <c r="X1674"/>
  <c r="X1673"/>
  <c r="X1672"/>
  <c r="X1671"/>
  <c r="X1670"/>
  <c r="X1669"/>
  <c r="X1668"/>
  <c r="X1667"/>
  <c r="X1666"/>
  <c r="X1665"/>
  <c r="X1664"/>
  <c r="X1663"/>
  <c r="X1662"/>
  <c r="X1661"/>
  <c r="X1660"/>
  <c r="X1659"/>
  <c r="X1658"/>
  <c r="X1657"/>
  <c r="X1656"/>
  <c r="X1655"/>
  <c r="X1654"/>
  <c r="X1653"/>
  <c r="X1652"/>
  <c r="X1651"/>
  <c r="X1650"/>
  <c r="X1649"/>
  <c r="X1648"/>
  <c r="X1647"/>
  <c r="X1646"/>
  <c r="X1645"/>
  <c r="X1644"/>
  <c r="X1643"/>
  <c r="X1642"/>
  <c r="X1641"/>
  <c r="X1640"/>
  <c r="X1639"/>
  <c r="X1638"/>
  <c r="X1637"/>
  <c r="X1636"/>
  <c r="X1635"/>
  <c r="X1634"/>
  <c r="X1633"/>
  <c r="X1632"/>
  <c r="X1631"/>
  <c r="X1630"/>
  <c r="X1629"/>
  <c r="X1628"/>
  <c r="X1627"/>
  <c r="X1626"/>
  <c r="X1625"/>
  <c r="X1624"/>
  <c r="X1623"/>
  <c r="X1622"/>
  <c r="X1621"/>
  <c r="X1620"/>
  <c r="X1619"/>
  <c r="X1618"/>
  <c r="X1617"/>
  <c r="X1616"/>
  <c r="X1615"/>
  <c r="X1614"/>
  <c r="X1613"/>
  <c r="X1612"/>
  <c r="X1611"/>
  <c r="X1610"/>
  <c r="X1609"/>
  <c r="X1608"/>
  <c r="X1607"/>
  <c r="X1606"/>
  <c r="X1605"/>
  <c r="X1604"/>
  <c r="X1603"/>
  <c r="X1602"/>
  <c r="X1601"/>
  <c r="X1600"/>
  <c r="X1599"/>
  <c r="X1598"/>
  <c r="X1597"/>
  <c r="X1596"/>
  <c r="X1595"/>
  <c r="X1594"/>
  <c r="X1593"/>
  <c r="X1592"/>
  <c r="X1591"/>
  <c r="X1590"/>
  <c r="X1589"/>
  <c r="X1588"/>
  <c r="X1587"/>
  <c r="X1586"/>
  <c r="X1585"/>
  <c r="X1584"/>
  <c r="X1583"/>
  <c r="X1582"/>
  <c r="X1581"/>
  <c r="X1580"/>
  <c r="X1579"/>
  <c r="X1578"/>
  <c r="X1577"/>
  <c r="X1576"/>
  <c r="X1575"/>
  <c r="X1574"/>
  <c r="X1573"/>
  <c r="X1572"/>
  <c r="X1571"/>
  <c r="X1570"/>
  <c r="X1569"/>
  <c r="X1568"/>
  <c r="X1567"/>
  <c r="X1566"/>
  <c r="X1565"/>
  <c r="X1564"/>
  <c r="X1563"/>
  <c r="X1562"/>
  <c r="X1561"/>
  <c r="X1560"/>
  <c r="X1559"/>
  <c r="X1558"/>
  <c r="X1557"/>
  <c r="X1556"/>
  <c r="X1555"/>
  <c r="X1554"/>
  <c r="X1553"/>
  <c r="X1552"/>
  <c r="X1551"/>
  <c r="X1550"/>
  <c r="X1549"/>
  <c r="X1548"/>
  <c r="X1547"/>
  <c r="X1546"/>
  <c r="X1545"/>
  <c r="X1544"/>
  <c r="X1543"/>
  <c r="X1542"/>
  <c r="X1541"/>
  <c r="X1540"/>
  <c r="X1539"/>
  <c r="X1538"/>
  <c r="X1537"/>
  <c r="X1536"/>
  <c r="X1535"/>
  <c r="X1534"/>
  <c r="X1533"/>
  <c r="X1532"/>
  <c r="X1531"/>
  <c r="X1530"/>
  <c r="X1529"/>
  <c r="X1528"/>
  <c r="X1527"/>
  <c r="X1526"/>
  <c r="X1525"/>
  <c r="X1524"/>
  <c r="X1523"/>
  <c r="X1522"/>
  <c r="X1521"/>
  <c r="X1520"/>
  <c r="X1519"/>
  <c r="X1518"/>
  <c r="X1517"/>
  <c r="X1516"/>
  <c r="X1515"/>
  <c r="X1514"/>
  <c r="X1513"/>
  <c r="X1512"/>
  <c r="X1511"/>
  <c r="X1510"/>
  <c r="X1509"/>
  <c r="X1508"/>
  <c r="X1507"/>
  <c r="X1506"/>
  <c r="X1505"/>
  <c r="X1504"/>
  <c r="X1503"/>
  <c r="X1502"/>
  <c r="X1501"/>
  <c r="X1500"/>
  <c r="X1499"/>
  <c r="X1498"/>
  <c r="X1497"/>
  <c r="X1496"/>
  <c r="X1495"/>
  <c r="X1494"/>
  <c r="X1493"/>
  <c r="X1492"/>
  <c r="X1491"/>
  <c r="X1490"/>
  <c r="X1489"/>
  <c r="X1488"/>
  <c r="X1487"/>
  <c r="X1486"/>
  <c r="X1485"/>
  <c r="X1484"/>
  <c r="X1483"/>
  <c r="X1482"/>
  <c r="X1481"/>
  <c r="X1480"/>
  <c r="X1479"/>
  <c r="X1478"/>
  <c r="X1477"/>
  <c r="X1476"/>
  <c r="X1475"/>
  <c r="X1474"/>
  <c r="X1473"/>
  <c r="X1472"/>
  <c r="X1471"/>
  <c r="X1470"/>
  <c r="X1469"/>
  <c r="X1468"/>
  <c r="X1467"/>
  <c r="X1466"/>
  <c r="X1465"/>
  <c r="X1464"/>
  <c r="X1463"/>
  <c r="X1462"/>
  <c r="X1461"/>
  <c r="X1460"/>
  <c r="X1459"/>
  <c r="X1458"/>
  <c r="X1457"/>
  <c r="X1456"/>
  <c r="X1455"/>
  <c r="X1454"/>
  <c r="X1453"/>
  <c r="X1452"/>
  <c r="X1451"/>
  <c r="X1450"/>
  <c r="X1449"/>
  <c r="X1448"/>
  <c r="X1447"/>
  <c r="X1446"/>
  <c r="X1445"/>
  <c r="X1444"/>
  <c r="X1443"/>
  <c r="X1442"/>
  <c r="X1441"/>
  <c r="X1440"/>
  <c r="X1439"/>
  <c r="X1438"/>
  <c r="X1437"/>
  <c r="X1436"/>
  <c r="X1435"/>
  <c r="X1434"/>
  <c r="X1433"/>
  <c r="X1432"/>
  <c r="X1431"/>
  <c r="X1430"/>
  <c r="X1429"/>
  <c r="X1428"/>
  <c r="X1427"/>
  <c r="X1426"/>
  <c r="X1425"/>
  <c r="X1424"/>
  <c r="X1423"/>
  <c r="X1422"/>
  <c r="X1421"/>
  <c r="X1420"/>
  <c r="X1419"/>
  <c r="X1418"/>
  <c r="X1417"/>
  <c r="X1416"/>
  <c r="X1415"/>
  <c r="X1414"/>
  <c r="X1413"/>
  <c r="X1412"/>
  <c r="X1411"/>
  <c r="X1410"/>
  <c r="X1409"/>
  <c r="X1408"/>
  <c r="X1407"/>
  <c r="X1406"/>
  <c r="X1405"/>
  <c r="X1404"/>
  <c r="X1403"/>
  <c r="X1402"/>
  <c r="X1401"/>
  <c r="X1400"/>
  <c r="X1399"/>
  <c r="X1398"/>
  <c r="X1397"/>
  <c r="X1396"/>
  <c r="T24"/>
  <c r="T12"/>
  <c r="M1055"/>
  <c r="M1054"/>
  <c r="M1053"/>
  <c r="M1052"/>
  <c r="M1051"/>
  <c r="M1050"/>
  <c r="M1049"/>
  <c r="M1048"/>
  <c r="M1047"/>
  <c r="M1046"/>
  <c r="M1045"/>
  <c r="M1044"/>
  <c r="M1043"/>
  <c r="M1042"/>
  <c r="M1041"/>
  <c r="M1040"/>
  <c r="M1039"/>
  <c r="M1038"/>
  <c r="M1037"/>
  <c r="M1036"/>
  <c r="M1035"/>
  <c r="M1034"/>
  <c r="M1033"/>
  <c r="M1032"/>
  <c r="M1031"/>
  <c r="M1030"/>
  <c r="M1029"/>
  <c r="M1028"/>
  <c r="M1027"/>
  <c r="M1026"/>
  <c r="M1025"/>
  <c r="M1024"/>
  <c r="M1023"/>
  <c r="M1022"/>
  <c r="M1021"/>
  <c r="M1020"/>
  <c r="M1019"/>
  <c r="M1018"/>
  <c r="M1017"/>
  <c r="M1016"/>
  <c r="M1015"/>
  <c r="M1014"/>
  <c r="M1013"/>
  <c r="M1012"/>
  <c r="M1011"/>
  <c r="M1010"/>
  <c r="M1009"/>
  <c r="M1008"/>
  <c r="M1007"/>
  <c r="M1006"/>
  <c r="M1005"/>
  <c r="M1004"/>
  <c r="M1003"/>
  <c r="M1002"/>
  <c r="M1001"/>
  <c r="M1000"/>
  <c r="M999"/>
  <c r="M998"/>
  <c r="M997"/>
  <c r="M996"/>
  <c r="M995"/>
  <c r="M994"/>
  <c r="M993"/>
  <c r="M992"/>
  <c r="M991"/>
  <c r="M990"/>
  <c r="M989"/>
  <c r="M988"/>
  <c r="M987"/>
  <c r="M986"/>
  <c r="M985"/>
  <c r="M984"/>
  <c r="M983"/>
  <c r="M982"/>
  <c r="M981"/>
  <c r="M980"/>
  <c r="M979"/>
  <c r="M978"/>
  <c r="M977"/>
  <c r="M976"/>
  <c r="M975"/>
  <c r="M974"/>
  <c r="M973"/>
  <c r="M972"/>
  <c r="M971"/>
  <c r="M970"/>
  <c r="M969"/>
  <c r="M968"/>
  <c r="M967"/>
  <c r="M966"/>
  <c r="M965"/>
  <c r="M964"/>
  <c r="M963"/>
  <c r="M962"/>
  <c r="M961"/>
  <c r="M960"/>
  <c r="M959"/>
  <c r="M958"/>
  <c r="M957"/>
  <c r="M956"/>
  <c r="M955"/>
  <c r="M954"/>
  <c r="M953"/>
  <c r="M952"/>
  <c r="M951"/>
  <c r="M950"/>
  <c r="M949"/>
  <c r="M948"/>
  <c r="M947"/>
  <c r="M946"/>
  <c r="M945"/>
  <c r="M944"/>
  <c r="M943"/>
  <c r="M942"/>
  <c r="M941"/>
  <c r="M940"/>
  <c r="M939"/>
  <c r="M938"/>
  <c r="M937"/>
  <c r="M936"/>
  <c r="M935"/>
  <c r="M934"/>
  <c r="M933"/>
  <c r="M932"/>
  <c r="M931"/>
  <c r="M930"/>
  <c r="M929"/>
  <c r="M928"/>
  <c r="M927"/>
  <c r="M926"/>
  <c r="M925"/>
  <c r="M924"/>
  <c r="M923"/>
  <c r="M922"/>
  <c r="M921"/>
  <c r="M920"/>
  <c r="M919"/>
  <c r="M918"/>
  <c r="M917"/>
  <c r="M916"/>
  <c r="M915"/>
  <c r="M914"/>
  <c r="M913"/>
  <c r="M912"/>
  <c r="M911"/>
  <c r="M910"/>
  <c r="M909"/>
  <c r="M908"/>
  <c r="M907"/>
  <c r="M906"/>
  <c r="M905"/>
  <c r="M904"/>
  <c r="M903"/>
  <c r="M902"/>
  <c r="M901"/>
  <c r="M900"/>
  <c r="M899"/>
  <c r="M898"/>
  <c r="M897"/>
  <c r="M896"/>
  <c r="M895"/>
  <c r="M894"/>
  <c r="M893"/>
  <c r="M892"/>
  <c r="M891"/>
  <c r="M890"/>
  <c r="M889"/>
  <c r="M888"/>
  <c r="M887"/>
  <c r="M886"/>
  <c r="M885"/>
  <c r="M884"/>
  <c r="M883"/>
  <c r="M882"/>
  <c r="M881"/>
  <c r="M880"/>
  <c r="M879"/>
  <c r="M878"/>
  <c r="M877"/>
  <c r="M876"/>
  <c r="M875"/>
  <c r="M874"/>
  <c r="M873"/>
  <c r="M872"/>
  <c r="M871"/>
  <c r="M870"/>
  <c r="M869"/>
  <c r="M868"/>
  <c r="M867"/>
  <c r="M866"/>
  <c r="M865"/>
  <c r="M864"/>
  <c r="M863"/>
  <c r="M862"/>
  <c r="M861"/>
  <c r="M860"/>
  <c r="M859"/>
  <c r="M858"/>
  <c r="M857"/>
  <c r="M856"/>
  <c r="M855"/>
  <c r="M854"/>
  <c r="M853"/>
  <c r="M852"/>
  <c r="M851"/>
  <c r="M850"/>
  <c r="M849"/>
  <c r="M848"/>
  <c r="M847"/>
  <c r="M846"/>
  <c r="M845"/>
  <c r="M844"/>
  <c r="M843"/>
  <c r="M842"/>
  <c r="M841"/>
  <c r="M840"/>
  <c r="M839"/>
  <c r="M838"/>
  <c r="M837"/>
  <c r="M836"/>
  <c r="M835"/>
  <c r="M834"/>
  <c r="M833"/>
  <c r="M832"/>
  <c r="M831"/>
  <c r="M830"/>
  <c r="M829"/>
  <c r="M828"/>
  <c r="M827"/>
  <c r="M826"/>
  <c r="M825"/>
  <c r="M824"/>
  <c r="M823"/>
  <c r="M822"/>
  <c r="M821"/>
  <c r="M820"/>
  <c r="M819"/>
  <c r="M818"/>
  <c r="M817"/>
  <c r="M816"/>
  <c r="M815"/>
  <c r="M814"/>
  <c r="M813"/>
  <c r="M812"/>
  <c r="M811"/>
  <c r="M810"/>
  <c r="M809"/>
  <c r="M808"/>
  <c r="M807"/>
  <c r="M806"/>
  <c r="M805"/>
  <c r="M804"/>
  <c r="M803"/>
  <c r="M802"/>
  <c r="M801"/>
  <c r="M800"/>
  <c r="M799"/>
  <c r="M798"/>
  <c r="M797"/>
  <c r="M796"/>
  <c r="M795"/>
  <c r="M794"/>
  <c r="M793"/>
  <c r="M792"/>
  <c r="M791"/>
  <c r="M790"/>
  <c r="M789"/>
  <c r="M788"/>
  <c r="M787"/>
  <c r="M786"/>
  <c r="M785"/>
  <c r="M784"/>
  <c r="M783"/>
  <c r="M782"/>
  <c r="M781"/>
  <c r="M780"/>
  <c r="M779"/>
  <c r="M778"/>
  <c r="M777"/>
  <c r="M776"/>
  <c r="M775"/>
  <c r="M774"/>
  <c r="M773"/>
  <c r="M772"/>
  <c r="M771"/>
  <c r="M770"/>
  <c r="M769"/>
  <c r="M768"/>
  <c r="M767"/>
  <c r="M766"/>
  <c r="M765"/>
  <c r="M764"/>
  <c r="M763"/>
  <c r="M762"/>
  <c r="M761"/>
  <c r="M760"/>
  <c r="M759"/>
  <c r="M758"/>
  <c r="M757"/>
  <c r="M756"/>
  <c r="M755"/>
  <c r="M754"/>
  <c r="M753"/>
  <c r="M752"/>
  <c r="M751"/>
  <c r="M750"/>
  <c r="M749"/>
  <c r="M748"/>
  <c r="M747"/>
  <c r="M746"/>
  <c r="M745"/>
  <c r="M744"/>
  <c r="M743"/>
  <c r="M742"/>
  <c r="M741"/>
  <c r="M740"/>
  <c r="M739"/>
  <c r="M738"/>
  <c r="M737"/>
  <c r="M736"/>
  <c r="M735"/>
  <c r="M734"/>
  <c r="M733"/>
  <c r="M732"/>
  <c r="M731"/>
  <c r="M730"/>
  <c r="M729"/>
  <c r="M728"/>
  <c r="M727"/>
  <c r="M726"/>
  <c r="M725"/>
  <c r="M724"/>
  <c r="M723"/>
  <c r="M722"/>
  <c r="M721"/>
  <c r="M720"/>
  <c r="M719"/>
  <c r="M718"/>
  <c r="M717"/>
  <c r="M716"/>
  <c r="M715"/>
  <c r="M714"/>
  <c r="M713"/>
  <c r="M712"/>
  <c r="M711"/>
  <c r="M710"/>
  <c r="M709"/>
  <c r="M708"/>
  <c r="M707"/>
  <c r="M706"/>
  <c r="M705"/>
  <c r="M704"/>
  <c r="M703"/>
  <c r="M702"/>
  <c r="M701"/>
  <c r="M700"/>
  <c r="M699"/>
  <c r="M698"/>
  <c r="M697"/>
  <c r="M696"/>
  <c r="M695"/>
  <c r="M694"/>
  <c r="M693"/>
  <c r="M692"/>
  <c r="M691"/>
  <c r="M690"/>
  <c r="M689"/>
  <c r="M688"/>
  <c r="M687"/>
  <c r="M686"/>
  <c r="M685"/>
  <c r="M684"/>
  <c r="M683"/>
  <c r="M682"/>
  <c r="M681"/>
  <c r="M680"/>
  <c r="M679"/>
  <c r="M678"/>
  <c r="M677"/>
  <c r="M676"/>
  <c r="M675"/>
  <c r="M674"/>
  <c r="M673"/>
  <c r="M672"/>
  <c r="M671"/>
  <c r="M670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M639"/>
  <c r="M638"/>
  <c r="M637"/>
  <c r="M636"/>
  <c r="M635"/>
  <c r="M634"/>
  <c r="M633"/>
  <c r="M632"/>
  <c r="M631"/>
  <c r="M630"/>
  <c r="M629"/>
  <c r="M628"/>
  <c r="M627"/>
  <c r="M626"/>
  <c r="M625"/>
  <c r="M624"/>
  <c r="M623"/>
  <c r="M622"/>
  <c r="M621"/>
  <c r="M620"/>
  <c r="M619"/>
  <c r="M618"/>
  <c r="M617"/>
  <c r="M616"/>
  <c r="M615"/>
  <c r="M614"/>
  <c r="M613"/>
  <c r="M612"/>
  <c r="M611"/>
  <c r="M610"/>
  <c r="M609"/>
  <c r="M608"/>
  <c r="M607"/>
  <c r="M606"/>
  <c r="M605"/>
  <c r="M604"/>
  <c r="M603"/>
  <c r="M602"/>
  <c r="M601"/>
  <c r="M600"/>
  <c r="M599"/>
  <c r="M598"/>
  <c r="M597"/>
  <c r="M596"/>
  <c r="M595"/>
  <c r="M594"/>
  <c r="M593"/>
  <c r="M592"/>
  <c r="M591"/>
  <c r="M590"/>
  <c r="M589"/>
  <c r="M588"/>
  <c r="M587"/>
  <c r="M586"/>
  <c r="M585"/>
  <c r="M584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T1016"/>
  <c r="T555"/>
  <c r="T539"/>
  <c r="T531"/>
  <c r="T523"/>
  <c r="T515"/>
  <c r="T507"/>
  <c r="T499"/>
  <c r="T491"/>
  <c r="T483"/>
  <c r="T475"/>
  <c r="T467"/>
  <c r="T459"/>
  <c r="T451"/>
  <c r="T443"/>
  <c r="T435"/>
  <c r="T427"/>
  <c r="T419"/>
  <c r="T411"/>
  <c r="T403"/>
  <c r="T395"/>
  <c r="T387"/>
  <c r="T379"/>
  <c r="T371"/>
  <c r="T363"/>
  <c r="T355"/>
  <c r="T347"/>
  <c r="T339"/>
  <c r="T331"/>
  <c r="T323"/>
  <c r="T315"/>
  <c r="T307"/>
  <c r="T299"/>
  <c r="T291"/>
  <c r="T283"/>
  <c r="T275"/>
  <c r="T267"/>
  <c r="T259"/>
  <c r="T251"/>
  <c r="T235"/>
  <c r="T227"/>
  <c r="T211"/>
  <c r="T203"/>
  <c r="T195"/>
  <c r="T187"/>
  <c r="T179"/>
  <c r="T171"/>
  <c r="T163"/>
  <c r="T155"/>
  <c r="T147"/>
  <c r="T131"/>
  <c r="T123"/>
  <c r="T115"/>
  <c r="T107"/>
  <c r="T91"/>
  <c r="T83"/>
  <c r="T75"/>
  <c r="T59"/>
  <c r="T51"/>
  <c r="T43"/>
  <c r="T35"/>
  <c r="T29"/>
  <c r="T16"/>
  <c r="R5"/>
  <c r="S7"/>
  <c r="S5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1019"/>
  <c r="S1020"/>
  <c r="S1021"/>
  <c r="S1022"/>
  <c r="S1023"/>
  <c r="S1024"/>
  <c r="S1025"/>
  <c r="S1026"/>
  <c r="S1027"/>
  <c r="S1028"/>
  <c r="S1029"/>
  <c r="S1030"/>
  <c r="S1031"/>
  <c r="S1032"/>
  <c r="S1033"/>
  <c r="S1034"/>
  <c r="S1035"/>
  <c r="S1036"/>
  <c r="S1037"/>
  <c r="S1038"/>
  <c r="S1039"/>
  <c r="S1040"/>
  <c r="S1041"/>
  <c r="S1042"/>
  <c r="S1043"/>
  <c r="S1044"/>
  <c r="S1045"/>
  <c r="S1046"/>
  <c r="S1047"/>
  <c r="S1048"/>
  <c r="S1049"/>
  <c r="S1050"/>
  <c r="S1051"/>
  <c r="S1052"/>
  <c r="S1053"/>
  <c r="S1055"/>
  <c r="W1990"/>
  <c r="W1991"/>
  <c r="W1992"/>
  <c r="W1993"/>
  <c r="W1994"/>
  <c r="W1995"/>
  <c r="W1996"/>
  <c r="W1997"/>
  <c r="W1998"/>
  <c r="W1999"/>
  <c r="W2000"/>
  <c r="W2001"/>
  <c r="W2002"/>
  <c r="W2003"/>
  <c r="W2004"/>
  <c r="W2005"/>
  <c r="W2006"/>
  <c r="W2007"/>
  <c r="W2008"/>
  <c r="W2009"/>
  <c r="W2010"/>
  <c r="W2011"/>
  <c r="W2012"/>
  <c r="W2013"/>
  <c r="W2014"/>
  <c r="W2015"/>
  <c r="W2016"/>
  <c r="W2017"/>
  <c r="W2018"/>
  <c r="W2019"/>
  <c r="W2020"/>
  <c r="W2021"/>
  <c r="W2022"/>
  <c r="W2023"/>
  <c r="W2024"/>
  <c r="W2025"/>
  <c r="W2026"/>
  <c r="W2027"/>
  <c r="W2028"/>
  <c r="W2029"/>
  <c r="W2030"/>
  <c r="W2031"/>
  <c r="W2032"/>
  <c r="W2033"/>
  <c r="W2034"/>
  <c r="W2035"/>
  <c r="W2036"/>
  <c r="W2037"/>
  <c r="W2038"/>
  <c r="W2039"/>
  <c r="W2040"/>
  <c r="W2041"/>
  <c r="W2042"/>
  <c r="W2043"/>
  <c r="W2044"/>
  <c r="W2045"/>
  <c r="W2046"/>
  <c r="W2047"/>
  <c r="W2048"/>
  <c r="W2049"/>
  <c r="W2050"/>
  <c r="W2051"/>
  <c r="W2052"/>
  <c r="W2053"/>
  <c r="W2054"/>
  <c r="W2055"/>
  <c r="W2056"/>
  <c r="W2057"/>
  <c r="W2058"/>
  <c r="W2059"/>
  <c r="W2060"/>
  <c r="W2061"/>
  <c r="W2062"/>
  <c r="W2063"/>
  <c r="W2064"/>
  <c r="W2065"/>
  <c r="W2066"/>
  <c r="W2067"/>
  <c r="W2068"/>
  <c r="W2069"/>
  <c r="W2070"/>
  <c r="W2071"/>
  <c r="W2072"/>
  <c r="W2073"/>
  <c r="W2074"/>
  <c r="W2075"/>
  <c r="W2076"/>
  <c r="W2077"/>
  <c r="W2078"/>
  <c r="W2079"/>
  <c r="W2080"/>
  <c r="W2081"/>
  <c r="W2082"/>
  <c r="W2083"/>
  <c r="W2084"/>
  <c r="W2085"/>
  <c r="W2086"/>
  <c r="W2087"/>
  <c r="W2088"/>
  <c r="W2089"/>
  <c r="W2090"/>
  <c r="W2091"/>
  <c r="W2092"/>
  <c r="W2093"/>
  <c r="W2094"/>
  <c r="W2095"/>
  <c r="W2096"/>
  <c r="W2097"/>
  <c r="W2098"/>
  <c r="W2099"/>
  <c r="W2100"/>
  <c r="W2101"/>
  <c r="W2102"/>
  <c r="W2103"/>
  <c r="W2104"/>
  <c r="W2105"/>
  <c r="W2106"/>
  <c r="W2107"/>
  <c r="W2108"/>
  <c r="W2109"/>
  <c r="W2110"/>
  <c r="W2111"/>
  <c r="W2112"/>
  <c r="W2113"/>
  <c r="W2114"/>
  <c r="W2115"/>
  <c r="W2116"/>
  <c r="W2117"/>
  <c r="W2118"/>
  <c r="W2119"/>
  <c r="W2120"/>
  <c r="W2121"/>
  <c r="W2122"/>
  <c r="W2123"/>
  <c r="W2124"/>
  <c r="W2125"/>
  <c r="W2126"/>
  <c r="W2127"/>
  <c r="W2128"/>
  <c r="W2129"/>
  <c r="W2130"/>
  <c r="W2131"/>
  <c r="W2132"/>
  <c r="W2133"/>
  <c r="W2134"/>
  <c r="W2135"/>
  <c r="W2136"/>
  <c r="W2137"/>
  <c r="W2138"/>
  <c r="W2139"/>
  <c r="W2140"/>
  <c r="W2141"/>
  <c r="W2142"/>
  <c r="W2143"/>
  <c r="W2144"/>
  <c r="W2145"/>
  <c r="W2146"/>
  <c r="W2147"/>
  <c r="W2148"/>
  <c r="W2149"/>
  <c r="W2150"/>
  <c r="W2151"/>
  <c r="W2152"/>
  <c r="W2153"/>
  <c r="W2154"/>
  <c r="W2155"/>
  <c r="W2156"/>
  <c r="W2157"/>
  <c r="W2158"/>
  <c r="W2159"/>
  <c r="W2160"/>
  <c r="W2161"/>
  <c r="W2162"/>
  <c r="W2163"/>
  <c r="W2164"/>
  <c r="W2165"/>
  <c r="W2166"/>
  <c r="W2167"/>
  <c r="W2168"/>
  <c r="W2169"/>
  <c r="W2170"/>
  <c r="W2171"/>
  <c r="W2172"/>
  <c r="W2173"/>
  <c r="W2174"/>
  <c r="W2175"/>
  <c r="W2176"/>
  <c r="W2177"/>
  <c r="W2178"/>
  <c r="W2179"/>
  <c r="W2180"/>
  <c r="W2181"/>
  <c r="W2182"/>
  <c r="W2183"/>
  <c r="W2184"/>
  <c r="W2185"/>
  <c r="W2186"/>
  <c r="W2187"/>
  <c r="W2188"/>
  <c r="W2189"/>
  <c r="W2190"/>
  <c r="W2191"/>
  <c r="W2192"/>
  <c r="W2193"/>
  <c r="W2194"/>
  <c r="W2195"/>
  <c r="W2196"/>
  <c r="W2197"/>
  <c r="W2198"/>
  <c r="W2199"/>
  <c r="W2200"/>
  <c r="W2201"/>
  <c r="W2202"/>
  <c r="W2203"/>
  <c r="W2204"/>
  <c r="W2205"/>
  <c r="W2206"/>
  <c r="W2207"/>
  <c r="W2208"/>
  <c r="W2209"/>
  <c r="W2210"/>
  <c r="W2211"/>
  <c r="W2212"/>
  <c r="W2213"/>
  <c r="W2214"/>
  <c r="W2215"/>
  <c r="W2216"/>
  <c r="W2217"/>
  <c r="W2218"/>
  <c r="W2219"/>
  <c r="W2220"/>
  <c r="W2221"/>
  <c r="W2222"/>
  <c r="W2223"/>
  <c r="W2224"/>
  <c r="W2225"/>
  <c r="W2226"/>
  <c r="W2227"/>
  <c r="W2228"/>
  <c r="W2229"/>
  <c r="W2230"/>
  <c r="W2231"/>
  <c r="W2232"/>
  <c r="W2233"/>
  <c r="W2234"/>
  <c r="W2235"/>
  <c r="W2236"/>
  <c r="W2237"/>
  <c r="W2238"/>
  <c r="W2239"/>
  <c r="W2240"/>
  <c r="W2241"/>
  <c r="W2242"/>
  <c r="W2243"/>
  <c r="W2244"/>
  <c r="W2245"/>
  <c r="W2246"/>
  <c r="W2247"/>
  <c r="W2248"/>
  <c r="W2249"/>
  <c r="W2250"/>
  <c r="W2251"/>
  <c r="W2252"/>
  <c r="W2253"/>
  <c r="W2254"/>
  <c r="W2255"/>
  <c r="W2256"/>
  <c r="W2257"/>
  <c r="W2258"/>
  <c r="W2259"/>
  <c r="W2260"/>
  <c r="W2261"/>
  <c r="W2262"/>
  <c r="W2263"/>
  <c r="W2264"/>
  <c r="W2265"/>
  <c r="W2266"/>
  <c r="W2267"/>
  <c r="W2268"/>
  <c r="W2269"/>
  <c r="W2270"/>
  <c r="W2271"/>
  <c r="W2272"/>
  <c r="W2273"/>
  <c r="W2274"/>
  <c r="W2275"/>
  <c r="W2276"/>
  <c r="W2277"/>
  <c r="W2278"/>
  <c r="W2279"/>
  <c r="W2280"/>
  <c r="W2281"/>
  <c r="W2282"/>
  <c r="W2283"/>
  <c r="W2284"/>
  <c r="W2285"/>
  <c r="W2286"/>
  <c r="W2287"/>
  <c r="W2288"/>
  <c r="W2289"/>
  <c r="W2290"/>
  <c r="W2291"/>
  <c r="W2292"/>
  <c r="W2293"/>
  <c r="W2294"/>
  <c r="W2295"/>
  <c r="W2296"/>
  <c r="W2297"/>
  <c r="W2298"/>
  <c r="W2299"/>
  <c r="W2300"/>
  <c r="W2301"/>
  <c r="W2302"/>
  <c r="W2303"/>
  <c r="W2304"/>
  <c r="W2305"/>
  <c r="W2306"/>
  <c r="W2307"/>
  <c r="W2308"/>
  <c r="W2309"/>
  <c r="W2310"/>
  <c r="W2311"/>
  <c r="W2312"/>
  <c r="W2313"/>
  <c r="W2314"/>
  <c r="W2315"/>
  <c r="W2316"/>
  <c r="W2317"/>
  <c r="W2318"/>
  <c r="W2319"/>
  <c r="W2320"/>
  <c r="W2321"/>
  <c r="W2322"/>
  <c r="W2323"/>
  <c r="W2324"/>
  <c r="W2325"/>
  <c r="W2326"/>
  <c r="W2327"/>
  <c r="W2328"/>
  <c r="W2329"/>
  <c r="W2330"/>
  <c r="W2331"/>
  <c r="W2332"/>
  <c r="W2333"/>
  <c r="W2334"/>
  <c r="W2335"/>
  <c r="W2336"/>
  <c r="W2337"/>
  <c r="W2338"/>
  <c r="W2339"/>
  <c r="W2340"/>
  <c r="W2341"/>
  <c r="W2342"/>
  <c r="W2343"/>
  <c r="W2344"/>
  <c r="W2345"/>
  <c r="W2346"/>
  <c r="W2347"/>
  <c r="W2348"/>
  <c r="W2349"/>
  <c r="W2350"/>
  <c r="W2351"/>
  <c r="W2352"/>
  <c r="W2353"/>
  <c r="W2354"/>
  <c r="W2355"/>
  <c r="W2356"/>
  <c r="W2357"/>
  <c r="W2358"/>
  <c r="W2359"/>
  <c r="W2360"/>
  <c r="W2361"/>
  <c r="W2362"/>
  <c r="W2363"/>
  <c r="W2364"/>
  <c r="W2365"/>
  <c r="W2366"/>
  <c r="W2367"/>
  <c r="W2368"/>
  <c r="W2369"/>
  <c r="W2370"/>
  <c r="W2371"/>
  <c r="W2372"/>
  <c r="W2373"/>
  <c r="W2374"/>
  <c r="W2375"/>
  <c r="W2376"/>
  <c r="W2377"/>
  <c r="W2378"/>
  <c r="W2379"/>
  <c r="W2380"/>
  <c r="W2381"/>
  <c r="W2382"/>
  <c r="W2383"/>
  <c r="W2384"/>
  <c r="W2385"/>
  <c r="W2386"/>
  <c r="W2387"/>
  <c r="W2388"/>
  <c r="W2389"/>
  <c r="W2390"/>
  <c r="W2391"/>
  <c r="W2392"/>
  <c r="W2393"/>
  <c r="W2394"/>
  <c r="W2395"/>
  <c r="W2396"/>
  <c r="W2397"/>
  <c r="W2398"/>
  <c r="W2399"/>
  <c r="W2400"/>
  <c r="W2401"/>
  <c r="W2402"/>
  <c r="W2403"/>
  <c r="W2404"/>
  <c r="W2405"/>
  <c r="W2406"/>
  <c r="W2407"/>
  <c r="W2408"/>
  <c r="W2409"/>
  <c r="W2410"/>
  <c r="W2411"/>
  <c r="W2412"/>
  <c r="W2413"/>
  <c r="W2414"/>
  <c r="W2415"/>
  <c r="W2416"/>
  <c r="W2417"/>
  <c r="W2418"/>
  <c r="W2419"/>
  <c r="W2420"/>
  <c r="W2421"/>
  <c r="W2422"/>
  <c r="W2423"/>
  <c r="W2424"/>
  <c r="W2425"/>
  <c r="W2426"/>
  <c r="W2427"/>
  <c r="W2428"/>
  <c r="W2429"/>
  <c r="W2430"/>
  <c r="W2431"/>
  <c r="W2432"/>
  <c r="W2433"/>
  <c r="W2434"/>
  <c r="W2435"/>
  <c r="W2436"/>
  <c r="W2437"/>
  <c r="W2438"/>
  <c r="W2439"/>
  <c r="W2440"/>
  <c r="W2441"/>
  <c r="W2442"/>
  <c r="W2443"/>
  <c r="W2444"/>
  <c r="W2445"/>
  <c r="W2446"/>
  <c r="W2447"/>
  <c r="W2448"/>
  <c r="W2449"/>
  <c r="W2450"/>
  <c r="W2451"/>
  <c r="W2452"/>
  <c r="W2453"/>
  <c r="W2454"/>
  <c r="W2455"/>
  <c r="W2456"/>
  <c r="W2457"/>
  <c r="W2458"/>
  <c r="W2459"/>
  <c r="W2460"/>
  <c r="W2461"/>
  <c r="W2462"/>
  <c r="W2463"/>
  <c r="W2464"/>
  <c r="W2465"/>
  <c r="W2466"/>
  <c r="W2467"/>
  <c r="W2468"/>
  <c r="W2469"/>
  <c r="W2470"/>
  <c r="W2471"/>
  <c r="W2472"/>
  <c r="W2473"/>
  <c r="W2474"/>
  <c r="W2475"/>
  <c r="W2476"/>
  <c r="W2477"/>
  <c r="W2478"/>
  <c r="W2479"/>
  <c r="W2480"/>
  <c r="W2481"/>
  <c r="W2482"/>
  <c r="W2483"/>
  <c r="W2484"/>
  <c r="W2485"/>
  <c r="W2486"/>
  <c r="W2487"/>
  <c r="W2488"/>
  <c r="W2489"/>
  <c r="W2490"/>
  <c r="W2491"/>
  <c r="W2492"/>
  <c r="W2493"/>
  <c r="W2494"/>
  <c r="W2495"/>
  <c r="W2496"/>
  <c r="W2497"/>
  <c r="W2498"/>
  <c r="W2499"/>
  <c r="W2500"/>
  <c r="W2501"/>
  <c r="W2502"/>
  <c r="W2503"/>
  <c r="W2504"/>
  <c r="W2505"/>
  <c r="W2506"/>
  <c r="W2507"/>
  <c r="W2508"/>
  <c r="W2509"/>
  <c r="W2510"/>
  <c r="W2511"/>
  <c r="W2512"/>
  <c r="W2513"/>
  <c r="W2514"/>
  <c r="W2515"/>
  <c r="W2516"/>
  <c r="W2517"/>
  <c r="W2518"/>
  <c r="W2519"/>
  <c r="W2520"/>
  <c r="W2521"/>
  <c r="W2522"/>
  <c r="W2523"/>
  <c r="W2524"/>
  <c r="W2525"/>
  <c r="W2526"/>
  <c r="W2527"/>
  <c r="W2528"/>
  <c r="W2529"/>
  <c r="W2530"/>
  <c r="W2531"/>
  <c r="W2532"/>
  <c r="W2533"/>
  <c r="W2534"/>
  <c r="W2535"/>
  <c r="W2536"/>
  <c r="W2537"/>
  <c r="W2538"/>
  <c r="W2539"/>
  <c r="W2540"/>
  <c r="W2541"/>
  <c r="W2542"/>
  <c r="W2543"/>
  <c r="W2544"/>
  <c r="W2545"/>
  <c r="W2546"/>
  <c r="W2547"/>
  <c r="W2548"/>
  <c r="W2549"/>
  <c r="W2550"/>
  <c r="W2551"/>
  <c r="W2552"/>
  <c r="W2553"/>
  <c r="W2554"/>
  <c r="W2555"/>
  <c r="W2556"/>
  <c r="W2557"/>
  <c r="W2558"/>
  <c r="W2559"/>
  <c r="W2560"/>
  <c r="W2561"/>
  <c r="W2562"/>
  <c r="W2563"/>
  <c r="W2564"/>
  <c r="W2565"/>
  <c r="W2566"/>
  <c r="W2567"/>
  <c r="W2568"/>
  <c r="W2569"/>
  <c r="W2570"/>
  <c r="W2571"/>
  <c r="W2572"/>
  <c r="W2573"/>
  <c r="W2574"/>
  <c r="W2575"/>
  <c r="W2576"/>
  <c r="W2577"/>
  <c r="W2578"/>
  <c r="W2579"/>
  <c r="W2580"/>
  <c r="W2581"/>
  <c r="W2582"/>
  <c r="W2583"/>
  <c r="W2584"/>
  <c r="W2585"/>
  <c r="W2586"/>
  <c r="W2587"/>
  <c r="W2588"/>
  <c r="W2589"/>
  <c r="W2590"/>
  <c r="W2591"/>
  <c r="W2592"/>
  <c r="W2593"/>
  <c r="W2594"/>
  <c r="W2595"/>
  <c r="W2596"/>
  <c r="W2597"/>
  <c r="W2598"/>
  <c r="W2599"/>
  <c r="W2600"/>
  <c r="W2601"/>
  <c r="W2602"/>
  <c r="W2603"/>
  <c r="W2604"/>
  <c r="W2605"/>
  <c r="W2606"/>
  <c r="W2607"/>
  <c r="W2608"/>
  <c r="W2609"/>
  <c r="W2610"/>
  <c r="W2611"/>
  <c r="W2612"/>
  <c r="W2613"/>
  <c r="W2614"/>
  <c r="W2615"/>
  <c r="W2616"/>
  <c r="W2617"/>
  <c r="W2618"/>
  <c r="W2619"/>
  <c r="W2620"/>
  <c r="W2621"/>
  <c r="W2622"/>
  <c r="W2623"/>
  <c r="W2624"/>
  <c r="W2625"/>
  <c r="W2626"/>
  <c r="W2627"/>
  <c r="W2628"/>
  <c r="W2629"/>
  <c r="W2630"/>
  <c r="W2631"/>
  <c r="W2632"/>
  <c r="W2633"/>
  <c r="W2634"/>
  <c r="W2635"/>
  <c r="W2636"/>
  <c r="W2637"/>
  <c r="W2638"/>
  <c r="W2639"/>
  <c r="W2640"/>
  <c r="W2641"/>
  <c r="W2642"/>
  <c r="W2643"/>
  <c r="W2644"/>
  <c r="W2645"/>
  <c r="W2646"/>
  <c r="W2647"/>
  <c r="W2648"/>
  <c r="W2649"/>
  <c r="W2650"/>
  <c r="W2651"/>
  <c r="W2652"/>
  <c r="W2653"/>
  <c r="W2654"/>
  <c r="W2655"/>
  <c r="W2656"/>
  <c r="W2657"/>
  <c r="W2658"/>
  <c r="W2659"/>
  <c r="W2660"/>
  <c r="W2661"/>
  <c r="W2662"/>
  <c r="W2663"/>
  <c r="W2664"/>
  <c r="W2665"/>
  <c r="W2666"/>
  <c r="W2667"/>
  <c r="W2668"/>
  <c r="W2669"/>
  <c r="W2670"/>
  <c r="W2671"/>
  <c r="W2672"/>
  <c r="W2673"/>
  <c r="W2674"/>
  <c r="W2675"/>
  <c r="W2676"/>
  <c r="W2677"/>
  <c r="W2678"/>
  <c r="W2679"/>
  <c r="W2680"/>
  <c r="W2681"/>
  <c r="W2682"/>
  <c r="W2683"/>
  <c r="W2684"/>
  <c r="W2685"/>
  <c r="W2686"/>
  <c r="W2687"/>
  <c r="W2688"/>
  <c r="W2689"/>
  <c r="W2690"/>
  <c r="W2691"/>
  <c r="W2692"/>
  <c r="W2693"/>
  <c r="W2694"/>
  <c r="W2695"/>
  <c r="W2696"/>
  <c r="W2697"/>
  <c r="W2698"/>
  <c r="W2699"/>
  <c r="W2700"/>
  <c r="W2701"/>
  <c r="W2702"/>
  <c r="W2703"/>
  <c r="W2704"/>
  <c r="W2705"/>
  <c r="W2706"/>
  <c r="W2707"/>
  <c r="W2708"/>
  <c r="W2709"/>
  <c r="W2710"/>
  <c r="W2711"/>
  <c r="W2712"/>
  <c r="W2713"/>
  <c r="W2714"/>
  <c r="W2715"/>
  <c r="W2716"/>
  <c r="W2717"/>
  <c r="W2718"/>
  <c r="W2719"/>
  <c r="W2720"/>
  <c r="W2721"/>
  <c r="W2722"/>
  <c r="W2723"/>
  <c r="W2724"/>
  <c r="W2725"/>
  <c r="W2726"/>
  <c r="W2727"/>
  <c r="W2728"/>
  <c r="W2729"/>
  <c r="W2730"/>
  <c r="W2731"/>
  <c r="W2732"/>
  <c r="W2733"/>
  <c r="W2734"/>
  <c r="W2735"/>
  <c r="W2736"/>
  <c r="W2737"/>
  <c r="W2738"/>
  <c r="W2739"/>
  <c r="W2740"/>
  <c r="W2741"/>
  <c r="W2742"/>
  <c r="W2743"/>
  <c r="W2744"/>
  <c r="W2745"/>
  <c r="W2746"/>
  <c r="W2747"/>
  <c r="W2748"/>
  <c r="W2749"/>
  <c r="W2750"/>
  <c r="W2751"/>
  <c r="W2752"/>
  <c r="W2753"/>
  <c r="W2754"/>
  <c r="W2755"/>
  <c r="W2756"/>
  <c r="W2757"/>
  <c r="W2758"/>
  <c r="W2759"/>
  <c r="W2760"/>
  <c r="W2761"/>
  <c r="W2762"/>
  <c r="W2763"/>
  <c r="W2764"/>
  <c r="W2765"/>
  <c r="W2766"/>
  <c r="W2767"/>
  <c r="W2768"/>
  <c r="W2769"/>
  <c r="W2770"/>
  <c r="W2771"/>
  <c r="W2772"/>
  <c r="W2773"/>
  <c r="W2774"/>
  <c r="W2775"/>
  <c r="W2776"/>
  <c r="W2777"/>
  <c r="W2778"/>
  <c r="W2779"/>
  <c r="W2780"/>
  <c r="W2781"/>
  <c r="W2782"/>
  <c r="W2783"/>
  <c r="W2784"/>
  <c r="W2785"/>
  <c r="W2786"/>
  <c r="W2787"/>
  <c r="W2788"/>
  <c r="W2789"/>
  <c r="W2790"/>
  <c r="W2791"/>
  <c r="W2792"/>
  <c r="W2793"/>
  <c r="W2794"/>
  <c r="W2795"/>
  <c r="W2796"/>
  <c r="W2797"/>
  <c r="W2798"/>
  <c r="W2799"/>
  <c r="W2800"/>
  <c r="W2801"/>
  <c r="W2802"/>
  <c r="W2803"/>
  <c r="W2804"/>
  <c r="W2805"/>
  <c r="W2806"/>
  <c r="W2807"/>
  <c r="W2808"/>
  <c r="W2809"/>
  <c r="W2810"/>
  <c r="W2811"/>
  <c r="W2812"/>
  <c r="W2813"/>
  <c r="W2814"/>
  <c r="W2815"/>
  <c r="W2816"/>
  <c r="W2817"/>
  <c r="W2818"/>
  <c r="W2819"/>
  <c r="W2820"/>
  <c r="W2821"/>
  <c r="W2822"/>
  <c r="W2823"/>
  <c r="W2824"/>
  <c r="W2825"/>
  <c r="W2826"/>
  <c r="W2827"/>
  <c r="W2828"/>
  <c r="W2829"/>
  <c r="W2830"/>
  <c r="W2831"/>
  <c r="W2832"/>
  <c r="W2833"/>
  <c r="W2834"/>
  <c r="W2835"/>
  <c r="W2836"/>
  <c r="W2837"/>
  <c r="W2838"/>
  <c r="W2839"/>
  <c r="W2840"/>
  <c r="W2841"/>
  <c r="W2842"/>
  <c r="W2843"/>
  <c r="W2844"/>
  <c r="W2845"/>
  <c r="W2846"/>
  <c r="W2847"/>
  <c r="W2848"/>
  <c r="W2849"/>
  <c r="W2850"/>
  <c r="W2851"/>
  <c r="W2852"/>
  <c r="W2853"/>
  <c r="W2854"/>
  <c r="W2855"/>
  <c r="W2856"/>
  <c r="W2857"/>
  <c r="W2858"/>
  <c r="W2859"/>
  <c r="W2860"/>
  <c r="W2861"/>
  <c r="W2862"/>
  <c r="W2863"/>
  <c r="W2864"/>
  <c r="W2865"/>
  <c r="W2866"/>
  <c r="W2867"/>
  <c r="W2868"/>
  <c r="W2869"/>
  <c r="W2870"/>
  <c r="W2871"/>
  <c r="W2872"/>
  <c r="W2873"/>
  <c r="W2874"/>
  <c r="W2875"/>
  <c r="W2876"/>
  <c r="W2877"/>
  <c r="W2878"/>
  <c r="W2879"/>
  <c r="W2880"/>
  <c r="W2881"/>
  <c r="W2882"/>
  <c r="W2883"/>
  <c r="W2884"/>
  <c r="W2885"/>
  <c r="W2886"/>
  <c r="W2887"/>
  <c r="W2888"/>
  <c r="W2889"/>
  <c r="W2890"/>
  <c r="W2891"/>
  <c r="W2892"/>
  <c r="W2893"/>
  <c r="W2894"/>
  <c r="W2895"/>
  <c r="W2896"/>
  <c r="W2897"/>
  <c r="W2898"/>
  <c r="W2899"/>
  <c r="W2900"/>
  <c r="W2901"/>
  <c r="W2902"/>
  <c r="W2903"/>
  <c r="W2904"/>
  <c r="W2905"/>
  <c r="W2906"/>
  <c r="W2907"/>
  <c r="W2908"/>
  <c r="W2909"/>
  <c r="W2910"/>
  <c r="W2911"/>
  <c r="W2912"/>
  <c r="W2913"/>
  <c r="W2914"/>
  <c r="W2915"/>
  <c r="W2916"/>
  <c r="W2917"/>
  <c r="W2918"/>
  <c r="W2919"/>
  <c r="W2920"/>
  <c r="W2921"/>
  <c r="W2922"/>
  <c r="W2923"/>
  <c r="W2924"/>
  <c r="W2925"/>
  <c r="W2926"/>
  <c r="W2927"/>
  <c r="W2928"/>
  <c r="W2929"/>
  <c r="W2930"/>
  <c r="W2931"/>
  <c r="W2932"/>
  <c r="W2933"/>
  <c r="W2934"/>
  <c r="W2935"/>
  <c r="W2936"/>
  <c r="W2937"/>
  <c r="W2938"/>
  <c r="W2939"/>
  <c r="W2940"/>
  <c r="W2941"/>
  <c r="W2942"/>
  <c r="W2943"/>
  <c r="W2944"/>
  <c r="W2945"/>
  <c r="W2946"/>
  <c r="W2947"/>
  <c r="W2948"/>
  <c r="W2949"/>
  <c r="W2950"/>
  <c r="W2951"/>
  <c r="W2952"/>
  <c r="W2953"/>
  <c r="W2954"/>
  <c r="W2955"/>
  <c r="W2956"/>
  <c r="W2957"/>
  <c r="W2958"/>
  <c r="W2959"/>
  <c r="W2960"/>
  <c r="W2961"/>
  <c r="W2962"/>
  <c r="W2963"/>
  <c r="W2964"/>
  <c r="W2965"/>
  <c r="W2966"/>
  <c r="W2967"/>
  <c r="W2968"/>
  <c r="W2969"/>
  <c r="W2970"/>
  <c r="W2971"/>
  <c r="W2972"/>
  <c r="W2973"/>
  <c r="W2974"/>
  <c r="W2975"/>
  <c r="W2976"/>
  <c r="W2977"/>
  <c r="W2978"/>
  <c r="W2979"/>
  <c r="W2980"/>
  <c r="W2981"/>
  <c r="W2982"/>
  <c r="W2983"/>
  <c r="W2984"/>
  <c r="W2985"/>
  <c r="W2986"/>
  <c r="W2987"/>
  <c r="W2988"/>
  <c r="W2989"/>
  <c r="W2990"/>
  <c r="W2991"/>
  <c r="W2992"/>
  <c r="W2993"/>
  <c r="W2994"/>
  <c r="W2995"/>
  <c r="W2996"/>
  <c r="W2997"/>
  <c r="W2998"/>
  <c r="W2999"/>
  <c r="W3000"/>
  <c r="W3001"/>
  <c r="W3002"/>
  <c r="W3003"/>
  <c r="W3004"/>
  <c r="W3005"/>
  <c r="W3006"/>
  <c r="W3007"/>
  <c r="W3008"/>
  <c r="W3009"/>
  <c r="W3010"/>
  <c r="W3011"/>
  <c r="W3012"/>
  <c r="W3013"/>
  <c r="W3014"/>
  <c r="W3015"/>
  <c r="W3016"/>
  <c r="W3017"/>
  <c r="W3018"/>
  <c r="W3019"/>
  <c r="W3020"/>
  <c r="W3021"/>
  <c r="W3022"/>
  <c r="W3023"/>
  <c r="W3024"/>
  <c r="W3025"/>
  <c r="W3026"/>
  <c r="W3027"/>
  <c r="W3028"/>
  <c r="W3029"/>
  <c r="W3030"/>
  <c r="W3031"/>
  <c r="W3032"/>
  <c r="W3033"/>
  <c r="W3034"/>
  <c r="W3035"/>
  <c r="W3036"/>
  <c r="W3037"/>
  <c r="W3038"/>
  <c r="W3039"/>
  <c r="W3040"/>
  <c r="W3041"/>
  <c r="W3042"/>
  <c r="W3043"/>
  <c r="W3044"/>
  <c r="W3045"/>
  <c r="W3046"/>
  <c r="W3047"/>
  <c r="W3048"/>
  <c r="W3049"/>
  <c r="W3050"/>
  <c r="W3051"/>
  <c r="W3052"/>
  <c r="W3053"/>
  <c r="W3054"/>
  <c r="W3055"/>
  <c r="W3056"/>
  <c r="W3057"/>
  <c r="W3058"/>
  <c r="W3059"/>
  <c r="W3060"/>
  <c r="W3061"/>
  <c r="W3062"/>
  <c r="W3063"/>
  <c r="W3064"/>
  <c r="W3065"/>
  <c r="W3066"/>
  <c r="W3067"/>
  <c r="W3068"/>
  <c r="W3069"/>
  <c r="W3070"/>
  <c r="W3071"/>
  <c r="W3072"/>
  <c r="W3073"/>
  <c r="W3074"/>
  <c r="W3075"/>
  <c r="W3076"/>
  <c r="W3077"/>
  <c r="W3078"/>
  <c r="W3079"/>
  <c r="W3080"/>
  <c r="W3081"/>
  <c r="W3082"/>
  <c r="W3083"/>
  <c r="W3084"/>
  <c r="W3085"/>
  <c r="W3086"/>
  <c r="W3087"/>
  <c r="W3088"/>
  <c r="W3089"/>
  <c r="W3090"/>
  <c r="W3091"/>
  <c r="W3092"/>
  <c r="W3093"/>
  <c r="W3094"/>
  <c r="W3095"/>
  <c r="W3096"/>
  <c r="W3097"/>
  <c r="W3098"/>
  <c r="W3099"/>
  <c r="W3100"/>
  <c r="W3101"/>
  <c r="W3102"/>
  <c r="W3103"/>
  <c r="W3104"/>
  <c r="W3105"/>
  <c r="W3106"/>
  <c r="W3107"/>
  <c r="W3108"/>
  <c r="W3109"/>
  <c r="W3110"/>
  <c r="W3111"/>
  <c r="W3112"/>
  <c r="W3113"/>
  <c r="W3114"/>
  <c r="W3115"/>
  <c r="W3116"/>
  <c r="W3117"/>
  <c r="W3118"/>
  <c r="W3119"/>
  <c r="W3120"/>
  <c r="W3121"/>
  <c r="W3122"/>
  <c r="W3123"/>
  <c r="W3124"/>
  <c r="W3125"/>
  <c r="W3126"/>
  <c r="W3127"/>
  <c r="W3128"/>
  <c r="W3129"/>
  <c r="W3130"/>
  <c r="W3131"/>
  <c r="W3132"/>
  <c r="W3133"/>
  <c r="W3134"/>
  <c r="W3135"/>
  <c r="W3136"/>
  <c r="W3137"/>
  <c r="W3138"/>
  <c r="W3139"/>
  <c r="W3140"/>
  <c r="W3141"/>
  <c r="W3142"/>
  <c r="W3143"/>
  <c r="W3144"/>
  <c r="W3145"/>
  <c r="W3146"/>
  <c r="W3147"/>
  <c r="W3148"/>
  <c r="W3149"/>
  <c r="W3150"/>
  <c r="W3151"/>
  <c r="W3152"/>
  <c r="W3153"/>
  <c r="W3154"/>
  <c r="W3155"/>
  <c r="W3156"/>
  <c r="W3157"/>
  <c r="W3158"/>
  <c r="W3159"/>
  <c r="W3160"/>
  <c r="W3161"/>
  <c r="W3162"/>
  <c r="W3163"/>
  <c r="W3164"/>
  <c r="W3165"/>
  <c r="W3166"/>
  <c r="W3167"/>
  <c r="W3168"/>
  <c r="W3169"/>
  <c r="W3170"/>
  <c r="W3171"/>
  <c r="W3172"/>
  <c r="W3173"/>
  <c r="W3174"/>
  <c r="W3175"/>
  <c r="W3176"/>
  <c r="W3177"/>
  <c r="W3178"/>
  <c r="W3179"/>
  <c r="W3180"/>
  <c r="W3181"/>
  <c r="W3182"/>
  <c r="W3183"/>
  <c r="W3184"/>
  <c r="W3185"/>
  <c r="W3186"/>
  <c r="W3187"/>
  <c r="W3188"/>
  <c r="W3189"/>
  <c r="W3190"/>
  <c r="W3191"/>
  <c r="W3192"/>
  <c r="W3193"/>
  <c r="W3194"/>
  <c r="W3195"/>
  <c r="W3196"/>
  <c r="W3197"/>
  <c r="W3198"/>
  <c r="W3199"/>
  <c r="W3200"/>
  <c r="W3201"/>
  <c r="W3202"/>
  <c r="W3203"/>
  <c r="W3204"/>
  <c r="W3205"/>
  <c r="W3206"/>
  <c r="W3207"/>
  <c r="W3208"/>
  <c r="W3209"/>
  <c r="W3210"/>
  <c r="W3211"/>
  <c r="W3212"/>
  <c r="W3213"/>
  <c r="W3214"/>
  <c r="W3215"/>
  <c r="W3216"/>
  <c r="W3217"/>
  <c r="W3218"/>
  <c r="W3219"/>
  <c r="W3220"/>
  <c r="W3221"/>
  <c r="W3222"/>
  <c r="W3223"/>
  <c r="W3224"/>
  <c r="W3225"/>
  <c r="W3226"/>
  <c r="W3227"/>
  <c r="W3228"/>
  <c r="W3229"/>
  <c r="W3230"/>
  <c r="W3231"/>
  <c r="W3232"/>
  <c r="W3233"/>
  <c r="W3234"/>
  <c r="W3235"/>
  <c r="W3236"/>
  <c r="W3237"/>
  <c r="W3238"/>
  <c r="W3239"/>
  <c r="W3240"/>
  <c r="W3241"/>
  <c r="W3242"/>
  <c r="W3243"/>
  <c r="W3244"/>
  <c r="W3245"/>
  <c r="W3246"/>
  <c r="W3247"/>
  <c r="W3248"/>
  <c r="W3249"/>
  <c r="W3250"/>
  <c r="W3251"/>
  <c r="W3252"/>
  <c r="W3253"/>
  <c r="W3254"/>
  <c r="W3255"/>
  <c r="W3256"/>
  <c r="W3257"/>
  <c r="W3258"/>
  <c r="W3259"/>
  <c r="W3260"/>
  <c r="W3261"/>
  <c r="W3262"/>
  <c r="W3263"/>
  <c r="W3264"/>
  <c r="W3265"/>
  <c r="W3266"/>
  <c r="W3267"/>
  <c r="W3268"/>
  <c r="W3269"/>
  <c r="W3270"/>
  <c r="W3271"/>
  <c r="W3272"/>
  <c r="W3273"/>
  <c r="W3274"/>
  <c r="W3275"/>
  <c r="W3276"/>
  <c r="W3277"/>
  <c r="W3278"/>
  <c r="W3279"/>
  <c r="W3280"/>
  <c r="W3281"/>
  <c r="W3282"/>
  <c r="W3283"/>
  <c r="W3284"/>
  <c r="W3285"/>
  <c r="W3286"/>
  <c r="W3287"/>
  <c r="W3288"/>
  <c r="W3289"/>
  <c r="W3290"/>
  <c r="W3291"/>
  <c r="W3292"/>
  <c r="W3293"/>
  <c r="W3294"/>
  <c r="W3295"/>
  <c r="W3296"/>
  <c r="W3297"/>
  <c r="W3298"/>
  <c r="W3299"/>
  <c r="W3300"/>
  <c r="W3301"/>
  <c r="W3302"/>
  <c r="W3303"/>
  <c r="W3304"/>
  <c r="W3305"/>
  <c r="W3306"/>
  <c r="W3307"/>
  <c r="W3308"/>
  <c r="W3309"/>
  <c r="W3310"/>
  <c r="W3311"/>
  <c r="W3312"/>
  <c r="W3313"/>
  <c r="W3314"/>
  <c r="W3315"/>
  <c r="W3316"/>
  <c r="W3317"/>
  <c r="W3318"/>
  <c r="W3319"/>
  <c r="W3320"/>
  <c r="W3321"/>
  <c r="W3322"/>
  <c r="W3323"/>
  <c r="W3324"/>
  <c r="W3325"/>
  <c r="W3326"/>
  <c r="W3327"/>
  <c r="W3328"/>
  <c r="W3329"/>
  <c r="W3330"/>
  <c r="W3331"/>
  <c r="W3332"/>
  <c r="W3333"/>
  <c r="W3334"/>
  <c r="W3335"/>
  <c r="W3336"/>
  <c r="W3337"/>
  <c r="W3338"/>
  <c r="W3339"/>
  <c r="W3340"/>
  <c r="W3341"/>
  <c r="W3342"/>
  <c r="W3343"/>
  <c r="W3344"/>
  <c r="W3345"/>
  <c r="W3346"/>
  <c r="W3347"/>
  <c r="W3348"/>
  <c r="W3349"/>
  <c r="W3350"/>
  <c r="W3351"/>
  <c r="W3352"/>
  <c r="W3353"/>
  <c r="W3354"/>
  <c r="W3355"/>
  <c r="W3356"/>
  <c r="W3357"/>
  <c r="W3358"/>
  <c r="W3359"/>
  <c r="W3360"/>
  <c r="W3361"/>
  <c r="W3362"/>
  <c r="W3363"/>
  <c r="W3364"/>
  <c r="W3365"/>
  <c r="W3366"/>
  <c r="W3367"/>
  <c r="W3368"/>
  <c r="W3369"/>
  <c r="W3370"/>
  <c r="W3371"/>
  <c r="W3372"/>
  <c r="W3373"/>
  <c r="W3374"/>
  <c r="W3375"/>
  <c r="W3376"/>
  <c r="W3377"/>
  <c r="W3378"/>
  <c r="W3379"/>
  <c r="W3380"/>
  <c r="W3381"/>
  <c r="W3382"/>
  <c r="W3383"/>
  <c r="W3384"/>
  <c r="W3385"/>
  <c r="W3386"/>
  <c r="W3387"/>
  <c r="W3388"/>
  <c r="W3389"/>
  <c r="W3390"/>
  <c r="W3391"/>
  <c r="W3392"/>
  <c r="W3393"/>
  <c r="W3394"/>
  <c r="W3395"/>
  <c r="W3396"/>
  <c r="W3397"/>
  <c r="W3398"/>
  <c r="W3399"/>
  <c r="W3400"/>
  <c r="W3401"/>
  <c r="W3402"/>
  <c r="W3403"/>
  <c r="W3404"/>
  <c r="W3405"/>
  <c r="W3406"/>
  <c r="W3407"/>
  <c r="W3408"/>
  <c r="W3409"/>
  <c r="W3410"/>
  <c r="W3411"/>
  <c r="W3412"/>
  <c r="W3413"/>
  <c r="W3414"/>
  <c r="W3415"/>
  <c r="W3416"/>
  <c r="W3417"/>
  <c r="W3418"/>
  <c r="W3419"/>
  <c r="W3420"/>
  <c r="W3421"/>
  <c r="W3422"/>
  <c r="W3423"/>
  <c r="W3424"/>
  <c r="W3425"/>
  <c r="W3426"/>
  <c r="W3427"/>
  <c r="W3428"/>
  <c r="W3429"/>
  <c r="W3430"/>
  <c r="W3431"/>
  <c r="W3432"/>
  <c r="W3433"/>
  <c r="W3434"/>
  <c r="W3435"/>
  <c r="W3436"/>
  <c r="W3437"/>
  <c r="W3438"/>
  <c r="W3439"/>
  <c r="W3440"/>
  <c r="W3441"/>
  <c r="W3442"/>
  <c r="W3443"/>
  <c r="W3444"/>
  <c r="W3445"/>
  <c r="W3446"/>
  <c r="W3447"/>
  <c r="W3448"/>
  <c r="W3449"/>
  <c r="W3450"/>
  <c r="W3451"/>
  <c r="W3452"/>
  <c r="W3453"/>
  <c r="W3454"/>
  <c r="W3455"/>
  <c r="W3456"/>
  <c r="W3457"/>
  <c r="W3458"/>
  <c r="W3459"/>
  <c r="W3460"/>
  <c r="W3461"/>
  <c r="W3462"/>
  <c r="W3463"/>
  <c r="W3464"/>
  <c r="W3465"/>
  <c r="W3466"/>
  <c r="W3467"/>
  <c r="W3468"/>
  <c r="W3469"/>
  <c r="W3470"/>
  <c r="W3471"/>
  <c r="W3472"/>
  <c r="W3473"/>
  <c r="W3474"/>
  <c r="W3475"/>
  <c r="W3476"/>
  <c r="W3477"/>
  <c r="W3478"/>
  <c r="W3479"/>
  <c r="W3480"/>
  <c r="W3481"/>
  <c r="W3482"/>
  <c r="W3483"/>
  <c r="W3484"/>
  <c r="W3485"/>
  <c r="W3486"/>
  <c r="W3487"/>
  <c r="W3488"/>
  <c r="W3489"/>
  <c r="W3490"/>
  <c r="W3491"/>
  <c r="W3492"/>
  <c r="W3493"/>
  <c r="W3494"/>
  <c r="W3495"/>
  <c r="W3496"/>
  <c r="W3497"/>
  <c r="W3498"/>
  <c r="W3499"/>
  <c r="W3500"/>
  <c r="W3501"/>
  <c r="W3502"/>
  <c r="W3503"/>
  <c r="W3504"/>
  <c r="W3505"/>
  <c r="W3506"/>
  <c r="W3507"/>
  <c r="Y3507"/>
  <c r="W3508"/>
  <c r="Y3508"/>
  <c r="W3509"/>
  <c r="Y3509"/>
  <c r="W3510"/>
  <c r="Y3510"/>
  <c r="W3511"/>
  <c r="W3512"/>
  <c r="Y3512"/>
  <c r="W3513"/>
  <c r="Y3513"/>
  <c r="W3514"/>
  <c r="Y3514"/>
  <c r="W3515"/>
  <c r="Y3515"/>
  <c r="W3516"/>
  <c r="Y3516"/>
  <c r="W3517"/>
  <c r="Y3517"/>
  <c r="W3518"/>
  <c r="Y3518"/>
  <c r="W3519"/>
  <c r="W3520"/>
  <c r="W3521"/>
  <c r="Y3521"/>
  <c r="W3522"/>
  <c r="Y3522"/>
  <c r="Z5"/>
  <c r="C6" i="4"/>
  <c r="D6"/>
  <c r="C7"/>
  <c r="D7"/>
  <c r="C8"/>
  <c r="D8"/>
  <c r="C9"/>
  <c r="D9"/>
  <c r="C10"/>
  <c r="D10"/>
  <c r="C11"/>
  <c r="D11"/>
  <c r="C12"/>
  <c r="D12"/>
  <c r="C13"/>
  <c r="D13"/>
  <c r="C14"/>
  <c r="D14"/>
  <c r="C15"/>
  <c r="D15"/>
  <c r="C16"/>
  <c r="D16"/>
  <c r="C17"/>
  <c r="D17"/>
  <c r="I7"/>
  <c r="J7"/>
  <c r="K7"/>
  <c r="L7"/>
  <c r="M7"/>
  <c r="N7"/>
  <c r="O7"/>
  <c r="P7"/>
  <c r="G8"/>
  <c r="H8"/>
  <c r="I8"/>
  <c r="J8"/>
  <c r="K8"/>
  <c r="L8"/>
  <c r="M8"/>
  <c r="N8"/>
  <c r="G9"/>
  <c r="H9"/>
  <c r="I9"/>
  <c r="J9"/>
  <c r="K9"/>
  <c r="L9"/>
  <c r="M9"/>
  <c r="N9"/>
  <c r="G10"/>
  <c r="H10"/>
  <c r="I10"/>
  <c r="J10"/>
  <c r="K10"/>
  <c r="L10"/>
  <c r="M10"/>
  <c r="N10"/>
  <c r="O10"/>
  <c r="P10"/>
  <c r="G11"/>
  <c r="H11"/>
  <c r="I11"/>
  <c r="J11"/>
  <c r="K11"/>
  <c r="L11"/>
  <c r="M11"/>
  <c r="N11"/>
  <c r="G12"/>
  <c r="H12"/>
  <c r="I12"/>
  <c r="J12"/>
  <c r="K12"/>
  <c r="L12"/>
  <c r="M12"/>
  <c r="N12"/>
  <c r="G13"/>
  <c r="H13"/>
  <c r="I13"/>
  <c r="J13"/>
  <c r="K13"/>
  <c r="L13"/>
  <c r="M13"/>
  <c r="N13"/>
  <c r="O13"/>
  <c r="P13"/>
  <c r="G14"/>
  <c r="H14"/>
  <c r="I14"/>
  <c r="J14"/>
  <c r="K14"/>
  <c r="L14"/>
  <c r="M14"/>
  <c r="N14"/>
  <c r="G15"/>
  <c r="H15"/>
  <c r="I15"/>
  <c r="J15"/>
  <c r="K15"/>
  <c r="L15"/>
  <c r="M15"/>
  <c r="N15"/>
  <c r="G16"/>
  <c r="H16"/>
  <c r="I16"/>
  <c r="J16"/>
  <c r="K16"/>
  <c r="L16"/>
  <c r="M16"/>
  <c r="N16"/>
  <c r="O16"/>
  <c r="P16"/>
  <c r="G17"/>
  <c r="H17"/>
  <c r="I17"/>
  <c r="J17"/>
  <c r="K17"/>
  <c r="L17"/>
  <c r="M17"/>
  <c r="N17"/>
  <c r="G18"/>
  <c r="H18"/>
  <c r="I18"/>
  <c r="J18"/>
  <c r="K18"/>
  <c r="L18"/>
  <c r="M18"/>
  <c r="N18"/>
  <c r="O18"/>
  <c r="P18"/>
  <c r="P5" i="1"/>
  <c r="Q5"/>
  <c r="U5"/>
  <c r="V5"/>
  <c r="K7"/>
  <c r="K8"/>
  <c r="T8"/>
  <c r="K9"/>
  <c r="T9"/>
  <c r="K10"/>
  <c r="T10"/>
  <c r="K11"/>
  <c r="K12"/>
  <c r="K13"/>
  <c r="T13"/>
  <c r="K14"/>
  <c r="K15"/>
  <c r="T15"/>
  <c r="K16"/>
  <c r="K17"/>
  <c r="T17"/>
  <c r="K18"/>
  <c r="T18"/>
  <c r="Y18"/>
  <c r="K19"/>
  <c r="K20"/>
  <c r="T20"/>
  <c r="K21"/>
  <c r="T21"/>
  <c r="K22"/>
  <c r="K23"/>
  <c r="T23"/>
  <c r="Y23"/>
  <c r="K24"/>
  <c r="K25"/>
  <c r="T25"/>
  <c r="K26"/>
  <c r="T26"/>
  <c r="K27"/>
  <c r="T27"/>
  <c r="K28"/>
  <c r="T28"/>
  <c r="K29"/>
  <c r="K30"/>
  <c r="T30"/>
  <c r="K31"/>
  <c r="K32"/>
  <c r="T32"/>
  <c r="K33"/>
  <c r="K34"/>
  <c r="K35"/>
  <c r="K36"/>
  <c r="T36"/>
  <c r="K37"/>
  <c r="T37"/>
  <c r="K38"/>
  <c r="T38"/>
  <c r="K39"/>
  <c r="T39"/>
  <c r="K40"/>
  <c r="T40"/>
  <c r="K41"/>
  <c r="T41"/>
  <c r="Y41"/>
  <c r="K42"/>
  <c r="T42"/>
  <c r="K43"/>
  <c r="K44"/>
  <c r="K45"/>
  <c r="T45"/>
  <c r="K46"/>
  <c r="T46"/>
  <c r="K47"/>
  <c r="T47"/>
  <c r="K48"/>
  <c r="T48"/>
  <c r="K49"/>
  <c r="T49"/>
  <c r="K50"/>
  <c r="T50"/>
  <c r="K51"/>
  <c r="K52"/>
  <c r="T52"/>
  <c r="K53"/>
  <c r="T53"/>
  <c r="K54"/>
  <c r="T54"/>
  <c r="K55"/>
  <c r="T55"/>
  <c r="K56"/>
  <c r="T56"/>
  <c r="K57"/>
  <c r="T57"/>
  <c r="K58"/>
  <c r="T58"/>
  <c r="K59"/>
  <c r="K60"/>
  <c r="T60"/>
  <c r="K61"/>
  <c r="T61"/>
  <c r="K62"/>
  <c r="T62"/>
  <c r="K63"/>
  <c r="T63"/>
  <c r="K64"/>
  <c r="T64"/>
  <c r="K65"/>
  <c r="T65"/>
  <c r="K66"/>
  <c r="T66"/>
  <c r="K67"/>
  <c r="K68"/>
  <c r="T68"/>
  <c r="K69"/>
  <c r="T69"/>
  <c r="K70"/>
  <c r="T70"/>
  <c r="K71"/>
  <c r="T71"/>
  <c r="K72"/>
  <c r="T72"/>
  <c r="K73"/>
  <c r="T73"/>
  <c r="K74"/>
  <c r="K75"/>
  <c r="K76"/>
  <c r="T76"/>
  <c r="K77"/>
  <c r="T77"/>
  <c r="K78"/>
  <c r="T78"/>
  <c r="K79"/>
  <c r="K80"/>
  <c r="T80"/>
  <c r="K81"/>
  <c r="T81"/>
  <c r="K82"/>
  <c r="T82"/>
  <c r="K83"/>
  <c r="K84"/>
  <c r="T84"/>
  <c r="K85"/>
  <c r="T85"/>
  <c r="K86"/>
  <c r="T86"/>
  <c r="K87"/>
  <c r="T87"/>
  <c r="K88"/>
  <c r="T88"/>
  <c r="K89"/>
  <c r="K90"/>
  <c r="T90"/>
  <c r="K91"/>
  <c r="K92"/>
  <c r="T92"/>
  <c r="K93"/>
  <c r="T93"/>
  <c r="Y93"/>
  <c r="K94"/>
  <c r="T94"/>
  <c r="K95"/>
  <c r="T95"/>
  <c r="K96"/>
  <c r="T96"/>
  <c r="K97"/>
  <c r="T97"/>
  <c r="K98"/>
  <c r="T98"/>
  <c r="K99"/>
  <c r="K100"/>
  <c r="T100"/>
  <c r="K101"/>
  <c r="T101"/>
  <c r="K102"/>
  <c r="T102"/>
  <c r="K103"/>
  <c r="T103"/>
  <c r="Y103"/>
  <c r="K104"/>
  <c r="T104"/>
  <c r="K105"/>
  <c r="T105"/>
  <c r="K106"/>
  <c r="T106"/>
  <c r="K107"/>
  <c r="K108"/>
  <c r="T108"/>
  <c r="K109"/>
  <c r="T109"/>
  <c r="K110"/>
  <c r="T110"/>
  <c r="K111"/>
  <c r="K112"/>
  <c r="T112"/>
  <c r="K113"/>
  <c r="T113"/>
  <c r="K114"/>
  <c r="T114"/>
  <c r="K115"/>
  <c r="K116"/>
  <c r="T116"/>
  <c r="K117"/>
  <c r="T117"/>
  <c r="K118"/>
  <c r="T118"/>
  <c r="K119"/>
  <c r="T119"/>
  <c r="K120"/>
  <c r="T120"/>
  <c r="K121"/>
  <c r="T121"/>
  <c r="K122"/>
  <c r="T122"/>
  <c r="K123"/>
  <c r="K124"/>
  <c r="T124"/>
  <c r="K125"/>
  <c r="T125"/>
  <c r="K126"/>
  <c r="T126"/>
  <c r="K127"/>
  <c r="K128"/>
  <c r="T128"/>
  <c r="K129"/>
  <c r="T129"/>
  <c r="K130"/>
  <c r="T130"/>
  <c r="K131"/>
  <c r="K132"/>
  <c r="T132"/>
  <c r="K133"/>
  <c r="T133"/>
  <c r="K134"/>
  <c r="T134"/>
  <c r="K135"/>
  <c r="T135"/>
  <c r="Y135"/>
  <c r="K136"/>
  <c r="T136"/>
  <c r="K137"/>
  <c r="T137"/>
  <c r="K138"/>
  <c r="T138"/>
  <c r="K139"/>
  <c r="K140"/>
  <c r="T140"/>
  <c r="K141"/>
  <c r="T141"/>
  <c r="K142"/>
  <c r="T142"/>
  <c r="K143"/>
  <c r="T143"/>
  <c r="Y143"/>
  <c r="K144"/>
  <c r="T144"/>
  <c r="K145"/>
  <c r="T145"/>
  <c r="K146"/>
  <c r="T146"/>
  <c r="K147"/>
  <c r="K148"/>
  <c r="T148"/>
  <c r="K149"/>
  <c r="K150"/>
  <c r="T150"/>
  <c r="K151"/>
  <c r="T151"/>
  <c r="K152"/>
  <c r="K153"/>
  <c r="T153"/>
  <c r="K154"/>
  <c r="T154"/>
  <c r="K155"/>
  <c r="K156"/>
  <c r="T156"/>
  <c r="K157"/>
  <c r="K158"/>
  <c r="T158"/>
  <c r="K159"/>
  <c r="T159"/>
  <c r="K160"/>
  <c r="K161"/>
  <c r="T161"/>
  <c r="K162"/>
  <c r="K163"/>
  <c r="K164"/>
  <c r="T164"/>
  <c r="K165"/>
  <c r="T165"/>
  <c r="K166"/>
  <c r="T166"/>
  <c r="K167"/>
  <c r="K168"/>
  <c r="T168"/>
  <c r="K169"/>
  <c r="T169"/>
  <c r="K170"/>
  <c r="T170"/>
  <c r="K171"/>
  <c r="K172"/>
  <c r="T172"/>
  <c r="K173"/>
  <c r="T173"/>
  <c r="K174"/>
  <c r="T174"/>
  <c r="K175"/>
  <c r="T175"/>
  <c r="Y175"/>
  <c r="K176"/>
  <c r="T176"/>
  <c r="K177"/>
  <c r="T177"/>
  <c r="K178"/>
  <c r="T178"/>
  <c r="K179"/>
  <c r="K180"/>
  <c r="T180"/>
  <c r="K181"/>
  <c r="T181"/>
  <c r="K182"/>
  <c r="T182"/>
  <c r="K183"/>
  <c r="K184"/>
  <c r="T184"/>
  <c r="K185"/>
  <c r="T185"/>
  <c r="K186"/>
  <c r="T186"/>
  <c r="K187"/>
  <c r="K188"/>
  <c r="T188"/>
  <c r="K189"/>
  <c r="T189"/>
  <c r="K190"/>
  <c r="T190"/>
  <c r="K191"/>
  <c r="T191"/>
  <c r="Y191"/>
  <c r="K192"/>
  <c r="T192"/>
  <c r="K193"/>
  <c r="T193"/>
  <c r="K194"/>
  <c r="T194"/>
  <c r="K195"/>
  <c r="K196"/>
  <c r="T196"/>
  <c r="K197"/>
  <c r="K198"/>
  <c r="T198"/>
  <c r="K199"/>
  <c r="T199"/>
  <c r="K200"/>
  <c r="T200"/>
  <c r="K201"/>
  <c r="T201"/>
  <c r="Y201"/>
  <c r="K202"/>
  <c r="T202"/>
  <c r="K203"/>
  <c r="K204"/>
  <c r="T204"/>
  <c r="K205"/>
  <c r="K206"/>
  <c r="T206"/>
  <c r="K207"/>
  <c r="T207"/>
  <c r="K208"/>
  <c r="K209"/>
  <c r="T209"/>
  <c r="K210"/>
  <c r="T210"/>
  <c r="K211"/>
  <c r="K212"/>
  <c r="T212"/>
  <c r="K213"/>
  <c r="K214"/>
  <c r="T214"/>
  <c r="K215"/>
  <c r="T215"/>
  <c r="K216"/>
  <c r="K217"/>
  <c r="T217"/>
  <c r="K218"/>
  <c r="T218"/>
  <c r="K219"/>
  <c r="K220"/>
  <c r="T220"/>
  <c r="K221"/>
  <c r="T221"/>
  <c r="K222"/>
  <c r="T222"/>
  <c r="K223"/>
  <c r="T223"/>
  <c r="Y223"/>
  <c r="K224"/>
  <c r="T224"/>
  <c r="K225"/>
  <c r="T225"/>
  <c r="K226"/>
  <c r="T226"/>
  <c r="K227"/>
  <c r="K228"/>
  <c r="T228"/>
  <c r="K229"/>
  <c r="K230"/>
  <c r="T230"/>
  <c r="K231"/>
  <c r="T231"/>
  <c r="K232"/>
  <c r="K233"/>
  <c r="T233"/>
  <c r="K234"/>
  <c r="K235"/>
  <c r="K236"/>
  <c r="K237"/>
  <c r="T237"/>
  <c r="Y237"/>
  <c r="K238"/>
  <c r="T238"/>
  <c r="K239"/>
  <c r="T239"/>
  <c r="K240"/>
  <c r="T240"/>
  <c r="K241"/>
  <c r="T241"/>
  <c r="K242"/>
  <c r="T242"/>
  <c r="K243"/>
  <c r="T243"/>
  <c r="K244"/>
  <c r="T244"/>
  <c r="K245"/>
  <c r="K246"/>
  <c r="T246"/>
  <c r="K247"/>
  <c r="T247"/>
  <c r="K248"/>
  <c r="K249"/>
  <c r="T249"/>
  <c r="K250"/>
  <c r="K251"/>
  <c r="K252"/>
  <c r="K253"/>
  <c r="T253"/>
  <c r="Y253"/>
  <c r="K254"/>
  <c r="T254"/>
  <c r="K255"/>
  <c r="T255"/>
  <c r="K256"/>
  <c r="T256"/>
  <c r="K257"/>
  <c r="T257"/>
  <c r="K258"/>
  <c r="T258"/>
  <c r="K259"/>
  <c r="K260"/>
  <c r="T260"/>
  <c r="K261"/>
  <c r="T261"/>
  <c r="K262"/>
  <c r="T262"/>
  <c r="K263"/>
  <c r="T263"/>
  <c r="K264"/>
  <c r="T264"/>
  <c r="K265"/>
  <c r="T265"/>
  <c r="K266"/>
  <c r="T266"/>
  <c r="K267"/>
  <c r="K268"/>
  <c r="T268"/>
  <c r="K269"/>
  <c r="T269"/>
  <c r="K270"/>
  <c r="T270"/>
  <c r="K271"/>
  <c r="T271"/>
  <c r="K272"/>
  <c r="T272"/>
  <c r="K273"/>
  <c r="T273"/>
  <c r="K274"/>
  <c r="T274"/>
  <c r="K275"/>
  <c r="K276"/>
  <c r="T276"/>
  <c r="K277"/>
  <c r="T277"/>
  <c r="K278"/>
  <c r="T278"/>
  <c r="K279"/>
  <c r="T279"/>
  <c r="K280"/>
  <c r="T280"/>
  <c r="K281"/>
  <c r="T281"/>
  <c r="K282"/>
  <c r="T282"/>
  <c r="K283"/>
  <c r="K284"/>
  <c r="T284"/>
  <c r="K285"/>
  <c r="T285"/>
  <c r="K286"/>
  <c r="T286"/>
  <c r="K287"/>
  <c r="T287"/>
  <c r="K288"/>
  <c r="T288"/>
  <c r="K289"/>
  <c r="T289"/>
  <c r="K290"/>
  <c r="T290"/>
  <c r="K291"/>
  <c r="K292"/>
  <c r="T292"/>
  <c r="K293"/>
  <c r="T293"/>
  <c r="K294"/>
  <c r="T294"/>
  <c r="K295"/>
  <c r="T295"/>
  <c r="K296"/>
  <c r="T296"/>
  <c r="K297"/>
  <c r="T297"/>
  <c r="K298"/>
  <c r="T298"/>
  <c r="K299"/>
  <c r="K300"/>
  <c r="T300"/>
  <c r="K301"/>
  <c r="T301"/>
  <c r="K302"/>
  <c r="T302"/>
  <c r="K303"/>
  <c r="T303"/>
  <c r="K304"/>
  <c r="T304"/>
  <c r="K305"/>
  <c r="T305"/>
  <c r="K306"/>
  <c r="T306"/>
  <c r="K307"/>
  <c r="K308"/>
  <c r="T308"/>
  <c r="K309"/>
  <c r="T309"/>
  <c r="K310"/>
  <c r="T310"/>
  <c r="K311"/>
  <c r="T311"/>
  <c r="K312"/>
  <c r="T312"/>
  <c r="K313"/>
  <c r="T313"/>
  <c r="K314"/>
  <c r="T314"/>
  <c r="K315"/>
  <c r="K316"/>
  <c r="T316"/>
  <c r="K317"/>
  <c r="T317"/>
  <c r="K318"/>
  <c r="T318"/>
  <c r="K319"/>
  <c r="T319"/>
  <c r="K320"/>
  <c r="T320"/>
  <c r="K321"/>
  <c r="T321"/>
  <c r="K322"/>
  <c r="T322"/>
  <c r="K323"/>
  <c r="K324"/>
  <c r="T324"/>
  <c r="K325"/>
  <c r="T325"/>
  <c r="K326"/>
  <c r="T326"/>
  <c r="K327"/>
  <c r="T327"/>
  <c r="K328"/>
  <c r="T328"/>
  <c r="K329"/>
  <c r="T329"/>
  <c r="K330"/>
  <c r="T330"/>
  <c r="K331"/>
  <c r="K332"/>
  <c r="T332"/>
  <c r="K333"/>
  <c r="T333"/>
  <c r="K334"/>
  <c r="T334"/>
  <c r="K335"/>
  <c r="T335"/>
  <c r="K336"/>
  <c r="T336"/>
  <c r="K337"/>
  <c r="T337"/>
  <c r="K338"/>
  <c r="T338"/>
  <c r="K339"/>
  <c r="K340"/>
  <c r="T340"/>
  <c r="K341"/>
  <c r="T341"/>
  <c r="K342"/>
  <c r="T342"/>
  <c r="K343"/>
  <c r="T343"/>
  <c r="K344"/>
  <c r="T344"/>
  <c r="K345"/>
  <c r="T345"/>
  <c r="K346"/>
  <c r="T346"/>
  <c r="K347"/>
  <c r="K348"/>
  <c r="T348"/>
  <c r="K349"/>
  <c r="T349"/>
  <c r="K350"/>
  <c r="T350"/>
  <c r="K351"/>
  <c r="T351"/>
  <c r="K352"/>
  <c r="T352"/>
  <c r="K353"/>
  <c r="T353"/>
  <c r="K354"/>
  <c r="T354"/>
  <c r="K355"/>
  <c r="K356"/>
  <c r="T356"/>
  <c r="K357"/>
  <c r="T357"/>
  <c r="K358"/>
  <c r="T358"/>
  <c r="K359"/>
  <c r="T359"/>
  <c r="K360"/>
  <c r="T360"/>
  <c r="K361"/>
  <c r="T361"/>
  <c r="K362"/>
  <c r="T362"/>
  <c r="K363"/>
  <c r="K364"/>
  <c r="T364"/>
  <c r="K365"/>
  <c r="T365"/>
  <c r="K366"/>
  <c r="T366"/>
  <c r="K367"/>
  <c r="T367"/>
  <c r="K368"/>
  <c r="T368"/>
  <c r="K369"/>
  <c r="T369"/>
  <c r="K370"/>
  <c r="T370"/>
  <c r="K371"/>
  <c r="K372"/>
  <c r="T372"/>
  <c r="K373"/>
  <c r="T373"/>
  <c r="K374"/>
  <c r="T374"/>
  <c r="K375"/>
  <c r="T375"/>
  <c r="K376"/>
  <c r="T376"/>
  <c r="K377"/>
  <c r="T377"/>
  <c r="K378"/>
  <c r="T378"/>
  <c r="K379"/>
  <c r="K380"/>
  <c r="T380"/>
  <c r="K381"/>
  <c r="T381"/>
  <c r="K382"/>
  <c r="T382"/>
  <c r="K383"/>
  <c r="T383"/>
  <c r="K384"/>
  <c r="T384"/>
  <c r="K385"/>
  <c r="T385"/>
  <c r="K386"/>
  <c r="T386"/>
  <c r="K387"/>
  <c r="K388"/>
  <c r="T388"/>
  <c r="K389"/>
  <c r="T389"/>
  <c r="K390"/>
  <c r="T390"/>
  <c r="K391"/>
  <c r="T391"/>
  <c r="K392"/>
  <c r="T392"/>
  <c r="K393"/>
  <c r="T393"/>
  <c r="K394"/>
  <c r="T394"/>
  <c r="K395"/>
  <c r="K396"/>
  <c r="T396"/>
  <c r="K397"/>
  <c r="T397"/>
  <c r="K398"/>
  <c r="T398"/>
  <c r="K399"/>
  <c r="T399"/>
  <c r="K400"/>
  <c r="T400"/>
  <c r="K401"/>
  <c r="T401"/>
  <c r="K402"/>
  <c r="T402"/>
  <c r="K403"/>
  <c r="K404"/>
  <c r="T404"/>
  <c r="K405"/>
  <c r="T405"/>
  <c r="K406"/>
  <c r="T406"/>
  <c r="K407"/>
  <c r="T407"/>
  <c r="K408"/>
  <c r="T408"/>
  <c r="K409"/>
  <c r="T409"/>
  <c r="K410"/>
  <c r="T410"/>
  <c r="K411"/>
  <c r="K412"/>
  <c r="T412"/>
  <c r="K413"/>
  <c r="T413"/>
  <c r="K414"/>
  <c r="T414"/>
  <c r="K415"/>
  <c r="T415"/>
  <c r="K416"/>
  <c r="T416"/>
  <c r="K417"/>
  <c r="T417"/>
  <c r="K418"/>
  <c r="T418"/>
  <c r="K419"/>
  <c r="K420"/>
  <c r="T420"/>
  <c r="K421"/>
  <c r="T421"/>
  <c r="K422"/>
  <c r="T422"/>
  <c r="K423"/>
  <c r="T423"/>
  <c r="K424"/>
  <c r="T424"/>
  <c r="K425"/>
  <c r="T425"/>
  <c r="K426"/>
  <c r="T426"/>
  <c r="K427"/>
  <c r="K428"/>
  <c r="T428"/>
  <c r="K429"/>
  <c r="T429"/>
  <c r="K430"/>
  <c r="T430"/>
  <c r="K431"/>
  <c r="T431"/>
  <c r="K432"/>
  <c r="T432"/>
  <c r="K433"/>
  <c r="T433"/>
  <c r="K434"/>
  <c r="T434"/>
  <c r="K435"/>
  <c r="K436"/>
  <c r="T436"/>
  <c r="K437"/>
  <c r="T437"/>
  <c r="K438"/>
  <c r="T438"/>
  <c r="K439"/>
  <c r="T439"/>
  <c r="K440"/>
  <c r="T440"/>
  <c r="K441"/>
  <c r="T441"/>
  <c r="K442"/>
  <c r="T442"/>
  <c r="K443"/>
  <c r="K444"/>
  <c r="T444"/>
  <c r="K445"/>
  <c r="T445"/>
  <c r="K446"/>
  <c r="T446"/>
  <c r="K447"/>
  <c r="T447"/>
  <c r="K448"/>
  <c r="T448"/>
  <c r="K449"/>
  <c r="T449"/>
  <c r="K450"/>
  <c r="T450"/>
  <c r="K451"/>
  <c r="K452"/>
  <c r="T452"/>
  <c r="K453"/>
  <c r="T453"/>
  <c r="K454"/>
  <c r="T454"/>
  <c r="K455"/>
  <c r="T455"/>
  <c r="K456"/>
  <c r="T456"/>
  <c r="K457"/>
  <c r="T457"/>
  <c r="K458"/>
  <c r="T458"/>
  <c r="K459"/>
  <c r="K460"/>
  <c r="T460"/>
  <c r="K461"/>
  <c r="T461"/>
  <c r="K462"/>
  <c r="T462"/>
  <c r="K463"/>
  <c r="T463"/>
  <c r="K464"/>
  <c r="T464"/>
  <c r="K465"/>
  <c r="T465"/>
  <c r="K466"/>
  <c r="T466"/>
  <c r="K467"/>
  <c r="K468"/>
  <c r="T468"/>
  <c r="K469"/>
  <c r="T469"/>
  <c r="K470"/>
  <c r="T470"/>
  <c r="K471"/>
  <c r="T471"/>
  <c r="K472"/>
  <c r="T472"/>
  <c r="K473"/>
  <c r="T473"/>
  <c r="K474"/>
  <c r="T474"/>
  <c r="K475"/>
  <c r="K476"/>
  <c r="T476"/>
  <c r="K477"/>
  <c r="T477"/>
  <c r="K478"/>
  <c r="T478"/>
  <c r="K479"/>
  <c r="T479"/>
  <c r="K480"/>
  <c r="T480"/>
  <c r="K481"/>
  <c r="T481"/>
  <c r="K482"/>
  <c r="T482"/>
  <c r="K483"/>
  <c r="K484"/>
  <c r="T484"/>
  <c r="K485"/>
  <c r="T485"/>
  <c r="K486"/>
  <c r="T486"/>
  <c r="K487"/>
  <c r="T487"/>
  <c r="K488"/>
  <c r="T488"/>
  <c r="K489"/>
  <c r="T489"/>
  <c r="K490"/>
  <c r="T490"/>
  <c r="K491"/>
  <c r="K492"/>
  <c r="T492"/>
  <c r="K493"/>
  <c r="T493"/>
  <c r="K494"/>
  <c r="T494"/>
  <c r="K495"/>
  <c r="T495"/>
  <c r="K496"/>
  <c r="T496"/>
  <c r="K497"/>
  <c r="T497"/>
  <c r="K498"/>
  <c r="T498"/>
  <c r="K499"/>
  <c r="K500"/>
  <c r="T500"/>
  <c r="K501"/>
  <c r="T501"/>
  <c r="K502"/>
  <c r="T502"/>
  <c r="K503"/>
  <c r="T503"/>
  <c r="K504"/>
  <c r="T504"/>
  <c r="K505"/>
  <c r="T505"/>
  <c r="K506"/>
  <c r="T506"/>
  <c r="K507"/>
  <c r="K508"/>
  <c r="T508"/>
  <c r="K509"/>
  <c r="T509"/>
  <c r="K510"/>
  <c r="T510"/>
  <c r="K511"/>
  <c r="T511"/>
  <c r="K512"/>
  <c r="T512"/>
  <c r="K513"/>
  <c r="T513"/>
  <c r="K514"/>
  <c r="T514"/>
  <c r="K515"/>
  <c r="K516"/>
  <c r="T516"/>
  <c r="K517"/>
  <c r="T517"/>
  <c r="K518"/>
  <c r="T518"/>
  <c r="K519"/>
  <c r="T519"/>
  <c r="K520"/>
  <c r="T520"/>
  <c r="K521"/>
  <c r="T521"/>
  <c r="K522"/>
  <c r="T522"/>
  <c r="K523"/>
  <c r="K524"/>
  <c r="T524"/>
  <c r="K525"/>
  <c r="T525"/>
  <c r="K526"/>
  <c r="T526"/>
  <c r="K527"/>
  <c r="T527"/>
  <c r="K528"/>
  <c r="T528"/>
  <c r="K529"/>
  <c r="T529"/>
  <c r="K530"/>
  <c r="T530"/>
  <c r="K531"/>
  <c r="K532"/>
  <c r="T532"/>
  <c r="K533"/>
  <c r="T533"/>
  <c r="K534"/>
  <c r="T534"/>
  <c r="K535"/>
  <c r="T535"/>
  <c r="K536"/>
  <c r="T536"/>
  <c r="K537"/>
  <c r="T537"/>
  <c r="K538"/>
  <c r="T538"/>
  <c r="K539"/>
  <c r="K540"/>
  <c r="T540"/>
  <c r="K541"/>
  <c r="T541"/>
  <c r="K542"/>
  <c r="T542"/>
  <c r="K543"/>
  <c r="T543"/>
  <c r="K544"/>
  <c r="T544"/>
  <c r="K545"/>
  <c r="T545"/>
  <c r="K546"/>
  <c r="T546"/>
  <c r="K547"/>
  <c r="T547"/>
  <c r="K548"/>
  <c r="T548"/>
  <c r="K549"/>
  <c r="T549"/>
  <c r="K550"/>
  <c r="T550"/>
  <c r="K551"/>
  <c r="T551"/>
  <c r="K552"/>
  <c r="T552"/>
  <c r="K553"/>
  <c r="T553"/>
  <c r="K554"/>
  <c r="T554"/>
  <c r="K555"/>
  <c r="K556"/>
  <c r="T556"/>
  <c r="K557"/>
  <c r="T557"/>
  <c r="K558"/>
  <c r="T558"/>
  <c r="K559"/>
  <c r="T559"/>
  <c r="K560"/>
  <c r="T560"/>
  <c r="K561"/>
  <c r="T561"/>
  <c r="K562"/>
  <c r="T562"/>
  <c r="K563"/>
  <c r="T563"/>
  <c r="K564"/>
  <c r="T564"/>
  <c r="K565"/>
  <c r="T565"/>
  <c r="K566"/>
  <c r="T566"/>
  <c r="K567"/>
  <c r="T567"/>
  <c r="K568"/>
  <c r="T568"/>
  <c r="K569"/>
  <c r="T569"/>
  <c r="K570"/>
  <c r="T570"/>
  <c r="K571"/>
  <c r="T571"/>
  <c r="K572"/>
  <c r="T572"/>
  <c r="K573"/>
  <c r="T573"/>
  <c r="K574"/>
  <c r="T574"/>
  <c r="K575"/>
  <c r="T575"/>
  <c r="K576"/>
  <c r="T576"/>
  <c r="K577"/>
  <c r="T577"/>
  <c r="K578"/>
  <c r="T578"/>
  <c r="K579"/>
  <c r="T579"/>
  <c r="K580"/>
  <c r="T580"/>
  <c r="K581"/>
  <c r="T581"/>
  <c r="K582"/>
  <c r="T582"/>
  <c r="K583"/>
  <c r="T583"/>
  <c r="K584"/>
  <c r="T584"/>
  <c r="K585"/>
  <c r="T585"/>
  <c r="K586"/>
  <c r="T586"/>
  <c r="K587"/>
  <c r="T587"/>
  <c r="K588"/>
  <c r="T588"/>
  <c r="K589"/>
  <c r="T589"/>
  <c r="K590"/>
  <c r="T590"/>
  <c r="K591"/>
  <c r="T591"/>
  <c r="K592"/>
  <c r="T592"/>
  <c r="K593"/>
  <c r="K594"/>
  <c r="T594"/>
  <c r="K595"/>
  <c r="K596"/>
  <c r="T596"/>
  <c r="K597"/>
  <c r="T597"/>
  <c r="K598"/>
  <c r="T598"/>
  <c r="K599"/>
  <c r="T599"/>
  <c r="K600"/>
  <c r="K601"/>
  <c r="T601"/>
  <c r="K602"/>
  <c r="T602"/>
  <c r="K603"/>
  <c r="T603"/>
  <c r="K604"/>
  <c r="T604"/>
  <c r="K605"/>
  <c r="T605"/>
  <c r="K606"/>
  <c r="T606"/>
  <c r="K607"/>
  <c r="T607"/>
  <c r="K608"/>
  <c r="T608"/>
  <c r="K609"/>
  <c r="T609"/>
  <c r="K610"/>
  <c r="T610"/>
  <c r="K611"/>
  <c r="T611"/>
  <c r="K612"/>
  <c r="T612"/>
  <c r="K613"/>
  <c r="T613"/>
  <c r="K614"/>
  <c r="K615"/>
  <c r="T615"/>
  <c r="K616"/>
  <c r="T616"/>
  <c r="K617"/>
  <c r="T617"/>
  <c r="K618"/>
  <c r="T618"/>
  <c r="K619"/>
  <c r="T619"/>
  <c r="K620"/>
  <c r="T620"/>
  <c r="K621"/>
  <c r="T621"/>
  <c r="K622"/>
  <c r="T622"/>
  <c r="K623"/>
  <c r="T623"/>
  <c r="K624"/>
  <c r="T624"/>
  <c r="K625"/>
  <c r="T625"/>
  <c r="K626"/>
  <c r="T626"/>
  <c r="K627"/>
  <c r="T627"/>
  <c r="K628"/>
  <c r="T628"/>
  <c r="K629"/>
  <c r="T629"/>
  <c r="K630"/>
  <c r="T630"/>
  <c r="K631"/>
  <c r="T631"/>
  <c r="K632"/>
  <c r="T632"/>
  <c r="K633"/>
  <c r="T633"/>
  <c r="K634"/>
  <c r="T634"/>
  <c r="K635"/>
  <c r="T635"/>
  <c r="K636"/>
  <c r="T636"/>
  <c r="K637"/>
  <c r="T637"/>
  <c r="K638"/>
  <c r="K639"/>
  <c r="T639"/>
  <c r="K640"/>
  <c r="T640"/>
  <c r="K641"/>
  <c r="T641"/>
  <c r="K642"/>
  <c r="T642"/>
  <c r="K643"/>
  <c r="T643"/>
  <c r="K644"/>
  <c r="T644"/>
  <c r="K645"/>
  <c r="T645"/>
  <c r="K646"/>
  <c r="T646"/>
  <c r="K647"/>
  <c r="K648"/>
  <c r="T648"/>
  <c r="K649"/>
  <c r="K650"/>
  <c r="T650"/>
  <c r="K651"/>
  <c r="K652"/>
  <c r="T652"/>
  <c r="K653"/>
  <c r="T653"/>
  <c r="K654"/>
  <c r="T654"/>
  <c r="K655"/>
  <c r="T655"/>
  <c r="K656"/>
  <c r="T656"/>
  <c r="K657"/>
  <c r="K658"/>
  <c r="T658"/>
  <c r="K659"/>
  <c r="T659"/>
  <c r="K660"/>
  <c r="T660"/>
  <c r="K661"/>
  <c r="T661"/>
  <c r="K662"/>
  <c r="T662"/>
  <c r="K663"/>
  <c r="T663"/>
  <c r="K664"/>
  <c r="T664"/>
  <c r="K665"/>
  <c r="T665"/>
  <c r="K666"/>
  <c r="T666"/>
  <c r="K667"/>
  <c r="T667"/>
  <c r="K668"/>
  <c r="T668"/>
  <c r="K669"/>
  <c r="T669"/>
  <c r="K670"/>
  <c r="T670"/>
  <c r="K671"/>
  <c r="T671"/>
  <c r="K672"/>
  <c r="K673"/>
  <c r="T673"/>
  <c r="K674"/>
  <c r="K675"/>
  <c r="T675"/>
  <c r="K676"/>
  <c r="K677"/>
  <c r="T677"/>
  <c r="K678"/>
  <c r="T678"/>
  <c r="K679"/>
  <c r="K680"/>
  <c r="T680"/>
  <c r="K681"/>
  <c r="T681"/>
  <c r="K682"/>
  <c r="T682"/>
  <c r="K683"/>
  <c r="K684"/>
  <c r="T684"/>
  <c r="K685"/>
  <c r="K686"/>
  <c r="T686"/>
  <c r="K687"/>
  <c r="T687"/>
  <c r="K688"/>
  <c r="T688"/>
  <c r="K689"/>
  <c r="T689"/>
  <c r="K690"/>
  <c r="K691"/>
  <c r="T691"/>
  <c r="K692"/>
  <c r="T692"/>
  <c r="K693"/>
  <c r="T693"/>
  <c r="K694"/>
  <c r="T694"/>
  <c r="K695"/>
  <c r="K696"/>
  <c r="T696"/>
  <c r="K697"/>
  <c r="K698"/>
  <c r="T698"/>
  <c r="K699"/>
  <c r="T699"/>
  <c r="K700"/>
  <c r="T700"/>
  <c r="K701"/>
  <c r="K702"/>
  <c r="T702"/>
  <c r="K703"/>
  <c r="T703"/>
  <c r="K704"/>
  <c r="K705"/>
  <c r="T705"/>
  <c r="K706"/>
  <c r="K707"/>
  <c r="T707"/>
  <c r="K708"/>
  <c r="K709"/>
  <c r="T709"/>
  <c r="K710"/>
  <c r="K711"/>
  <c r="T711"/>
  <c r="K712"/>
  <c r="T712"/>
  <c r="K713"/>
  <c r="T713"/>
  <c r="K714"/>
  <c r="T714"/>
  <c r="K715"/>
  <c r="T715"/>
  <c r="K716"/>
  <c r="T716"/>
  <c r="K717"/>
  <c r="T717"/>
  <c r="K718"/>
  <c r="T718"/>
  <c r="K719"/>
  <c r="K720"/>
  <c r="T720"/>
  <c r="K721"/>
  <c r="K722"/>
  <c r="T722"/>
  <c r="K723"/>
  <c r="T723"/>
  <c r="K724"/>
  <c r="T724"/>
  <c r="K725"/>
  <c r="T725"/>
  <c r="K726"/>
  <c r="T726"/>
  <c r="K727"/>
  <c r="T727"/>
  <c r="K728"/>
  <c r="T728"/>
  <c r="K729"/>
  <c r="T729"/>
  <c r="K730"/>
  <c r="T730"/>
  <c r="K731"/>
  <c r="T731"/>
  <c r="K732"/>
  <c r="T732"/>
  <c r="K733"/>
  <c r="T733"/>
  <c r="K734"/>
  <c r="T734"/>
  <c r="K735"/>
  <c r="T735"/>
  <c r="K736"/>
  <c r="T736"/>
  <c r="K737"/>
  <c r="T737"/>
  <c r="K738"/>
  <c r="K739"/>
  <c r="T739"/>
  <c r="K740"/>
  <c r="T740"/>
  <c r="K741"/>
  <c r="T741"/>
  <c r="K742"/>
  <c r="T742"/>
  <c r="K743"/>
  <c r="K744"/>
  <c r="T744"/>
  <c r="K745"/>
  <c r="K746"/>
  <c r="T746"/>
  <c r="K747"/>
  <c r="T747"/>
  <c r="K748"/>
  <c r="T748"/>
  <c r="K749"/>
  <c r="K750"/>
  <c r="T750"/>
  <c r="K751"/>
  <c r="T751"/>
  <c r="K752"/>
  <c r="K753"/>
  <c r="T753"/>
  <c r="K754"/>
  <c r="T754"/>
  <c r="K755"/>
  <c r="T755"/>
  <c r="K756"/>
  <c r="K757"/>
  <c r="T757"/>
  <c r="K758"/>
  <c r="T758"/>
  <c r="K759"/>
  <c r="K760"/>
  <c r="T760"/>
  <c r="K761"/>
  <c r="T761"/>
  <c r="K762"/>
  <c r="T762"/>
  <c r="K763"/>
  <c r="K764"/>
  <c r="T764"/>
  <c r="K765"/>
  <c r="K766"/>
  <c r="T766"/>
  <c r="K767"/>
  <c r="T767"/>
  <c r="K768"/>
  <c r="K769"/>
  <c r="T769"/>
  <c r="K770"/>
  <c r="K771"/>
  <c r="T771"/>
  <c r="K772"/>
  <c r="K773"/>
  <c r="T773"/>
  <c r="K774"/>
  <c r="T774"/>
  <c r="K775"/>
  <c r="T775"/>
  <c r="K776"/>
  <c r="T776"/>
  <c r="K777"/>
  <c r="K778"/>
  <c r="T778"/>
  <c r="K779"/>
  <c r="K780"/>
  <c r="T780"/>
  <c r="K781"/>
  <c r="K782"/>
  <c r="T782"/>
  <c r="K783"/>
  <c r="T783"/>
  <c r="K784"/>
  <c r="K785"/>
  <c r="T785"/>
  <c r="K786"/>
  <c r="K787"/>
  <c r="T787"/>
  <c r="K788"/>
  <c r="K789"/>
  <c r="T789"/>
  <c r="K790"/>
  <c r="T790"/>
  <c r="K791"/>
  <c r="K792"/>
  <c r="T792"/>
  <c r="K793"/>
  <c r="K794"/>
  <c r="T794"/>
  <c r="K795"/>
  <c r="T795"/>
  <c r="K796"/>
  <c r="T796"/>
  <c r="K797"/>
  <c r="K798"/>
  <c r="T798"/>
  <c r="K799"/>
  <c r="T799"/>
  <c r="K800"/>
  <c r="K801"/>
  <c r="T801"/>
  <c r="K802"/>
  <c r="T802"/>
  <c r="K803"/>
  <c r="T803"/>
  <c r="K804"/>
  <c r="K805"/>
  <c r="T805"/>
  <c r="K806"/>
  <c r="T806"/>
  <c r="K807"/>
  <c r="K808"/>
  <c r="T808"/>
  <c r="K809"/>
  <c r="T809"/>
  <c r="K810"/>
  <c r="T810"/>
  <c r="K811"/>
  <c r="K812"/>
  <c r="T812"/>
  <c r="K813"/>
  <c r="K814"/>
  <c r="T814"/>
  <c r="K815"/>
  <c r="T815"/>
  <c r="K816"/>
  <c r="K817"/>
  <c r="T817"/>
  <c r="K818"/>
  <c r="K819"/>
  <c r="T819"/>
  <c r="K820"/>
  <c r="K821"/>
  <c r="T821"/>
  <c r="K822"/>
  <c r="T822"/>
  <c r="K823"/>
  <c r="K824"/>
  <c r="T824"/>
  <c r="K825"/>
  <c r="K826"/>
  <c r="T826"/>
  <c r="K827"/>
  <c r="K828"/>
  <c r="T828"/>
  <c r="K829"/>
  <c r="K830"/>
  <c r="T830"/>
  <c r="K831"/>
  <c r="T831"/>
  <c r="K832"/>
  <c r="K833"/>
  <c r="T833"/>
  <c r="K834"/>
  <c r="K835"/>
  <c r="T835"/>
  <c r="K836"/>
  <c r="T836"/>
  <c r="K837"/>
  <c r="T837"/>
  <c r="K838"/>
  <c r="T838"/>
  <c r="K839"/>
  <c r="K840"/>
  <c r="T840"/>
  <c r="K841"/>
  <c r="K842"/>
  <c r="T842"/>
  <c r="K843"/>
  <c r="T843"/>
  <c r="K844"/>
  <c r="T844"/>
  <c r="K845"/>
  <c r="K846"/>
  <c r="T846"/>
  <c r="K847"/>
  <c r="T847"/>
  <c r="K848"/>
  <c r="K849"/>
  <c r="T849"/>
  <c r="K850"/>
  <c r="T850"/>
  <c r="K851"/>
  <c r="T851"/>
  <c r="K852"/>
  <c r="K853"/>
  <c r="T853"/>
  <c r="K854"/>
  <c r="T854"/>
  <c r="K855"/>
  <c r="K856"/>
  <c r="T856"/>
  <c r="K857"/>
  <c r="T857"/>
  <c r="K858"/>
  <c r="T858"/>
  <c r="K859"/>
  <c r="K860"/>
  <c r="T860"/>
  <c r="K861"/>
  <c r="T861"/>
  <c r="K862"/>
  <c r="K863"/>
  <c r="T863"/>
  <c r="K864"/>
  <c r="T864"/>
  <c r="K865"/>
  <c r="T865"/>
  <c r="K866"/>
  <c r="T866"/>
  <c r="K867"/>
  <c r="T867"/>
  <c r="K868"/>
  <c r="T868"/>
  <c r="K869"/>
  <c r="T869"/>
  <c r="K870"/>
  <c r="T870"/>
  <c r="K871"/>
  <c r="T871"/>
  <c r="K872"/>
  <c r="T872"/>
  <c r="K873"/>
  <c r="T873"/>
  <c r="K874"/>
  <c r="K875"/>
  <c r="T875"/>
  <c r="K876"/>
  <c r="K877"/>
  <c r="T877"/>
  <c r="K878"/>
  <c r="T878"/>
  <c r="K879"/>
  <c r="T879"/>
  <c r="K880"/>
  <c r="T880"/>
  <c r="K881"/>
  <c r="T881"/>
  <c r="K882"/>
  <c r="T882"/>
  <c r="K883"/>
  <c r="K884"/>
  <c r="T884"/>
  <c r="K885"/>
  <c r="K886"/>
  <c r="T886"/>
  <c r="K887"/>
  <c r="T887"/>
  <c r="K888"/>
  <c r="K889"/>
  <c r="T889"/>
  <c r="K890"/>
  <c r="T890"/>
  <c r="K891"/>
  <c r="T891"/>
  <c r="K892"/>
  <c r="T892"/>
  <c r="K893"/>
  <c r="K894"/>
  <c r="T894"/>
  <c r="K895"/>
  <c r="T895"/>
  <c r="K896"/>
  <c r="K897"/>
  <c r="T897"/>
  <c r="K898"/>
  <c r="T898"/>
  <c r="K899"/>
  <c r="T899"/>
  <c r="K900"/>
  <c r="K901"/>
  <c r="T901"/>
  <c r="K902"/>
  <c r="T902"/>
  <c r="K903"/>
  <c r="T903"/>
  <c r="K904"/>
  <c r="K905"/>
  <c r="T905"/>
  <c r="K906"/>
  <c r="K907"/>
  <c r="T907"/>
  <c r="K908"/>
  <c r="K909"/>
  <c r="T909"/>
  <c r="K910"/>
  <c r="K911"/>
  <c r="T911"/>
  <c r="K912"/>
  <c r="T912"/>
  <c r="K913"/>
  <c r="T913"/>
  <c r="K914"/>
  <c r="K915"/>
  <c r="T915"/>
  <c r="K916"/>
  <c r="T916"/>
  <c r="K917"/>
  <c r="T917"/>
  <c r="K918"/>
  <c r="K919"/>
  <c r="T919"/>
  <c r="K920"/>
  <c r="T920"/>
  <c r="K921"/>
  <c r="T921"/>
  <c r="K922"/>
  <c r="K923"/>
  <c r="T923"/>
  <c r="K924"/>
  <c r="K925"/>
  <c r="T925"/>
  <c r="K926"/>
  <c r="K927"/>
  <c r="T927"/>
  <c r="K928"/>
  <c r="K929"/>
  <c r="T929"/>
  <c r="K930"/>
  <c r="K931"/>
  <c r="T931"/>
  <c r="K932"/>
  <c r="K933"/>
  <c r="T933"/>
  <c r="K934"/>
  <c r="K935"/>
  <c r="T935"/>
  <c r="K936"/>
  <c r="K937"/>
  <c r="T937"/>
  <c r="K938"/>
  <c r="K939"/>
  <c r="T939"/>
  <c r="K940"/>
  <c r="T940"/>
  <c r="K941"/>
  <c r="T941"/>
  <c r="K942"/>
  <c r="T942"/>
  <c r="K943"/>
  <c r="T943"/>
  <c r="K944"/>
  <c r="K945"/>
  <c r="T945"/>
  <c r="K946"/>
  <c r="K947"/>
  <c r="T947"/>
  <c r="K948"/>
  <c r="T948"/>
  <c r="K949"/>
  <c r="T949"/>
  <c r="Y949"/>
  <c r="K950"/>
  <c r="T950"/>
  <c r="K951"/>
  <c r="T951"/>
  <c r="K952"/>
  <c r="T952"/>
  <c r="K953"/>
  <c r="T953"/>
  <c r="K954"/>
  <c r="T954"/>
  <c r="K955"/>
  <c r="T955"/>
  <c r="K956"/>
  <c r="K957"/>
  <c r="T957"/>
  <c r="K958"/>
  <c r="K959"/>
  <c r="T959"/>
  <c r="K960"/>
  <c r="T960"/>
  <c r="K961"/>
  <c r="T961"/>
  <c r="K962"/>
  <c r="T962"/>
  <c r="K963"/>
  <c r="T963"/>
  <c r="K964"/>
  <c r="T964"/>
  <c r="K965"/>
  <c r="T965"/>
  <c r="K966"/>
  <c r="T966"/>
  <c r="K967"/>
  <c r="T967"/>
  <c r="K968"/>
  <c r="T968"/>
  <c r="K969"/>
  <c r="T969"/>
  <c r="K970"/>
  <c r="T970"/>
  <c r="K971"/>
  <c r="T971"/>
  <c r="K972"/>
  <c r="K973"/>
  <c r="T973"/>
  <c r="K974"/>
  <c r="K975"/>
  <c r="T975"/>
  <c r="K976"/>
  <c r="T976"/>
  <c r="K977"/>
  <c r="T977"/>
  <c r="K978"/>
  <c r="T978"/>
  <c r="K979"/>
  <c r="T979"/>
  <c r="K980"/>
  <c r="T980"/>
  <c r="K981"/>
  <c r="T981"/>
  <c r="K982"/>
  <c r="T982"/>
  <c r="K983"/>
  <c r="T983"/>
  <c r="K984"/>
  <c r="T984"/>
  <c r="K985"/>
  <c r="T985"/>
  <c r="K986"/>
  <c r="T986"/>
  <c r="K987"/>
  <c r="T987"/>
  <c r="K988"/>
  <c r="K989"/>
  <c r="T989"/>
  <c r="K990"/>
  <c r="K991"/>
  <c r="T991"/>
  <c r="K992"/>
  <c r="T992"/>
  <c r="K993"/>
  <c r="T993"/>
  <c r="K994"/>
  <c r="T994"/>
  <c r="K995"/>
  <c r="T995"/>
  <c r="K996"/>
  <c r="T996"/>
  <c r="K997"/>
  <c r="K998"/>
  <c r="T998"/>
  <c r="K999"/>
  <c r="T999"/>
  <c r="K1000"/>
  <c r="T1000"/>
  <c r="K1001"/>
  <c r="T1001"/>
  <c r="K1002"/>
  <c r="T1002"/>
  <c r="K1003"/>
  <c r="T1003"/>
  <c r="K1004"/>
  <c r="T1004"/>
  <c r="K1005"/>
  <c r="T1005"/>
  <c r="K1006"/>
  <c r="T1006"/>
  <c r="K1007"/>
  <c r="T1007"/>
  <c r="K1008"/>
  <c r="T1008"/>
  <c r="K1009"/>
  <c r="T1009"/>
  <c r="K1010"/>
  <c r="T1010"/>
  <c r="K1011"/>
  <c r="T1011"/>
  <c r="K1012"/>
  <c r="K1013"/>
  <c r="T1013"/>
  <c r="K1014"/>
  <c r="T1014"/>
  <c r="K1015"/>
  <c r="K1016"/>
  <c r="Y1016"/>
  <c r="K1017"/>
  <c r="T1017"/>
  <c r="K1018"/>
  <c r="T1018"/>
  <c r="K1019"/>
  <c r="T1019"/>
  <c r="K1020"/>
  <c r="T1020"/>
  <c r="K1021"/>
  <c r="T1021"/>
  <c r="K1022"/>
  <c r="K1023"/>
  <c r="T1023"/>
  <c r="K1024"/>
  <c r="T1024"/>
  <c r="K1025"/>
  <c r="T1025"/>
  <c r="K1026"/>
  <c r="T1026"/>
  <c r="K1027"/>
  <c r="T1027"/>
  <c r="K1028"/>
  <c r="T1028"/>
  <c r="K1029"/>
  <c r="T1029"/>
  <c r="K1030"/>
  <c r="T1030"/>
  <c r="K1031"/>
  <c r="T1031"/>
  <c r="K1032"/>
  <c r="T1032"/>
  <c r="K1033"/>
  <c r="T1033"/>
  <c r="K1034"/>
  <c r="T1034"/>
  <c r="K1035"/>
  <c r="T1035"/>
  <c r="K1036"/>
  <c r="T1036"/>
  <c r="K1037"/>
  <c r="T1037"/>
  <c r="K1038"/>
  <c r="K1039"/>
  <c r="T1039"/>
  <c r="K1040"/>
  <c r="T1040"/>
  <c r="K1041"/>
  <c r="T1041"/>
  <c r="K1042"/>
  <c r="T1042"/>
  <c r="K1043"/>
  <c r="T1043"/>
  <c r="K1044"/>
  <c r="T1044"/>
  <c r="K1045"/>
  <c r="T1045"/>
  <c r="K1046"/>
  <c r="T1046"/>
  <c r="K1047"/>
  <c r="T1047"/>
  <c r="K1048"/>
  <c r="T1048"/>
  <c r="K1049"/>
  <c r="T1049"/>
  <c r="K1050"/>
  <c r="T1050"/>
  <c r="K1051"/>
  <c r="T1051"/>
  <c r="K1052"/>
  <c r="T1052"/>
  <c r="K1053"/>
  <c r="T1053"/>
  <c r="K1054"/>
  <c r="K1055"/>
  <c r="T1055"/>
  <c r="Y693"/>
  <c r="Y677"/>
  <c r="Y261"/>
  <c r="Y203"/>
  <c r="Y195"/>
  <c r="Y181"/>
  <c r="Y165"/>
  <c r="Y155"/>
  <c r="Y147"/>
  <c r="Y137"/>
  <c r="Y125"/>
  <c r="Y109"/>
  <c r="Y95"/>
  <c r="Y87"/>
  <c r="Y77"/>
  <c r="Y61"/>
  <c r="Y39"/>
  <c r="Y27"/>
  <c r="Y50"/>
  <c r="Y42"/>
  <c r="Y36"/>
  <c r="C18" i="4"/>
  <c r="D18"/>
  <c r="C19"/>
  <c r="D19"/>
  <c r="C20"/>
  <c r="D20"/>
  <c r="C21"/>
  <c r="D21"/>
  <c r="C22"/>
  <c r="D22"/>
  <c r="C23"/>
  <c r="D23"/>
  <c r="C24"/>
  <c r="D24"/>
  <c r="C25"/>
  <c r="D25"/>
  <c r="C26"/>
  <c r="D26"/>
  <c r="Y909" i="1"/>
  <c r="Y860"/>
  <c r="Y844"/>
  <c r="Y819"/>
  <c r="Y780"/>
  <c r="Y680"/>
  <c r="Y668"/>
  <c r="Y666"/>
  <c r="Y648"/>
  <c r="Y620"/>
  <c r="Y618"/>
  <c r="Y616"/>
  <c r="Y604"/>
  <c r="Y588"/>
  <c r="Y317"/>
  <c r="Y289"/>
  <c r="Y256"/>
  <c r="Y176"/>
  <c r="Y144"/>
  <c r="Y120"/>
  <c r="Y64"/>
  <c r="Y871"/>
  <c r="Y615"/>
  <c r="Y579"/>
  <c r="Y555"/>
  <c r="Y541"/>
  <c r="Y527"/>
  <c r="Y491"/>
  <c r="Y459"/>
  <c r="Y437"/>
  <c r="Y419"/>
  <c r="Y381"/>
  <c r="Y371"/>
  <c r="Y341"/>
  <c r="Y284"/>
  <c r="Y268"/>
  <c r="Y264"/>
  <c r="Y202"/>
  <c r="Y178"/>
  <c r="Y146"/>
  <c r="Y106"/>
  <c r="Y889"/>
  <c r="Y608"/>
  <c r="Y601"/>
  <c r="Y587"/>
  <c r="Y263"/>
  <c r="Y895"/>
  <c r="Y831"/>
  <c r="Y767"/>
  <c r="Y671"/>
  <c r="Y639"/>
  <c r="Y580"/>
  <c r="Y522"/>
  <c r="Y518"/>
  <c r="Y510"/>
  <c r="Y504"/>
  <c r="Y488"/>
  <c r="Y470"/>
  <c r="Y456"/>
  <c r="Y452"/>
  <c r="Y444"/>
  <c r="Y440"/>
  <c r="Y428"/>
  <c r="Y422"/>
  <c r="Y420"/>
  <c r="Y410"/>
  <c r="Y388"/>
  <c r="Y376"/>
  <c r="Y372"/>
  <c r="Y364"/>
  <c r="Y342"/>
  <c r="Y318"/>
  <c r="Y314"/>
  <c r="Y298"/>
  <c r="Y266"/>
  <c r="Y230"/>
  <c r="Y214"/>
  <c r="Y198"/>
  <c r="Y166"/>
  <c r="Y150"/>
  <c r="Y134"/>
  <c r="Y102"/>
  <c r="Y86"/>
  <c r="Y70"/>
  <c r="Y757"/>
  <c r="Y773"/>
  <c r="Y789"/>
  <c r="Y805"/>
  <c r="Y821"/>
  <c r="Y837"/>
  <c r="Y853"/>
  <c r="Y869"/>
  <c r="Y877"/>
  <c r="Y894"/>
  <c r="Y886"/>
  <c r="Y870"/>
  <c r="Y846"/>
  <c r="Y830"/>
  <c r="Y814"/>
  <c r="Y798"/>
  <c r="Y782"/>
  <c r="Y766"/>
  <c r="Y750"/>
  <c r="Y734"/>
  <c r="Y726"/>
  <c r="Y702"/>
  <c r="Y686"/>
  <c r="Y670"/>
  <c r="Y662"/>
  <c r="Y630"/>
  <c r="Y622"/>
  <c r="Y606"/>
  <c r="Y598"/>
  <c r="Y583"/>
  <c r="Y567"/>
  <c r="Y3504"/>
  <c r="Y3500"/>
  <c r="Y3496"/>
  <c r="Y3492"/>
  <c r="Y3488"/>
  <c r="Y3484"/>
  <c r="Y3480"/>
  <c r="Y3476"/>
  <c r="Y3472"/>
  <c r="Y3468"/>
  <c r="Y3464"/>
  <c r="Y3460"/>
  <c r="Y3456"/>
  <c r="Y3452"/>
  <c r="Y3448"/>
  <c r="Y3444"/>
  <c r="Y3440"/>
  <c r="Y3436"/>
  <c r="Y3432"/>
  <c r="Y3428"/>
  <c r="Y3424"/>
  <c r="Y3420"/>
  <c r="Y3416"/>
  <c r="Y3412"/>
  <c r="Y3408"/>
  <c r="Y3404"/>
  <c r="Y3400"/>
  <c r="Y3396"/>
  <c r="Y3392"/>
  <c r="Y3388"/>
  <c r="Y3384"/>
  <c r="Y3380"/>
  <c r="Y3376"/>
  <c r="Y3372"/>
  <c r="Y3368"/>
  <c r="Y3364"/>
  <c r="Y3360"/>
  <c r="Y3356"/>
  <c r="Y3352"/>
  <c r="Y3348"/>
  <c r="Y3344"/>
  <c r="Y3340"/>
  <c r="Y3336"/>
  <c r="Y3332"/>
  <c r="Y3328"/>
  <c r="Y3324"/>
  <c r="Y3320"/>
  <c r="Y3316"/>
  <c r="Y3312"/>
  <c r="Y3308"/>
  <c r="Y3304"/>
  <c r="Y3300"/>
  <c r="Y3296"/>
  <c r="Y3292"/>
  <c r="Y3288"/>
  <c r="Y3284"/>
  <c r="Y3280"/>
  <c r="Y3276"/>
  <c r="Y3272"/>
  <c r="Y3268"/>
  <c r="Y3264"/>
  <c r="Y3260"/>
  <c r="Y3256"/>
  <c r="Y3252"/>
  <c r="Y3248"/>
  <c r="Y3244"/>
  <c r="Y3240"/>
  <c r="Y3236"/>
  <c r="Y3232"/>
  <c r="Y3228"/>
  <c r="Y3224"/>
  <c r="Y3220"/>
  <c r="Y3216"/>
  <c r="Y3212"/>
  <c r="Y3208"/>
  <c r="Y3204"/>
  <c r="Y3200"/>
  <c r="Y3196"/>
  <c r="Y3192"/>
  <c r="Y3188"/>
  <c r="Y3184"/>
  <c r="Y3180"/>
  <c r="Y3176"/>
  <c r="Y3172"/>
  <c r="Y3168"/>
  <c r="Y3164"/>
  <c r="Y3160"/>
  <c r="Y3156"/>
  <c r="Y3152"/>
  <c r="Y3148"/>
  <c r="Y3144"/>
  <c r="Y3140"/>
  <c r="Y3136"/>
  <c r="Y3132"/>
  <c r="Y3128"/>
  <c r="Y3124"/>
  <c r="Y3120"/>
  <c r="Y3116"/>
  <c r="Y3112"/>
  <c r="Y3108"/>
  <c r="Y3104"/>
  <c r="Y3100"/>
  <c r="Y3096"/>
  <c r="Y3092"/>
  <c r="Y3088"/>
  <c r="Y3084"/>
  <c r="Y3080"/>
  <c r="Y3076"/>
  <c r="Y3072"/>
  <c r="Y3068"/>
  <c r="Y3064"/>
  <c r="Y3060"/>
  <c r="Y3056"/>
  <c r="Y3052"/>
  <c r="Y3048"/>
  <c r="Y3044"/>
  <c r="Y3040"/>
  <c r="Y3036"/>
  <c r="Y3032"/>
  <c r="Y3028"/>
  <c r="Y3024"/>
  <c r="Y3020"/>
  <c r="Y3016"/>
  <c r="Y3012"/>
  <c r="Y3008"/>
  <c r="Y3004"/>
  <c r="Y3000"/>
  <c r="Y2996"/>
  <c r="Y2992"/>
  <c r="Y2988"/>
  <c r="Y2984"/>
  <c r="Y2980"/>
  <c r="Y2976"/>
  <c r="Y2972"/>
  <c r="Y2968"/>
  <c r="Y2964"/>
  <c r="Y2960"/>
  <c r="Y2956"/>
  <c r="Y2952"/>
  <c r="Y2948"/>
  <c r="Y2944"/>
  <c r="Y2940"/>
  <c r="Y2936"/>
  <c r="Y2932"/>
  <c r="Y2928"/>
  <c r="Y2924"/>
  <c r="Y2920"/>
  <c r="Y2916"/>
  <c r="Y2912"/>
  <c r="Y2908"/>
  <c r="Y2904"/>
  <c r="Y2900"/>
  <c r="Y2896"/>
  <c r="Y2892"/>
  <c r="Y2888"/>
  <c r="Y2884"/>
  <c r="Y2880"/>
  <c r="Y2876"/>
  <c r="Y2872"/>
  <c r="Y2868"/>
  <c r="Y2864"/>
  <c r="Y2860"/>
  <c r="Y2856"/>
  <c r="Y2852"/>
  <c r="Y2848"/>
  <c r="Y2844"/>
  <c r="Y2840"/>
  <c r="Y2836"/>
  <c r="Y2832"/>
  <c r="Y2828"/>
  <c r="Y2824"/>
  <c r="Y2820"/>
  <c r="Y2816"/>
  <c r="Y2812"/>
  <c r="Y2808"/>
  <c r="Y2804"/>
  <c r="Y2800"/>
  <c r="Y2796"/>
  <c r="Y2792"/>
  <c r="Y2788"/>
  <c r="Y2784"/>
  <c r="Y2780"/>
  <c r="Y2776"/>
  <c r="Y2772"/>
  <c r="Y2768"/>
  <c r="Y2764"/>
  <c r="Y2760"/>
  <c r="Y2756"/>
  <c r="Y2752"/>
  <c r="Y2748"/>
  <c r="Y2744"/>
  <c r="Y2740"/>
  <c r="Y2736"/>
  <c r="Y2732"/>
  <c r="Y2728"/>
  <c r="Y2724"/>
  <c r="Y2720"/>
  <c r="Y2716"/>
  <c r="Y2712"/>
  <c r="Y2708"/>
  <c r="Y2704"/>
  <c r="Y2700"/>
  <c r="Y2696"/>
  <c r="Y2692"/>
  <c r="Y2688"/>
  <c r="Y2684"/>
  <c r="Y2680"/>
  <c r="Y2676"/>
  <c r="Y2672"/>
  <c r="Y2668"/>
  <c r="Y2664"/>
  <c r="Y2660"/>
  <c r="Y2656"/>
  <c r="Y2652"/>
  <c r="Y2648"/>
  <c r="Y2644"/>
  <c r="Y2640"/>
  <c r="Y2636"/>
  <c r="Y2632"/>
  <c r="Y2628"/>
  <c r="Y2624"/>
  <c r="Y2620"/>
  <c r="Y2616"/>
  <c r="Y2612"/>
  <c r="Y2608"/>
  <c r="Y2604"/>
  <c r="Y2600"/>
  <c r="Y2596"/>
  <c r="Y2592"/>
  <c r="Y2588"/>
  <c r="Y2584"/>
  <c r="Y2580"/>
  <c r="Y2576"/>
  <c r="Y2572"/>
  <c r="Y2568"/>
  <c r="Y2564"/>
  <c r="Y2560"/>
  <c r="Y2556"/>
  <c r="Y2552"/>
  <c r="Y2548"/>
  <c r="Y2544"/>
  <c r="Y2540"/>
  <c r="Y2536"/>
  <c r="Y2532"/>
  <c r="Y2528"/>
  <c r="Y2524"/>
  <c r="Y2520"/>
  <c r="Y2516"/>
  <c r="Y2512"/>
  <c r="Y2508"/>
  <c r="Y2504"/>
  <c r="Y2500"/>
  <c r="Y2496"/>
  <c r="Y2492"/>
  <c r="Y2488"/>
  <c r="Y2484"/>
  <c r="Y2480"/>
  <c r="Y2476"/>
  <c r="Y2472"/>
  <c r="Y2468"/>
  <c r="Y2464"/>
  <c r="Y2460"/>
  <c r="Y2456"/>
  <c r="Y2452"/>
  <c r="Y2448"/>
  <c r="Y2444"/>
  <c r="Y2440"/>
  <c r="Y2436"/>
  <c r="Y2432"/>
  <c r="Y2428"/>
  <c r="Y2424"/>
  <c r="Y2420"/>
  <c r="Y2416"/>
  <c r="Y2412"/>
  <c r="Y2408"/>
  <c r="Y2404"/>
  <c r="Y2400"/>
  <c r="Y2396"/>
  <c r="Y2392"/>
  <c r="Y2388"/>
  <c r="Y2384"/>
  <c r="Y2380"/>
  <c r="Y2376"/>
  <c r="Y2372"/>
  <c r="Y2368"/>
  <c r="Y2364"/>
  <c r="Y2360"/>
  <c r="Y2356"/>
  <c r="Y2352"/>
  <c r="Y2348"/>
  <c r="Y2344"/>
  <c r="Y2340"/>
  <c r="Y2336"/>
  <c r="Y2332"/>
  <c r="Y2328"/>
  <c r="Y2324"/>
  <c r="Y2320"/>
  <c r="Y2316"/>
  <c r="Y2312"/>
  <c r="Y2308"/>
  <c r="Y2304"/>
  <c r="Y2300"/>
  <c r="Y2296"/>
  <c r="Y2292"/>
  <c r="Y2288"/>
  <c r="Y2284"/>
  <c r="Y2280"/>
  <c r="Y2276"/>
  <c r="Y2272"/>
  <c r="Y2268"/>
  <c r="Y2264"/>
  <c r="Y2260"/>
  <c r="Y2256"/>
  <c r="Y2252"/>
  <c r="Y2248"/>
  <c r="Y2244"/>
  <c r="Y2240"/>
  <c r="Y2236"/>
  <c r="Y2232"/>
  <c r="Y2228"/>
  <c r="Y2224"/>
  <c r="Y2220"/>
  <c r="Y2216"/>
  <c r="Y2212"/>
  <c r="Y2208"/>
  <c r="Y2204"/>
  <c r="Y2200"/>
  <c r="Y2196"/>
  <c r="Y2192"/>
  <c r="Y2188"/>
  <c r="Y2184"/>
  <c r="Y2180"/>
  <c r="Y2176"/>
  <c r="Y2172"/>
  <c r="Y2168"/>
  <c r="Y2164"/>
  <c r="Y2160"/>
  <c r="Y2156"/>
  <c r="Y2152"/>
  <c r="Y2148"/>
  <c r="Y2144"/>
  <c r="Y2140"/>
  <c r="Y2136"/>
  <c r="Y2132"/>
  <c r="Y2128"/>
  <c r="Y2124"/>
  <c r="Y2120"/>
  <c r="Y2116"/>
  <c r="Y2112"/>
  <c r="Y2108"/>
  <c r="Y2104"/>
  <c r="Y2100"/>
  <c r="Y2096"/>
  <c r="Y2092"/>
  <c r="Y2088"/>
  <c r="Y2084"/>
  <c r="Y2080"/>
  <c r="Y2076"/>
  <c r="Y2072"/>
  <c r="Y2068"/>
  <c r="Y2064"/>
  <c r="Y2060"/>
  <c r="Y2056"/>
  <c r="Y2052"/>
  <c r="Y2048"/>
  <c r="Y2044"/>
  <c r="Y2040"/>
  <c r="Y2036"/>
  <c r="Y2032"/>
  <c r="Y2028"/>
  <c r="Y2024"/>
  <c r="Y2020"/>
  <c r="Y2016"/>
  <c r="Y2012"/>
  <c r="Y2008"/>
  <c r="Y2004"/>
  <c r="Y2000"/>
  <c r="Y1996"/>
  <c r="Y1992"/>
  <c r="Y1988"/>
  <c r="Y1984"/>
  <c r="Y1980"/>
  <c r="Y1976"/>
  <c r="Y1972"/>
  <c r="Y1968"/>
  <c r="Y1964"/>
  <c r="Y1960"/>
  <c r="Y1956"/>
  <c r="Y1952"/>
  <c r="Y1948"/>
  <c r="Y1944"/>
  <c r="Y1940"/>
  <c r="Y1936"/>
  <c r="Y1932"/>
  <c r="Y1928"/>
  <c r="Y1924"/>
  <c r="Y1920"/>
  <c r="Y1916"/>
  <c r="Y1912"/>
  <c r="Y1908"/>
  <c r="Y1904"/>
  <c r="Y1900"/>
  <c r="Y1896"/>
  <c r="Y1892"/>
  <c r="Y1888"/>
  <c r="Y1884"/>
  <c r="Y1880"/>
  <c r="Y1876"/>
  <c r="Y1872"/>
  <c r="Y1868"/>
  <c r="Y1864"/>
  <c r="Y1860"/>
  <c r="Y1856"/>
  <c r="Y1852"/>
  <c r="Y1848"/>
  <c r="Y1844"/>
  <c r="Y1840"/>
  <c r="Y1836"/>
  <c r="Y1832"/>
  <c r="Y1828"/>
  <c r="Y1824"/>
  <c r="Y1820"/>
  <c r="Y1816"/>
  <c r="Y1812"/>
  <c r="Y1808"/>
  <c r="Y1804"/>
  <c r="Y1800"/>
  <c r="Y1796"/>
  <c r="Y1792"/>
  <c r="Y1788"/>
  <c r="Y1784"/>
  <c r="Y1780"/>
  <c r="Y1776"/>
  <c r="Y1772"/>
  <c r="Y1768"/>
  <c r="Y1764"/>
  <c r="Y1760"/>
  <c r="Y1756"/>
  <c r="Y1752"/>
  <c r="Y1748"/>
  <c r="Y1744"/>
  <c r="Y1740"/>
  <c r="Y1736"/>
  <c r="Y1732"/>
  <c r="Y1728"/>
  <c r="Y1724"/>
  <c r="Y1720"/>
  <c r="Y1716"/>
  <c r="Y1712"/>
  <c r="Y1708"/>
  <c r="Y1704"/>
  <c r="Y1700"/>
  <c r="Y1696"/>
  <c r="Y1692"/>
  <c r="Y1688"/>
  <c r="Y1684"/>
  <c r="Y1680"/>
  <c r="Y1676"/>
  <c r="Y1672"/>
  <c r="Y1668"/>
  <c r="Y1664"/>
  <c r="Y1660"/>
  <c r="Y1656"/>
  <c r="Y1652"/>
  <c r="Y1648"/>
  <c r="Y1644"/>
  <c r="Y1640"/>
  <c r="Y1636"/>
  <c r="Y1632"/>
  <c r="Y1628"/>
  <c r="Y1624"/>
  <c r="Y1620"/>
  <c r="Y1616"/>
  <c r="Y1612"/>
  <c r="Y3505"/>
  <c r="Y3501"/>
  <c r="Y3497"/>
  <c r="Y3493"/>
  <c r="Y3489"/>
  <c r="Y3485"/>
  <c r="Y3481"/>
  <c r="Y3477"/>
  <c r="Y3473"/>
  <c r="Y3469"/>
  <c r="Y3465"/>
  <c r="Y3461"/>
  <c r="Y3457"/>
  <c r="Y3453"/>
  <c r="Y3449"/>
  <c r="Y3445"/>
  <c r="Y3441"/>
  <c r="Y3437"/>
  <c r="Y3433"/>
  <c r="Y3429"/>
  <c r="Y3425"/>
  <c r="Y3421"/>
  <c r="Y3417"/>
  <c r="Y3413"/>
  <c r="Y3409"/>
  <c r="Y3405"/>
  <c r="Y3401"/>
  <c r="Y3397"/>
  <c r="Y3393"/>
  <c r="Y3389"/>
  <c r="Y3385"/>
  <c r="Y3381"/>
  <c r="Y3377"/>
  <c r="Y3373"/>
  <c r="Y3369"/>
  <c r="Y3365"/>
  <c r="Y3361"/>
  <c r="Y3357"/>
  <c r="Y3353"/>
  <c r="Y3349"/>
  <c r="Y3345"/>
  <c r="Y3341"/>
  <c r="Y3337"/>
  <c r="Y3333"/>
  <c r="Y3329"/>
  <c r="Y3325"/>
  <c r="Y3321"/>
  <c r="Y3317"/>
  <c r="Y3313"/>
  <c r="Y3309"/>
  <c r="Y3305"/>
  <c r="Y3301"/>
  <c r="Y3297"/>
  <c r="Y3293"/>
  <c r="Y3289"/>
  <c r="Y3285"/>
  <c r="Y3281"/>
  <c r="Y3277"/>
  <c r="Y3273"/>
  <c r="Y3269"/>
  <c r="Y3265"/>
  <c r="Y3261"/>
  <c r="Y3257"/>
  <c r="Y3253"/>
  <c r="Y3249"/>
  <c r="Y3245"/>
  <c r="Y3241"/>
  <c r="Y3237"/>
  <c r="Y3233"/>
  <c r="Y3229"/>
  <c r="Y3225"/>
  <c r="Y3221"/>
  <c r="Y3217"/>
  <c r="Y3213"/>
  <c r="Y3209"/>
  <c r="Y3205"/>
  <c r="Y3201"/>
  <c r="Y3197"/>
  <c r="Y3193"/>
  <c r="Y3189"/>
  <c r="Y3185"/>
  <c r="Y3181"/>
  <c r="Y3177"/>
  <c r="Y3173"/>
  <c r="Y3169"/>
  <c r="Y3165"/>
  <c r="Y3161"/>
  <c r="Y3157"/>
  <c r="Y3153"/>
  <c r="Y3149"/>
  <c r="Y3145"/>
  <c r="Y3141"/>
  <c r="Y3137"/>
  <c r="Y3133"/>
  <c r="Y3129"/>
  <c r="Y3125"/>
  <c r="Y3121"/>
  <c r="Y3117"/>
  <c r="Y3113"/>
  <c r="Y3109"/>
  <c r="Y3105"/>
  <c r="Y3101"/>
  <c r="Y3097"/>
  <c r="Y3093"/>
  <c r="Y3089"/>
  <c r="Y3085"/>
  <c r="Y3081"/>
  <c r="Y3077"/>
  <c r="Y3073"/>
  <c r="Y3069"/>
  <c r="Y3065"/>
  <c r="Y3061"/>
  <c r="Y3057"/>
  <c r="Y3053"/>
  <c r="Y3049"/>
  <c r="Y3045"/>
  <c r="Y3041"/>
  <c r="Y3037"/>
  <c r="Y3033"/>
  <c r="Y3029"/>
  <c r="Y3025"/>
  <c r="Y3021"/>
  <c r="Y3017"/>
  <c r="Y3013"/>
  <c r="Y3009"/>
  <c r="Y3005"/>
  <c r="Y3001"/>
  <c r="Y2997"/>
  <c r="Y2993"/>
  <c r="Y2989"/>
  <c r="Y2985"/>
  <c r="Y2981"/>
  <c r="Y2977"/>
  <c r="Y2973"/>
  <c r="Y2969"/>
  <c r="Y2965"/>
  <c r="Y2961"/>
  <c r="Y2957"/>
  <c r="Y2953"/>
  <c r="Y2949"/>
  <c r="Y2945"/>
  <c r="Y2941"/>
  <c r="Y2937"/>
  <c r="Y2933"/>
  <c r="Y2929"/>
  <c r="Y2925"/>
  <c r="Y2921"/>
  <c r="Y2917"/>
  <c r="Y2913"/>
  <c r="Y2909"/>
  <c r="Y2905"/>
  <c r="Y2901"/>
  <c r="Y2897"/>
  <c r="Y2893"/>
  <c r="Y2889"/>
  <c r="Y2885"/>
  <c r="Y2881"/>
  <c r="Y2877"/>
  <c r="Y2873"/>
  <c r="Y2869"/>
  <c r="Y2865"/>
  <c r="Y2861"/>
  <c r="Y2857"/>
  <c r="Y2853"/>
  <c r="Y2849"/>
  <c r="Y2845"/>
  <c r="Y2841"/>
  <c r="Y2837"/>
  <c r="Y2833"/>
  <c r="Y2829"/>
  <c r="Y2825"/>
  <c r="Y2821"/>
  <c r="Y2817"/>
  <c r="Y2813"/>
  <c r="Y2809"/>
  <c r="Y2805"/>
  <c r="Y2801"/>
  <c r="Y2797"/>
  <c r="Y2793"/>
  <c r="Y2789"/>
  <c r="Y2785"/>
  <c r="Y2781"/>
  <c r="Y2777"/>
  <c r="Y2773"/>
  <c r="Y2769"/>
  <c r="Y2765"/>
  <c r="Y2761"/>
  <c r="Y2757"/>
  <c r="Y2753"/>
  <c r="Y2749"/>
  <c r="Y2745"/>
  <c r="Y2741"/>
  <c r="Y2737"/>
  <c r="Y2733"/>
  <c r="Y2729"/>
  <c r="Y2725"/>
  <c r="Y2721"/>
  <c r="Y2717"/>
  <c r="Y2713"/>
  <c r="Y2709"/>
  <c r="Y2705"/>
  <c r="Y2701"/>
  <c r="Y2697"/>
  <c r="Y2693"/>
  <c r="Y2689"/>
  <c r="Y2685"/>
  <c r="Y2681"/>
  <c r="Y2677"/>
  <c r="Y2673"/>
  <c r="Y2669"/>
  <c r="Y2665"/>
  <c r="Y2661"/>
  <c r="Y2657"/>
  <c r="Y2653"/>
  <c r="Y2649"/>
  <c r="Y2645"/>
  <c r="Y2641"/>
  <c r="Y2637"/>
  <c r="Y2633"/>
  <c r="Y2629"/>
  <c r="Y2625"/>
  <c r="Y2621"/>
  <c r="Y2617"/>
  <c r="Y2613"/>
  <c r="Y2609"/>
  <c r="Y2605"/>
  <c r="Y2601"/>
  <c r="Y2597"/>
  <c r="Y2593"/>
  <c r="Y2589"/>
  <c r="Y2585"/>
  <c r="Y2581"/>
  <c r="Y2577"/>
  <c r="Y2573"/>
  <c r="Y2569"/>
  <c r="Y2565"/>
  <c r="Y2561"/>
  <c r="Y2557"/>
  <c r="Y2553"/>
  <c r="Y2549"/>
  <c r="Y2545"/>
  <c r="Y2541"/>
  <c r="Y2537"/>
  <c r="Y2533"/>
  <c r="Y2529"/>
  <c r="Y2525"/>
  <c r="Y2521"/>
  <c r="Y2517"/>
  <c r="Y2513"/>
  <c r="Y2509"/>
  <c r="Y2505"/>
  <c r="Y2501"/>
  <c r="Y2497"/>
  <c r="Y2493"/>
  <c r="Y2489"/>
  <c r="Y2485"/>
  <c r="Y2481"/>
  <c r="Y2477"/>
  <c r="Y2473"/>
  <c r="Y2469"/>
  <c r="Y2465"/>
  <c r="Y2461"/>
  <c r="Y2457"/>
  <c r="Y2453"/>
  <c r="Y2449"/>
  <c r="Y2445"/>
  <c r="Y2441"/>
  <c r="Y2437"/>
  <c r="Y2433"/>
  <c r="Y2429"/>
  <c r="Y2425"/>
  <c r="Y2421"/>
  <c r="Y2417"/>
  <c r="Y2413"/>
  <c r="Y2409"/>
  <c r="Y2405"/>
  <c r="Y2401"/>
  <c r="Y2397"/>
  <c r="Y2393"/>
  <c r="Y2389"/>
  <c r="Y2385"/>
  <c r="Y2381"/>
  <c r="Y2377"/>
  <c r="Y2373"/>
  <c r="Y2369"/>
  <c r="Y2365"/>
  <c r="Y2361"/>
  <c r="Y2357"/>
  <c r="Y2353"/>
  <c r="Y2349"/>
  <c r="Y2345"/>
  <c r="Y2341"/>
  <c r="Y2337"/>
  <c r="Y2333"/>
  <c r="Y2329"/>
  <c r="Y2325"/>
  <c r="Y2321"/>
  <c r="Y2317"/>
  <c r="Y2313"/>
  <c r="Y2309"/>
  <c r="Y2305"/>
  <c r="Y2301"/>
  <c r="Y2297"/>
  <c r="Y2293"/>
  <c r="Y2289"/>
  <c r="Y2285"/>
  <c r="Y2281"/>
  <c r="Y2277"/>
  <c r="Y2273"/>
  <c r="Y2269"/>
  <c r="Y2265"/>
  <c r="Y2261"/>
  <c r="Y2257"/>
  <c r="Y2253"/>
  <c r="Y2249"/>
  <c r="Y2245"/>
  <c r="Y2241"/>
  <c r="Y2237"/>
  <c r="Y2233"/>
  <c r="Y2229"/>
  <c r="Y2225"/>
  <c r="Y2221"/>
  <c r="Y2217"/>
  <c r="Y2213"/>
  <c r="Y2209"/>
  <c r="Y2205"/>
  <c r="Y2201"/>
  <c r="Y2197"/>
  <c r="Y2193"/>
  <c r="Y2189"/>
  <c r="Y2185"/>
  <c r="Y2181"/>
  <c r="Y2177"/>
  <c r="Y2173"/>
  <c r="Y2169"/>
  <c r="Y2165"/>
  <c r="Y2161"/>
  <c r="Y2157"/>
  <c r="Y2153"/>
  <c r="Y2149"/>
  <c r="Y2145"/>
  <c r="Y2141"/>
  <c r="Y2137"/>
  <c r="Y2133"/>
  <c r="Y2129"/>
  <c r="Y2125"/>
  <c r="Y2121"/>
  <c r="Y2117"/>
  <c r="Y2113"/>
  <c r="Y2109"/>
  <c r="Y2105"/>
  <c r="Y2101"/>
  <c r="Y2097"/>
  <c r="Y2093"/>
  <c r="Y2089"/>
  <c r="Y2085"/>
  <c r="Y2081"/>
  <c r="Y2077"/>
  <c r="Y2073"/>
  <c r="Y2069"/>
  <c r="Y2065"/>
  <c r="Y2061"/>
  <c r="Y2057"/>
  <c r="Y2053"/>
  <c r="Y2049"/>
  <c r="Y2045"/>
  <c r="Y2041"/>
  <c r="Y2037"/>
  <c r="Y2033"/>
  <c r="Y2029"/>
  <c r="Y2025"/>
  <c r="Y2021"/>
  <c r="Y2017"/>
  <c r="Y2013"/>
  <c r="Y2009"/>
  <c r="Y2005"/>
  <c r="Y2001"/>
  <c r="Y1997"/>
  <c r="Y1993"/>
  <c r="Y1989"/>
  <c r="Y1985"/>
  <c r="Y1981"/>
  <c r="Y1977"/>
  <c r="Y1973"/>
  <c r="Y1969"/>
  <c r="Y1965"/>
  <c r="Y1961"/>
  <c r="Y1957"/>
  <c r="Y1953"/>
  <c r="Y1949"/>
  <c r="Y1945"/>
  <c r="Y1941"/>
  <c r="Y1937"/>
  <c r="Y1933"/>
  <c r="Y1929"/>
  <c r="Y1925"/>
  <c r="Y1921"/>
  <c r="Y1917"/>
  <c r="Y1913"/>
  <c r="Y1909"/>
  <c r="Y1905"/>
  <c r="Y1901"/>
  <c r="Y1897"/>
  <c r="Y1893"/>
  <c r="Y1889"/>
  <c r="Y1885"/>
  <c r="Y1881"/>
  <c r="Y1877"/>
  <c r="Y1873"/>
  <c r="Y1869"/>
  <c r="Y1865"/>
  <c r="Y1861"/>
  <c r="Y1857"/>
  <c r="Y1853"/>
  <c r="Y1849"/>
  <c r="Y1845"/>
  <c r="Y1841"/>
  <c r="Y1837"/>
  <c r="Y1833"/>
  <c r="Y1829"/>
  <c r="Y1825"/>
  <c r="Y1821"/>
  <c r="Y1817"/>
  <c r="Y1813"/>
  <c r="Y1809"/>
  <c r="Y1805"/>
  <c r="Y1801"/>
  <c r="Y1797"/>
  <c r="Y1793"/>
  <c r="Y1789"/>
  <c r="Y1785"/>
  <c r="Y1781"/>
  <c r="Y1777"/>
  <c r="Y1773"/>
  <c r="Y1769"/>
  <c r="Y1765"/>
  <c r="Y1761"/>
  <c r="Y1757"/>
  <c r="Y1753"/>
  <c r="Y1749"/>
  <c r="Y1745"/>
  <c r="Y1741"/>
  <c r="Y1737"/>
  <c r="Y1733"/>
  <c r="Y1729"/>
  <c r="Y1725"/>
  <c r="Y1721"/>
  <c r="Y1717"/>
  <c r="Y1713"/>
  <c r="Y1709"/>
  <c r="Y1705"/>
  <c r="Y1701"/>
  <c r="Y1697"/>
  <c r="Y1693"/>
  <c r="Y1689"/>
  <c r="Y1685"/>
  <c r="Y1681"/>
  <c r="Y1677"/>
  <c r="Y1673"/>
  <c r="Y1669"/>
  <c r="Y1665"/>
  <c r="Y1661"/>
  <c r="Y1657"/>
  <c r="Y1653"/>
  <c r="Y1649"/>
  <c r="Y1645"/>
  <c r="Y1641"/>
  <c r="Y1637"/>
  <c r="Y1633"/>
  <c r="Y1629"/>
  <c r="Y3506"/>
  <c r="Y3502"/>
  <c r="Y3498"/>
  <c r="Y3494"/>
  <c r="Y3490"/>
  <c r="Y3486"/>
  <c r="Y3482"/>
  <c r="Y3478"/>
  <c r="Y3474"/>
  <c r="Y3470"/>
  <c r="Y3466"/>
  <c r="Y3462"/>
  <c r="Y3458"/>
  <c r="Y3454"/>
  <c r="Y3450"/>
  <c r="Y3446"/>
  <c r="Y3442"/>
  <c r="Y3438"/>
  <c r="Y3434"/>
  <c r="Y3430"/>
  <c r="Y3426"/>
  <c r="Y3422"/>
  <c r="Y3418"/>
  <c r="Y3414"/>
  <c r="Y3410"/>
  <c r="Y3406"/>
  <c r="Y3402"/>
  <c r="Y3398"/>
  <c r="Y3394"/>
  <c r="Y3390"/>
  <c r="Y3386"/>
  <c r="Y3382"/>
  <c r="Y3378"/>
  <c r="Y3374"/>
  <c r="Y3370"/>
  <c r="Y3366"/>
  <c r="Y3362"/>
  <c r="Y3358"/>
  <c r="Y3354"/>
  <c r="Y3350"/>
  <c r="Y3346"/>
  <c r="Y3342"/>
  <c r="Y3338"/>
  <c r="Y3334"/>
  <c r="Y3330"/>
  <c r="Y3326"/>
  <c r="Y3322"/>
  <c r="Y3318"/>
  <c r="Y3314"/>
  <c r="Y3310"/>
  <c r="Y3306"/>
  <c r="Y3302"/>
  <c r="Y3298"/>
  <c r="Y3294"/>
  <c r="Y3290"/>
  <c r="Y3286"/>
  <c r="Y3282"/>
  <c r="Y3278"/>
  <c r="Y3274"/>
  <c r="Y3270"/>
  <c r="Y3266"/>
  <c r="Y3262"/>
  <c r="Y3258"/>
  <c r="Y3254"/>
  <c r="Y3250"/>
  <c r="Y3246"/>
  <c r="Y3242"/>
  <c r="Y3238"/>
  <c r="Y3234"/>
  <c r="Y3230"/>
  <c r="Y3226"/>
  <c r="Y3222"/>
  <c r="Y3218"/>
  <c r="Y3214"/>
  <c r="Y3210"/>
  <c r="Y3206"/>
  <c r="Y3202"/>
  <c r="Y3198"/>
  <c r="Y3194"/>
  <c r="Y3190"/>
  <c r="Y3186"/>
  <c r="Y3182"/>
  <c r="Y3178"/>
  <c r="Y3174"/>
  <c r="Y3170"/>
  <c r="Y3166"/>
  <c r="Y3162"/>
  <c r="Y3158"/>
  <c r="Y3154"/>
  <c r="Y3150"/>
  <c r="Y3146"/>
  <c r="Y3142"/>
  <c r="Y3138"/>
  <c r="Y3134"/>
  <c r="Y3130"/>
  <c r="Y3126"/>
  <c r="Y3122"/>
  <c r="Y3118"/>
  <c r="Y3114"/>
  <c r="Y3110"/>
  <c r="Y3106"/>
  <c r="Y3102"/>
  <c r="Y3098"/>
  <c r="Y3094"/>
  <c r="Y3090"/>
  <c r="Y3086"/>
  <c r="Y3082"/>
  <c r="Y3078"/>
  <c r="Y3074"/>
  <c r="Y3070"/>
  <c r="Y3066"/>
  <c r="Y3062"/>
  <c r="Y3058"/>
  <c r="Y3054"/>
  <c r="Y3050"/>
  <c r="Y3046"/>
  <c r="Y3042"/>
  <c r="Y3038"/>
  <c r="Y3034"/>
  <c r="Y3030"/>
  <c r="Y3026"/>
  <c r="Y3022"/>
  <c r="Y3018"/>
  <c r="Y3014"/>
  <c r="Y3010"/>
  <c r="Y3006"/>
  <c r="Y3002"/>
  <c r="Y2998"/>
  <c r="Y2994"/>
  <c r="Y2990"/>
  <c r="Y2986"/>
  <c r="Y2982"/>
  <c r="Y2978"/>
  <c r="Y2974"/>
  <c r="Y2970"/>
  <c r="Y2966"/>
  <c r="Y2962"/>
  <c r="Y2958"/>
  <c r="Y2954"/>
  <c r="Y2950"/>
  <c r="Y2946"/>
  <c r="Y2942"/>
  <c r="Y2938"/>
  <c r="Y2934"/>
  <c r="Y2930"/>
  <c r="Y2926"/>
  <c r="Y2922"/>
  <c r="Y2918"/>
  <c r="Y2914"/>
  <c r="Y2910"/>
  <c r="Y2906"/>
  <c r="Y2902"/>
  <c r="Y2898"/>
  <c r="Y2894"/>
  <c r="Y2890"/>
  <c r="Y2886"/>
  <c r="Y2882"/>
  <c r="Y2878"/>
  <c r="Y2874"/>
  <c r="Y2870"/>
  <c r="Y2866"/>
  <c r="Y2862"/>
  <c r="Y2858"/>
  <c r="Y2854"/>
  <c r="Y2850"/>
  <c r="Y2846"/>
  <c r="Y2842"/>
  <c r="Y2838"/>
  <c r="Y2834"/>
  <c r="Y2830"/>
  <c r="Y2826"/>
  <c r="Y2822"/>
  <c r="Y2818"/>
  <c r="Y2814"/>
  <c r="Y2810"/>
  <c r="Y2806"/>
  <c r="Y2802"/>
  <c r="Y2798"/>
  <c r="Y2794"/>
  <c r="Y2790"/>
  <c r="Y2786"/>
  <c r="Y2782"/>
  <c r="Y2778"/>
  <c r="Y2774"/>
  <c r="Y2770"/>
  <c r="Y2766"/>
  <c r="Y2762"/>
  <c r="Y2758"/>
  <c r="Y2754"/>
  <c r="Y2750"/>
  <c r="Y2746"/>
  <c r="Y2742"/>
  <c r="Y2738"/>
  <c r="Y2734"/>
  <c r="Y2730"/>
  <c r="Y2726"/>
  <c r="Y2722"/>
  <c r="Y2718"/>
  <c r="Y2714"/>
  <c r="Y2710"/>
  <c r="Y2706"/>
  <c r="Y2702"/>
  <c r="Y2698"/>
  <c r="Y2694"/>
  <c r="Y2690"/>
  <c r="Y2686"/>
  <c r="Y2682"/>
  <c r="Y2678"/>
  <c r="Y2674"/>
  <c r="Y2670"/>
  <c r="Y2666"/>
  <c r="Y2662"/>
  <c r="Y2658"/>
  <c r="Y2654"/>
  <c r="Y2650"/>
  <c r="Y2646"/>
  <c r="Y2642"/>
  <c r="Y2638"/>
  <c r="Y2634"/>
  <c r="Y2630"/>
  <c r="Y2626"/>
  <c r="Y2622"/>
  <c r="Y2618"/>
  <c r="Y2614"/>
  <c r="Y2610"/>
  <c r="Y2606"/>
  <c r="Y2602"/>
  <c r="Y2598"/>
  <c r="Y2594"/>
  <c r="Y2590"/>
  <c r="Y2586"/>
  <c r="Y2582"/>
  <c r="Y2578"/>
  <c r="Y2574"/>
  <c r="Y2570"/>
  <c r="Y2566"/>
  <c r="Y2562"/>
  <c r="Y2558"/>
  <c r="Y2554"/>
  <c r="Y2550"/>
  <c r="Y2546"/>
  <c r="Y2542"/>
  <c r="Y2538"/>
  <c r="Y2534"/>
  <c r="Y2530"/>
  <c r="Y2526"/>
  <c r="Y2522"/>
  <c r="Y2518"/>
  <c r="Y2514"/>
  <c r="Y2510"/>
  <c r="Y2506"/>
  <c r="Y2502"/>
  <c r="Y2498"/>
  <c r="Y2494"/>
  <c r="Y2490"/>
  <c r="Y2486"/>
  <c r="Y2482"/>
  <c r="Y2478"/>
  <c r="Y2474"/>
  <c r="Y2470"/>
  <c r="Y2466"/>
  <c r="Y2462"/>
  <c r="Y2458"/>
  <c r="Y2454"/>
  <c r="Y2450"/>
  <c r="Y2446"/>
  <c r="Y2442"/>
  <c r="Y2438"/>
  <c r="Y2434"/>
  <c r="Y2430"/>
  <c r="Y2426"/>
  <c r="Y2422"/>
  <c r="Y2418"/>
  <c r="Y2414"/>
  <c r="Y2410"/>
  <c r="Y2406"/>
  <c r="Y2402"/>
  <c r="Y2398"/>
  <c r="Y2394"/>
  <c r="Y2390"/>
  <c r="Y2386"/>
  <c r="Y2382"/>
  <c r="Y2378"/>
  <c r="Y2374"/>
  <c r="Y2370"/>
  <c r="Y2366"/>
  <c r="Y2362"/>
  <c r="Y2358"/>
  <c r="Y2354"/>
  <c r="Y2350"/>
  <c r="Y2346"/>
  <c r="Y2342"/>
  <c r="Y2338"/>
  <c r="Y2334"/>
  <c r="Y2330"/>
  <c r="Y2326"/>
  <c r="Y2322"/>
  <c r="Y2318"/>
  <c r="Y2314"/>
  <c r="Y2310"/>
  <c r="Y2306"/>
  <c r="Y2302"/>
  <c r="Y2298"/>
  <c r="Y2294"/>
  <c r="Y2290"/>
  <c r="Y2286"/>
  <c r="Y2282"/>
  <c r="Y2278"/>
  <c r="Y2274"/>
  <c r="Y2270"/>
  <c r="Y2266"/>
  <c r="Y2262"/>
  <c r="Y2258"/>
  <c r="Y2254"/>
  <c r="Y2250"/>
  <c r="Y2246"/>
  <c r="Y2242"/>
  <c r="Y2238"/>
  <c r="Y2234"/>
  <c r="Y2230"/>
  <c r="Y2226"/>
  <c r="Y2222"/>
  <c r="Y2218"/>
  <c r="Y2214"/>
  <c r="Y2210"/>
  <c r="Y2206"/>
  <c r="Y2202"/>
  <c r="Y2198"/>
  <c r="Y2194"/>
  <c r="Y2190"/>
  <c r="Y2186"/>
  <c r="Y2182"/>
  <c r="Y2178"/>
  <c r="Y2174"/>
  <c r="Y2170"/>
  <c r="Y2166"/>
  <c r="Y2162"/>
  <c r="Y2158"/>
  <c r="Y2154"/>
  <c r="Y2150"/>
  <c r="Y2146"/>
  <c r="Y2142"/>
  <c r="Y2138"/>
  <c r="Y2134"/>
  <c r="Y2130"/>
  <c r="Y2126"/>
  <c r="Y2122"/>
  <c r="Y2118"/>
  <c r="Y2114"/>
  <c r="Y2110"/>
  <c r="Y2106"/>
  <c r="Y2102"/>
  <c r="Y2098"/>
  <c r="Y2094"/>
  <c r="Y2090"/>
  <c r="Y2086"/>
  <c r="Y2082"/>
  <c r="Y2078"/>
  <c r="Y2074"/>
  <c r="Y2070"/>
  <c r="Y2066"/>
  <c r="Y2062"/>
  <c r="Y2058"/>
  <c r="Y2054"/>
  <c r="Y2050"/>
  <c r="Y2046"/>
  <c r="Y2042"/>
  <c r="Y2038"/>
  <c r="Y2034"/>
  <c r="Y2030"/>
  <c r="Y2026"/>
  <c r="Y2022"/>
  <c r="Y2018"/>
  <c r="Y2014"/>
  <c r="Y2010"/>
  <c r="Y2006"/>
  <c r="Y2002"/>
  <c r="Y1998"/>
  <c r="Y1994"/>
  <c r="Y1990"/>
  <c r="Y1986"/>
  <c r="Y1982"/>
  <c r="Y1978"/>
  <c r="Y1974"/>
  <c r="Y1970"/>
  <c r="Y1966"/>
  <c r="Y1962"/>
  <c r="Y1958"/>
  <c r="Y1954"/>
  <c r="Y1950"/>
  <c r="Y1946"/>
  <c r="Y1942"/>
  <c r="Y1938"/>
  <c r="Y1934"/>
  <c r="Y1930"/>
  <c r="Y1926"/>
  <c r="Y1922"/>
  <c r="Y1918"/>
  <c r="Y1914"/>
  <c r="Y1910"/>
  <c r="Y1906"/>
  <c r="Y1902"/>
  <c r="Y1898"/>
  <c r="Y1894"/>
  <c r="Y1890"/>
  <c r="Y1886"/>
  <c r="Y1882"/>
  <c r="Y1878"/>
  <c r="Y1874"/>
  <c r="Y1870"/>
  <c r="Y1866"/>
  <c r="Y1862"/>
  <c r="Y1858"/>
  <c r="Y1854"/>
  <c r="Y1850"/>
  <c r="Y1846"/>
  <c r="Y1842"/>
  <c r="Y1838"/>
  <c r="Y1834"/>
  <c r="Y1830"/>
  <c r="Y1826"/>
  <c r="Y1822"/>
  <c r="Y1818"/>
  <c r="Y1814"/>
  <c r="Y1810"/>
  <c r="Y1806"/>
  <c r="Y1802"/>
  <c r="Y1798"/>
  <c r="Y1794"/>
  <c r="Y1790"/>
  <c r="Y1786"/>
  <c r="Y1782"/>
  <c r="Y1778"/>
  <c r="Y1774"/>
  <c r="Y1770"/>
  <c r="Y1766"/>
  <c r="Y1762"/>
  <c r="Y1758"/>
  <c r="Y1754"/>
  <c r="Y1750"/>
  <c r="Y1746"/>
  <c r="Y1742"/>
  <c r="Y1738"/>
  <c r="Y1734"/>
  <c r="Y1730"/>
  <c r="Y1726"/>
  <c r="Y1722"/>
  <c r="Y1718"/>
  <c r="Y1714"/>
  <c r="Y1710"/>
  <c r="Y1706"/>
  <c r="Y1702"/>
  <c r="Y1698"/>
  <c r="Y1694"/>
  <c r="Y1690"/>
  <c r="Y1686"/>
  <c r="Y1682"/>
  <c r="Y1678"/>
  <c r="Y1674"/>
  <c r="Y1670"/>
  <c r="Y1666"/>
  <c r="Y1662"/>
  <c r="Y1658"/>
  <c r="Y1654"/>
  <c r="Y1650"/>
  <c r="Y1646"/>
  <c r="Y1642"/>
  <c r="Y1638"/>
  <c r="Y1634"/>
  <c r="Y1630"/>
  <c r="Y1626"/>
  <c r="Y1622"/>
  <c r="Y1618"/>
  <c r="Y1614"/>
  <c r="Y3503"/>
  <c r="Y3499"/>
  <c r="Y3495"/>
  <c r="Y3491"/>
  <c r="Y3487"/>
  <c r="Y3483"/>
  <c r="Y3479"/>
  <c r="Y3475"/>
  <c r="Y3471"/>
  <c r="Y3467"/>
  <c r="Y3463"/>
  <c r="Y3459"/>
  <c r="Y3455"/>
  <c r="Y3451"/>
  <c r="Y3447"/>
  <c r="Y3443"/>
  <c r="Y3439"/>
  <c r="Y3435"/>
  <c r="Y3431"/>
  <c r="Y3427"/>
  <c r="Y3423"/>
  <c r="Y3419"/>
  <c r="Y3415"/>
  <c r="Y3411"/>
  <c r="Y3407"/>
  <c r="Y3403"/>
  <c r="Y3399"/>
  <c r="Y3395"/>
  <c r="Y3391"/>
  <c r="Y3387"/>
  <c r="Y3383"/>
  <c r="Y3379"/>
  <c r="Y3375"/>
  <c r="Y3371"/>
  <c r="Y3367"/>
  <c r="Y3363"/>
  <c r="Y3359"/>
  <c r="Y3355"/>
  <c r="Y3351"/>
  <c r="Y3347"/>
  <c r="Y3343"/>
  <c r="Y3339"/>
  <c r="Y3335"/>
  <c r="Y3331"/>
  <c r="Y3327"/>
  <c r="Y3323"/>
  <c r="Y3319"/>
  <c r="Y3315"/>
  <c r="Y3311"/>
  <c r="Y3307"/>
  <c r="Y3303"/>
  <c r="Y3299"/>
  <c r="Y3295"/>
  <c r="Y3291"/>
  <c r="Y3287"/>
  <c r="Y3283"/>
  <c r="Y3279"/>
  <c r="Y3275"/>
  <c r="Y3271"/>
  <c r="Y3267"/>
  <c r="Y3263"/>
  <c r="Y3259"/>
  <c r="Y3255"/>
  <c r="Y3251"/>
  <c r="Y3247"/>
  <c r="Y3243"/>
  <c r="Y3239"/>
  <c r="Y3235"/>
  <c r="Y3231"/>
  <c r="Y3227"/>
  <c r="Y3223"/>
  <c r="Y3219"/>
  <c r="Y3215"/>
  <c r="Y3211"/>
  <c r="Y3207"/>
  <c r="Y3203"/>
  <c r="Y3199"/>
  <c r="Y3195"/>
  <c r="Y3191"/>
  <c r="Y3187"/>
  <c r="Y3183"/>
  <c r="Y3179"/>
  <c r="Y3175"/>
  <c r="Y3171"/>
  <c r="Y3167"/>
  <c r="Y3163"/>
  <c r="Y3159"/>
  <c r="Y3155"/>
  <c r="Y3151"/>
  <c r="Y3147"/>
  <c r="Y3143"/>
  <c r="Y3139"/>
  <c r="Y3135"/>
  <c r="Y3131"/>
  <c r="Y3127"/>
  <c r="Y3123"/>
  <c r="Y3119"/>
  <c r="Y3115"/>
  <c r="Y3111"/>
  <c r="Y3107"/>
  <c r="Y3103"/>
  <c r="Y3099"/>
  <c r="Y3095"/>
  <c r="Y3091"/>
  <c r="Y3087"/>
  <c r="Y3083"/>
  <c r="Y3079"/>
  <c r="Y3075"/>
  <c r="Y3071"/>
  <c r="Y3067"/>
  <c r="Y3063"/>
  <c r="Y3059"/>
  <c r="Y3055"/>
  <c r="Y3051"/>
  <c r="Y3047"/>
  <c r="Y3043"/>
  <c r="Y3039"/>
  <c r="Y3035"/>
  <c r="Y3031"/>
  <c r="Y3027"/>
  <c r="Y3023"/>
  <c r="Y3019"/>
  <c r="Y3015"/>
  <c r="Y3011"/>
  <c r="Y3007"/>
  <c r="Y3003"/>
  <c r="Y2999"/>
  <c r="Y2995"/>
  <c r="Y2991"/>
  <c r="Y2987"/>
  <c r="Y2983"/>
  <c r="Y2979"/>
  <c r="Y2975"/>
  <c r="Y2971"/>
  <c r="Y2967"/>
  <c r="Y2963"/>
  <c r="Y2959"/>
  <c r="Y2955"/>
  <c r="Y2951"/>
  <c r="Y2947"/>
  <c r="Y2943"/>
  <c r="Y2939"/>
  <c r="Y2935"/>
  <c r="Y2931"/>
  <c r="Y2927"/>
  <c r="Y2923"/>
  <c r="Y2919"/>
  <c r="Y2915"/>
  <c r="Y2911"/>
  <c r="Y2907"/>
  <c r="Y2903"/>
  <c r="Y2899"/>
  <c r="Y2895"/>
  <c r="Y2891"/>
  <c r="Y2887"/>
  <c r="Y2883"/>
  <c r="Y2879"/>
  <c r="Y2875"/>
  <c r="Y2871"/>
  <c r="Y2867"/>
  <c r="Y2863"/>
  <c r="Y2859"/>
  <c r="Y2855"/>
  <c r="Y2851"/>
  <c r="Y2847"/>
  <c r="Y2843"/>
  <c r="Y2839"/>
  <c r="Y2835"/>
  <c r="Y2831"/>
  <c r="Y2827"/>
  <c r="Y2823"/>
  <c r="Y2819"/>
  <c r="Y2815"/>
  <c r="Y2811"/>
  <c r="Y2807"/>
  <c r="Y2803"/>
  <c r="Y2799"/>
  <c r="Y2795"/>
  <c r="Y2791"/>
  <c r="Y2787"/>
  <c r="Y2783"/>
  <c r="Y2779"/>
  <c r="Y2775"/>
  <c r="Y2771"/>
  <c r="Y2767"/>
  <c r="Y2763"/>
  <c r="Y2759"/>
  <c r="Y2755"/>
  <c r="Y2751"/>
  <c r="Y2747"/>
  <c r="Y2743"/>
  <c r="Y2739"/>
  <c r="Y2735"/>
  <c r="Y2731"/>
  <c r="Y2727"/>
  <c r="Y2723"/>
  <c r="Y2719"/>
  <c r="Y2715"/>
  <c r="Y2711"/>
  <c r="Y2707"/>
  <c r="Y2703"/>
  <c r="Y2699"/>
  <c r="Y2695"/>
  <c r="Y2691"/>
  <c r="Y2687"/>
  <c r="Y2683"/>
  <c r="Y2679"/>
  <c r="Y2675"/>
  <c r="Y2671"/>
  <c r="Y2667"/>
  <c r="Y2663"/>
  <c r="Y2659"/>
  <c r="Y2655"/>
  <c r="Y2651"/>
  <c r="Y2647"/>
  <c r="Y2643"/>
  <c r="Y2639"/>
  <c r="Y2635"/>
  <c r="Y2631"/>
  <c r="Y2627"/>
  <c r="Y2623"/>
  <c r="Y2619"/>
  <c r="Y2615"/>
  <c r="Y2611"/>
  <c r="Y2607"/>
  <c r="Y2603"/>
  <c r="Y2599"/>
  <c r="Y2595"/>
  <c r="Y2591"/>
  <c r="Y2587"/>
  <c r="Y2583"/>
  <c r="Y2579"/>
  <c r="Y2575"/>
  <c r="Y2571"/>
  <c r="Y2567"/>
  <c r="Y2563"/>
  <c r="Y2559"/>
  <c r="Y2555"/>
  <c r="Y2551"/>
  <c r="Y2547"/>
  <c r="Y2543"/>
  <c r="Y2539"/>
  <c r="Y2535"/>
  <c r="Y2531"/>
  <c r="Y2527"/>
  <c r="Y2523"/>
  <c r="Y2519"/>
  <c r="Y2515"/>
  <c r="Y2511"/>
  <c r="Y2507"/>
  <c r="Y2503"/>
  <c r="Y2499"/>
  <c r="Y2495"/>
  <c r="Y2491"/>
  <c r="Y2487"/>
  <c r="Y2483"/>
  <c r="Y2479"/>
  <c r="Y2475"/>
  <c r="Y2471"/>
  <c r="Y2467"/>
  <c r="Y2463"/>
  <c r="Y2459"/>
  <c r="Y2455"/>
  <c r="Y2451"/>
  <c r="Y2447"/>
  <c r="Y2443"/>
  <c r="Y2439"/>
  <c r="Y2435"/>
  <c r="Y2431"/>
  <c r="Y2427"/>
  <c r="Y2423"/>
  <c r="Y2419"/>
  <c r="Y2415"/>
  <c r="Y2411"/>
  <c r="Y2407"/>
  <c r="Y2403"/>
  <c r="Y2399"/>
  <c r="Y2395"/>
  <c r="Y2391"/>
  <c r="Y2387"/>
  <c r="Y2383"/>
  <c r="Y2379"/>
  <c r="Y2375"/>
  <c r="Y2371"/>
  <c r="Y2367"/>
  <c r="Y2363"/>
  <c r="Y2359"/>
  <c r="Y2355"/>
  <c r="Y2351"/>
  <c r="Y2347"/>
  <c r="Y2343"/>
  <c r="Y2339"/>
  <c r="Y2335"/>
  <c r="Y2331"/>
  <c r="Y2327"/>
  <c r="Y2323"/>
  <c r="Y2319"/>
  <c r="Y2315"/>
  <c r="Y2311"/>
  <c r="Y2307"/>
  <c r="Y2303"/>
  <c r="Y2299"/>
  <c r="Y2295"/>
  <c r="Y2291"/>
  <c r="Y2287"/>
  <c r="Y2283"/>
  <c r="Y2279"/>
  <c r="Y2275"/>
  <c r="Y2271"/>
  <c r="Y2267"/>
  <c r="Y2263"/>
  <c r="Y2259"/>
  <c r="Y2255"/>
  <c r="Y2251"/>
  <c r="Y2247"/>
  <c r="Y2243"/>
  <c r="Y2239"/>
  <c r="Y2235"/>
  <c r="Y2231"/>
  <c r="Y2227"/>
  <c r="Y2223"/>
  <c r="Y2219"/>
  <c r="Y2215"/>
  <c r="Y2211"/>
  <c r="Y2207"/>
  <c r="Y2203"/>
  <c r="Y2199"/>
  <c r="Y2195"/>
  <c r="Y2191"/>
  <c r="Y2187"/>
  <c r="Y2183"/>
  <c r="Y2179"/>
  <c r="Y2175"/>
  <c r="Y2171"/>
  <c r="Y2167"/>
  <c r="Y2163"/>
  <c r="Y2159"/>
  <c r="Y2155"/>
  <c r="Y2151"/>
  <c r="Y2147"/>
  <c r="Y2143"/>
  <c r="Y2139"/>
  <c r="Y2135"/>
  <c r="Y2131"/>
  <c r="Y2127"/>
  <c r="Y2123"/>
  <c r="Y2119"/>
  <c r="Y2115"/>
  <c r="Y2111"/>
  <c r="Y2107"/>
  <c r="Y2103"/>
  <c r="Y2099"/>
  <c r="Y2095"/>
  <c r="Y2091"/>
  <c r="Y2087"/>
  <c r="Y2083"/>
  <c r="Y2079"/>
  <c r="Y2075"/>
  <c r="Y2071"/>
  <c r="Y2067"/>
  <c r="Y2063"/>
  <c r="Y2059"/>
  <c r="Y2055"/>
  <c r="Y2051"/>
  <c r="Y2047"/>
  <c r="Y2043"/>
  <c r="Y2039"/>
  <c r="Y2035"/>
  <c r="Y2031"/>
  <c r="Y2027"/>
  <c r="Y2023"/>
  <c r="Y2019"/>
  <c r="Y2015"/>
  <c r="Y2011"/>
  <c r="Y2007"/>
  <c r="Y2003"/>
  <c r="Y1999"/>
  <c r="Y1995"/>
  <c r="Y1991"/>
  <c r="Y1987"/>
  <c r="Y1983"/>
  <c r="Y1979"/>
  <c r="Y1975"/>
  <c r="Y1971"/>
  <c r="Y1967"/>
  <c r="Y1963"/>
  <c r="Y1959"/>
  <c r="Y1955"/>
  <c r="Y1951"/>
  <c r="Y1947"/>
  <c r="Y1943"/>
  <c r="Y1939"/>
  <c r="Y1935"/>
  <c r="Y1931"/>
  <c r="Y1927"/>
  <c r="Y1923"/>
  <c r="Y1919"/>
  <c r="Y1915"/>
  <c r="Y1911"/>
  <c r="Y1907"/>
  <c r="Y1903"/>
  <c r="Y1899"/>
  <c r="Y1895"/>
  <c r="Y1891"/>
  <c r="Y1887"/>
  <c r="Y1883"/>
  <c r="Y1879"/>
  <c r="Y1875"/>
  <c r="Y1871"/>
  <c r="Y1867"/>
  <c r="Y1863"/>
  <c r="Y1859"/>
  <c r="Y1855"/>
  <c r="Y1851"/>
  <c r="Y1847"/>
  <c r="Y1843"/>
  <c r="Y1839"/>
  <c r="Y1835"/>
  <c r="Y1831"/>
  <c r="Y1827"/>
  <c r="Y1823"/>
  <c r="Y1819"/>
  <c r="Y1815"/>
  <c r="Y1811"/>
  <c r="Y1807"/>
  <c r="Y1803"/>
  <c r="Y1799"/>
  <c r="Y1795"/>
  <c r="Y1791"/>
  <c r="Y1787"/>
  <c r="Y1783"/>
  <c r="Y1779"/>
  <c r="Y1775"/>
  <c r="Y1771"/>
  <c r="Y1767"/>
  <c r="Y1763"/>
  <c r="Y1759"/>
  <c r="Y1755"/>
  <c r="Y1751"/>
  <c r="Y1747"/>
  <c r="Y1743"/>
  <c r="Y1739"/>
  <c r="Y1735"/>
  <c r="Y1731"/>
  <c r="Y1727"/>
  <c r="Y1723"/>
  <c r="Y1719"/>
  <c r="Y1715"/>
  <c r="Y1711"/>
  <c r="Y1707"/>
  <c r="Y1703"/>
  <c r="Y1699"/>
  <c r="Y1695"/>
  <c r="Y1691"/>
  <c r="Y1687"/>
  <c r="Y1683"/>
  <c r="Y1679"/>
  <c r="Y1675"/>
  <c r="Y1671"/>
  <c r="Y1667"/>
  <c r="Y1663"/>
  <c r="Y1659"/>
  <c r="Y1655"/>
  <c r="Y1651"/>
  <c r="Y1647"/>
  <c r="Y1643"/>
  <c r="Y1639"/>
  <c r="Y1635"/>
  <c r="Y1631"/>
  <c r="Y1627"/>
  <c r="Y1623"/>
  <c r="Y1619"/>
  <c r="Y1615"/>
  <c r="Y1611"/>
  <c r="Y1608"/>
  <c r="Y1604"/>
  <c r="Y1600"/>
  <c r="Y1596"/>
  <c r="Y1592"/>
  <c r="Y1588"/>
  <c r="Y1584"/>
  <c r="Y1580"/>
  <c r="Y1576"/>
  <c r="Y1572"/>
  <c r="Y1568"/>
  <c r="Y1564"/>
  <c r="Y1560"/>
  <c r="Y1556"/>
  <c r="Y1552"/>
  <c r="Y1548"/>
  <c r="Y1544"/>
  <c r="Y1540"/>
  <c r="Y1536"/>
  <c r="Y1532"/>
  <c r="Y1528"/>
  <c r="Y1524"/>
  <c r="Y1520"/>
  <c r="Y1516"/>
  <c r="Y1512"/>
  <c r="Y1508"/>
  <c r="Y1504"/>
  <c r="Y1500"/>
  <c r="Y1496"/>
  <c r="Y1492"/>
  <c r="Y1488"/>
  <c r="Y1484"/>
  <c r="Y1480"/>
  <c r="Y1476"/>
  <c r="Y1472"/>
  <c r="Y1468"/>
  <c r="Y1464"/>
  <c r="Y1460"/>
  <c r="Y1456"/>
  <c r="Y1452"/>
  <c r="Y1448"/>
  <c r="Y1444"/>
  <c r="Y1440"/>
  <c r="Y1436"/>
  <c r="Y1432"/>
  <c r="Y1428"/>
  <c r="Y1424"/>
  <c r="Y1420"/>
  <c r="Y1416"/>
  <c r="Y1412"/>
  <c r="Y1408"/>
  <c r="Y1404"/>
  <c r="Y1400"/>
  <c r="Y1396"/>
  <c r="Y1392"/>
  <c r="Y1388"/>
  <c r="Y1384"/>
  <c r="Y1380"/>
  <c r="Y1376"/>
  <c r="Y1372"/>
  <c r="Y1368"/>
  <c r="Y1364"/>
  <c r="Y1360"/>
  <c r="Y1356"/>
  <c r="Y1352"/>
  <c r="Y1348"/>
  <c r="Y1344"/>
  <c r="Y1340"/>
  <c r="Y1336"/>
  <c r="Y1332"/>
  <c r="Y1328"/>
  <c r="Y1324"/>
  <c r="Y1320"/>
  <c r="Y1316"/>
  <c r="Y1312"/>
  <c r="Y1308"/>
  <c r="Y1304"/>
  <c r="Y1300"/>
  <c r="Y1296"/>
  <c r="Y1292"/>
  <c r="Y1288"/>
  <c r="Y1284"/>
  <c r="Y1280"/>
  <c r="Y1276"/>
  <c r="Y1272"/>
  <c r="Y1268"/>
  <c r="Y1264"/>
  <c r="Y1260"/>
  <c r="Y1256"/>
  <c r="Y1252"/>
  <c r="Y1248"/>
  <c r="Y1244"/>
  <c r="Y1240"/>
  <c r="Y1236"/>
  <c r="Y1232"/>
  <c r="Y1228"/>
  <c r="Y1224"/>
  <c r="Y1220"/>
  <c r="Y1216"/>
  <c r="Y1212"/>
  <c r="Y1208"/>
  <c r="Y1204"/>
  <c r="Y1200"/>
  <c r="Y1196"/>
  <c r="Y1192"/>
  <c r="Y1188"/>
  <c r="Y1184"/>
  <c r="Y1180"/>
  <c r="Y1176"/>
  <c r="Y1172"/>
  <c r="Y1168"/>
  <c r="Y1164"/>
  <c r="Y1160"/>
  <c r="Y1156"/>
  <c r="Y1152"/>
  <c r="Y1148"/>
  <c r="Y1144"/>
  <c r="Y1140"/>
  <c r="Y1136"/>
  <c r="Y1132"/>
  <c r="Y1128"/>
  <c r="Y1124"/>
  <c r="Y1120"/>
  <c r="Y1116"/>
  <c r="Y1112"/>
  <c r="Y1108"/>
  <c r="Y1104"/>
  <c r="Y1100"/>
  <c r="Y1096"/>
  <c r="Y1092"/>
  <c r="Y1088"/>
  <c r="Y1084"/>
  <c r="Y1080"/>
  <c r="Y1076"/>
  <c r="Y1072"/>
  <c r="Y1068"/>
  <c r="Y1064"/>
  <c r="Y1060"/>
  <c r="Y1056"/>
  <c r="Y1625"/>
  <c r="Y1621"/>
  <c r="Y1617"/>
  <c r="Y1613"/>
  <c r="Y1609"/>
  <c r="Y1605"/>
  <c r="Y1601"/>
  <c r="Y1597"/>
  <c r="Y1593"/>
  <c r="Y1589"/>
  <c r="Y1585"/>
  <c r="Y1581"/>
  <c r="Y1577"/>
  <c r="Y1573"/>
  <c r="Y1569"/>
  <c r="Y1565"/>
  <c r="Y1561"/>
  <c r="Y1557"/>
  <c r="Y1553"/>
  <c r="Y1549"/>
  <c r="Y1545"/>
  <c r="Y1541"/>
  <c r="Y1537"/>
  <c r="Y1533"/>
  <c r="Y1529"/>
  <c r="Y1525"/>
  <c r="Y1521"/>
  <c r="Y1517"/>
  <c r="Y1513"/>
  <c r="Y1509"/>
  <c r="Y1505"/>
  <c r="Y1501"/>
  <c r="Y1497"/>
  <c r="Y1493"/>
  <c r="Y1489"/>
  <c r="Y1485"/>
  <c r="Y1481"/>
  <c r="Y1477"/>
  <c r="Y1473"/>
  <c r="Y1469"/>
  <c r="Y1465"/>
  <c r="Y1461"/>
  <c r="Y1457"/>
  <c r="Y1453"/>
  <c r="Y1449"/>
  <c r="Y1445"/>
  <c r="Y1441"/>
  <c r="Y1437"/>
  <c r="Y1433"/>
  <c r="Y1429"/>
  <c r="Y1425"/>
  <c r="Y1421"/>
  <c r="Y1417"/>
  <c r="Y1413"/>
  <c r="Y1409"/>
  <c r="Y1405"/>
  <c r="Y1401"/>
  <c r="Y1397"/>
  <c r="Y1393"/>
  <c r="Y1389"/>
  <c r="Y1385"/>
  <c r="Y1381"/>
  <c r="Y1377"/>
  <c r="Y1373"/>
  <c r="Y1369"/>
  <c r="Y1365"/>
  <c r="Y1361"/>
  <c r="Y1357"/>
  <c r="Y1353"/>
  <c r="Y1349"/>
  <c r="Y1345"/>
  <c r="Y1341"/>
  <c r="Y1337"/>
  <c r="Y1333"/>
  <c r="Y1329"/>
  <c r="Y1325"/>
  <c r="Y1321"/>
  <c r="Y1317"/>
  <c r="Y1313"/>
  <c r="Y1309"/>
  <c r="Y1305"/>
  <c r="Y1301"/>
  <c r="Y1297"/>
  <c r="Y1293"/>
  <c r="Y1289"/>
  <c r="Y1285"/>
  <c r="Y1281"/>
  <c r="Y1277"/>
  <c r="Y1273"/>
  <c r="Y1269"/>
  <c r="Y1265"/>
  <c r="Y1261"/>
  <c r="Y1257"/>
  <c r="Y1253"/>
  <c r="Y1249"/>
  <c r="Y1245"/>
  <c r="Y1241"/>
  <c r="Y1237"/>
  <c r="Y1233"/>
  <c r="Y1229"/>
  <c r="Y1225"/>
  <c r="Y1221"/>
  <c r="Y1217"/>
  <c r="Y1213"/>
  <c r="Y1209"/>
  <c r="Y1205"/>
  <c r="Y1201"/>
  <c r="Y1197"/>
  <c r="Y1193"/>
  <c r="Y1189"/>
  <c r="Y1185"/>
  <c r="Y1181"/>
  <c r="Y1177"/>
  <c r="Y1173"/>
  <c r="Y1169"/>
  <c r="Y1165"/>
  <c r="Y1161"/>
  <c r="Y1157"/>
  <c r="Y1153"/>
  <c r="Y1149"/>
  <c r="Y1145"/>
  <c r="Y1141"/>
  <c r="Y1137"/>
  <c r="Y1133"/>
  <c r="Y1129"/>
  <c r="Y1125"/>
  <c r="Y1121"/>
  <c r="Y1117"/>
  <c r="Y1113"/>
  <c r="Y1109"/>
  <c r="Y1105"/>
  <c r="Y1101"/>
  <c r="Y1097"/>
  <c r="Y1093"/>
  <c r="Y1089"/>
  <c r="Y1085"/>
  <c r="Y1081"/>
  <c r="Y1077"/>
  <c r="Y1073"/>
  <c r="Y1069"/>
  <c r="Y1065"/>
  <c r="Y1061"/>
  <c r="Y1057"/>
  <c r="Y1610"/>
  <c r="Y1606"/>
  <c r="Y1602"/>
  <c r="Y1598"/>
  <c r="Y1594"/>
  <c r="Y1590"/>
  <c r="Y1586"/>
  <c r="Y1582"/>
  <c r="Y1578"/>
  <c r="Y1574"/>
  <c r="Y1570"/>
  <c r="Y1566"/>
  <c r="Y1562"/>
  <c r="Y1558"/>
  <c r="Y1554"/>
  <c r="Y1550"/>
  <c r="Y1546"/>
  <c r="Y1542"/>
  <c r="Y1538"/>
  <c r="Y1534"/>
  <c r="Y1530"/>
  <c r="Y1526"/>
  <c r="Y1522"/>
  <c r="Y1518"/>
  <c r="Y1514"/>
  <c r="Y1510"/>
  <c r="Y1506"/>
  <c r="Y1502"/>
  <c r="Y1498"/>
  <c r="Y1494"/>
  <c r="Y1490"/>
  <c r="Y1486"/>
  <c r="Y1482"/>
  <c r="Y1478"/>
  <c r="Y1474"/>
  <c r="Y1470"/>
  <c r="Y1466"/>
  <c r="Y1462"/>
  <c r="Y1458"/>
  <c r="Y1454"/>
  <c r="Y1450"/>
  <c r="Y1446"/>
  <c r="Y1442"/>
  <c r="Y1438"/>
  <c r="Y1434"/>
  <c r="Y1430"/>
  <c r="Y1426"/>
  <c r="Y1422"/>
  <c r="Y1418"/>
  <c r="Y1414"/>
  <c r="Y1410"/>
  <c r="Y1406"/>
  <c r="Y1402"/>
  <c r="Y1398"/>
  <c r="Y1394"/>
  <c r="Y1390"/>
  <c r="Y1386"/>
  <c r="Y1382"/>
  <c r="Y1378"/>
  <c r="Y1374"/>
  <c r="Y1370"/>
  <c r="Y1366"/>
  <c r="Y1362"/>
  <c r="Y1358"/>
  <c r="Y1354"/>
  <c r="Y1350"/>
  <c r="Y1346"/>
  <c r="Y1342"/>
  <c r="Y1338"/>
  <c r="Y1334"/>
  <c r="Y1330"/>
  <c r="Y1326"/>
  <c r="Y1322"/>
  <c r="Y1318"/>
  <c r="Y1314"/>
  <c r="Y1310"/>
  <c r="Y1306"/>
  <c r="Y1302"/>
  <c r="Y1298"/>
  <c r="Y1294"/>
  <c r="Y1290"/>
  <c r="Y1286"/>
  <c r="Y1282"/>
  <c r="Y1278"/>
  <c r="Y1274"/>
  <c r="Y1270"/>
  <c r="Y1266"/>
  <c r="Y1262"/>
  <c r="Y1258"/>
  <c r="Y1254"/>
  <c r="Y1250"/>
  <c r="Y1246"/>
  <c r="Y1242"/>
  <c r="Y1238"/>
  <c r="Y1234"/>
  <c r="Y1230"/>
  <c r="Y1226"/>
  <c r="Y1222"/>
  <c r="Y1218"/>
  <c r="Y1214"/>
  <c r="Y1210"/>
  <c r="Y1206"/>
  <c r="Y1202"/>
  <c r="Y1198"/>
  <c r="Y1194"/>
  <c r="Y1190"/>
  <c r="Y1186"/>
  <c r="Y1182"/>
  <c r="Y1178"/>
  <c r="Y1174"/>
  <c r="Y1170"/>
  <c r="Y1166"/>
  <c r="Y1162"/>
  <c r="Y1158"/>
  <c r="Y1154"/>
  <c r="Y1150"/>
  <c r="Y1146"/>
  <c r="Y1142"/>
  <c r="Y1138"/>
  <c r="Y1134"/>
  <c r="Y1130"/>
  <c r="Y1126"/>
  <c r="Y1122"/>
  <c r="Y1118"/>
  <c r="Y1114"/>
  <c r="Y1110"/>
  <c r="Y1106"/>
  <c r="Y1102"/>
  <c r="Y1098"/>
  <c r="Y1094"/>
  <c r="Y1090"/>
  <c r="Y1086"/>
  <c r="Y1082"/>
  <c r="Y1078"/>
  <c r="Y1074"/>
  <c r="Y1070"/>
  <c r="Y1066"/>
  <c r="Y1062"/>
  <c r="Y1058"/>
  <c r="Y1607"/>
  <c r="Y1603"/>
  <c r="Y1599"/>
  <c r="Y1595"/>
  <c r="Y1591"/>
  <c r="Y1587"/>
  <c r="Y1583"/>
  <c r="Y1579"/>
  <c r="Y1575"/>
  <c r="Y1571"/>
  <c r="Y1567"/>
  <c r="Y1563"/>
  <c r="Y1559"/>
  <c r="Y1555"/>
  <c r="Y1551"/>
  <c r="Y1547"/>
  <c r="Y1543"/>
  <c r="Y1539"/>
  <c r="Y1535"/>
  <c r="Y1531"/>
  <c r="Y1527"/>
  <c r="Y1523"/>
  <c r="Y1519"/>
  <c r="Y1515"/>
  <c r="Y1511"/>
  <c r="Y1507"/>
  <c r="Y1503"/>
  <c r="Y1499"/>
  <c r="Y1495"/>
  <c r="Y1491"/>
  <c r="Y1487"/>
  <c r="Y1483"/>
  <c r="Y1479"/>
  <c r="Y1475"/>
  <c r="Y1471"/>
  <c r="Y1467"/>
  <c r="Y1463"/>
  <c r="Y1459"/>
  <c r="Y1455"/>
  <c r="Y1451"/>
  <c r="Y1447"/>
  <c r="Y1443"/>
  <c r="Y1439"/>
  <c r="Y1435"/>
  <c r="Y1431"/>
  <c r="Y1427"/>
  <c r="Y1423"/>
  <c r="Y1419"/>
  <c r="Y1415"/>
  <c r="Y1411"/>
  <c r="Y1407"/>
  <c r="Y1403"/>
  <c r="Y1399"/>
  <c r="Y1395"/>
  <c r="Y1391"/>
  <c r="Y1387"/>
  <c r="Y1383"/>
  <c r="Y1379"/>
  <c r="Y1375"/>
  <c r="Y1371"/>
  <c r="Y1367"/>
  <c r="Y1363"/>
  <c r="Y1359"/>
  <c r="Y1355"/>
  <c r="Y1351"/>
  <c r="Y1347"/>
  <c r="Y1343"/>
  <c r="Y1339"/>
  <c r="Y1335"/>
  <c r="Y1331"/>
  <c r="Y1327"/>
  <c r="Y1323"/>
  <c r="Y1319"/>
  <c r="Y1315"/>
  <c r="Y1311"/>
  <c r="Y1307"/>
  <c r="Y1303"/>
  <c r="Y1299"/>
  <c r="Y1295"/>
  <c r="Y1291"/>
  <c r="Y1287"/>
  <c r="Y1283"/>
  <c r="Y1279"/>
  <c r="Y1275"/>
  <c r="Y1271"/>
  <c r="Y1267"/>
  <c r="Y1263"/>
  <c r="Y1259"/>
  <c r="Y1255"/>
  <c r="Y1251"/>
  <c r="Y1247"/>
  <c r="Y1243"/>
  <c r="Y1239"/>
  <c r="Y1235"/>
  <c r="Y1231"/>
  <c r="Y1227"/>
  <c r="Y1223"/>
  <c r="Y1219"/>
  <c r="Y1215"/>
  <c r="Y1211"/>
  <c r="Y1207"/>
  <c r="Y1203"/>
  <c r="Y1199"/>
  <c r="Y1195"/>
  <c r="Y1191"/>
  <c r="Y1187"/>
  <c r="Y1183"/>
  <c r="Y1179"/>
  <c r="Y1175"/>
  <c r="Y1171"/>
  <c r="Y1167"/>
  <c r="Y1163"/>
  <c r="Y1159"/>
  <c r="Y1155"/>
  <c r="Y1151"/>
  <c r="Y1147"/>
  <c r="Y1143"/>
  <c r="Y1139"/>
  <c r="Y1135"/>
  <c r="Y1131"/>
  <c r="Y1127"/>
  <c r="Y1123"/>
  <c r="Y1119"/>
  <c r="Y1115"/>
  <c r="Y1111"/>
  <c r="Y1107"/>
  <c r="Y1103"/>
  <c r="Y1099"/>
  <c r="Y1095"/>
  <c r="Y1091"/>
  <c r="Y1087"/>
  <c r="Y1083"/>
  <c r="Y1079"/>
  <c r="Y1075"/>
  <c r="Y1071"/>
  <c r="Y1067"/>
  <c r="Y1063"/>
  <c r="Y1059"/>
  <c r="Y512"/>
  <c r="Y516"/>
  <c r="Y520"/>
  <c r="Y524"/>
  <c r="Y528"/>
  <c r="Y532"/>
  <c r="Y536"/>
  <c r="Y540"/>
  <c r="Y544"/>
  <c r="Y548"/>
  <c r="Y552"/>
  <c r="Y556"/>
  <c r="Y560"/>
  <c r="Y564"/>
  <c r="Y571"/>
  <c r="Y578"/>
  <c r="Y591"/>
  <c r="Y623"/>
  <c r="Y655"/>
  <c r="Y687"/>
  <c r="Y751"/>
  <c r="Y783"/>
  <c r="Y815"/>
  <c r="Y847"/>
  <c r="Y879"/>
  <c r="Y1018"/>
  <c r="Y1030"/>
  <c r="Y68"/>
  <c r="Y84"/>
  <c r="Y100"/>
  <c r="Y116"/>
  <c r="Y132"/>
  <c r="Y148"/>
  <c r="Y164"/>
  <c r="Y180"/>
  <c r="Y196"/>
  <c r="Y212"/>
  <c r="Y228"/>
  <c r="Y244"/>
  <c r="Y260"/>
  <c r="Y267"/>
  <c r="Y275"/>
  <c r="Y283"/>
  <c r="Y291"/>
  <c r="Y299"/>
  <c r="Y307"/>
  <c r="Y315"/>
  <c r="Y323"/>
  <c r="Y331"/>
  <c r="Y585"/>
  <c r="Y592"/>
  <c r="Y596"/>
  <c r="Y603"/>
  <c r="Y610"/>
  <c r="Y617"/>
  <c r="Y624"/>
  <c r="Y628"/>
  <c r="Y635"/>
  <c r="Y642"/>
  <c r="Y656"/>
  <c r="Y660"/>
  <c r="Y667"/>
  <c r="Y681"/>
  <c r="Y688"/>
  <c r="Y692"/>
  <c r="Y699"/>
  <c r="Y713"/>
  <c r="Y720"/>
  <c r="Y724"/>
  <c r="Y731"/>
  <c r="Y795"/>
  <c r="Y802"/>
  <c r="Y809"/>
  <c r="Y866"/>
  <c r="Y873"/>
  <c r="Y880"/>
  <c r="Y884"/>
  <c r="Y891"/>
  <c r="Y942"/>
  <c r="Y950"/>
  <c r="Y954"/>
  <c r="Y966"/>
  <c r="Y970"/>
  <c r="Y982"/>
  <c r="Y986"/>
  <c r="Y998"/>
  <c r="Y1006"/>
  <c r="Y1010"/>
  <c r="Y999"/>
  <c r="Y1013"/>
  <c r="Y542"/>
  <c r="Y715"/>
  <c r="Y952"/>
  <c r="Y960"/>
  <c r="Y964"/>
  <c r="Y968"/>
  <c r="Y976"/>
  <c r="Y980"/>
  <c r="Y984"/>
  <c r="Y992"/>
  <c r="Y996"/>
  <c r="Y1000"/>
  <c r="Y1004"/>
  <c r="Y1008"/>
  <c r="Y905"/>
  <c r="Y73"/>
  <c r="Y799"/>
  <c r="Y405"/>
  <c r="Y602"/>
  <c r="Y849"/>
  <c r="Y771"/>
  <c r="Y659"/>
  <c r="Y629"/>
  <c r="Y574"/>
  <c r="Y121"/>
  <c r="Y45"/>
  <c r="Y57"/>
  <c r="Y326"/>
  <c r="Y360"/>
  <c r="Y394"/>
  <c r="Y424"/>
  <c r="Y458"/>
  <c r="Y492"/>
  <c r="Y240"/>
  <c r="Y568"/>
  <c r="Y641"/>
  <c r="Y634"/>
  <c r="Y16"/>
  <c r="Y262"/>
  <c r="Y270"/>
  <c r="Y278"/>
  <c r="Y286"/>
  <c r="Y294"/>
  <c r="Y340"/>
  <c r="Y344"/>
  <c r="Y374"/>
  <c r="Y378"/>
  <c r="Y404"/>
  <c r="Y408"/>
  <c r="Y438"/>
  <c r="Y442"/>
  <c r="Y468"/>
  <c r="Y472"/>
  <c r="Y502"/>
  <c r="Y506"/>
  <c r="Y569"/>
  <c r="Y573"/>
  <c r="Y76"/>
  <c r="Y92"/>
  <c r="Y303"/>
  <c r="Y658"/>
  <c r="Y761"/>
  <c r="Y857"/>
  <c r="Y864"/>
  <c r="Y114"/>
  <c r="Y170"/>
  <c r="Y316"/>
  <c r="Y357"/>
  <c r="Y389"/>
  <c r="Y485"/>
  <c r="Y499"/>
  <c r="Y517"/>
  <c r="Y531"/>
  <c r="Y549"/>
  <c r="Y563"/>
  <c r="Y631"/>
  <c r="Y887"/>
  <c r="Y112"/>
  <c r="Y184"/>
  <c r="Y737"/>
  <c r="Y733"/>
  <c r="Y723"/>
  <c r="Y627"/>
  <c r="Y277"/>
  <c r="Y107"/>
  <c r="Y25"/>
  <c r="Y322"/>
  <c r="Y358"/>
  <c r="Y362"/>
  <c r="Y392"/>
  <c r="Y426"/>
  <c r="Y490"/>
  <c r="Y554"/>
  <c r="Y271"/>
  <c r="Y736"/>
  <c r="Y82"/>
  <c r="Y210"/>
  <c r="Y300"/>
  <c r="Y349"/>
  <c r="Y413"/>
  <c r="Y427"/>
  <c r="Y445"/>
  <c r="Y477"/>
  <c r="Y509"/>
  <c r="Y80"/>
  <c r="Y273"/>
  <c r="Y301"/>
  <c r="Y652"/>
  <c r="Y682"/>
  <c r="Y732"/>
  <c r="Y785"/>
  <c r="Y808"/>
  <c r="Y835"/>
  <c r="Y858"/>
  <c r="Y907"/>
  <c r="Y931"/>
  <c r="Y698"/>
  <c r="Y824"/>
  <c r="Y746"/>
  <c r="Y3520"/>
  <c r="Y257"/>
  <c r="Y129"/>
  <c r="Y59"/>
  <c r="Y37"/>
  <c r="Y306"/>
  <c r="Y334"/>
  <c r="Y338"/>
  <c r="Y352"/>
  <c r="Y366"/>
  <c r="Y370"/>
  <c r="Y384"/>
  <c r="Y398"/>
  <c r="Y402"/>
  <c r="Y416"/>
  <c r="Y430"/>
  <c r="Y434"/>
  <c r="Y448"/>
  <c r="Y462"/>
  <c r="Y466"/>
  <c r="Y480"/>
  <c r="Y484"/>
  <c r="Y498"/>
  <c r="Y530"/>
  <c r="Y562"/>
  <c r="Y735"/>
  <c r="Y60"/>
  <c r="Y188"/>
  <c r="Y287"/>
  <c r="Y594"/>
  <c r="Y644"/>
  <c r="Y747"/>
  <c r="Y473"/>
  <c r="Y505"/>
  <c r="Y521"/>
  <c r="Y537"/>
  <c r="Y553"/>
  <c r="Y572"/>
  <c r="Y663"/>
  <c r="Y72"/>
  <c r="Y136"/>
  <c r="Y200"/>
  <c r="Y265"/>
  <c r="Y297"/>
  <c r="Y329"/>
  <c r="Y625"/>
  <c r="Y650"/>
  <c r="Y675"/>
  <c r="Y700"/>
  <c r="Y728"/>
  <c r="Y778"/>
  <c r="Y803"/>
  <c r="Y828"/>
  <c r="Y856"/>
  <c r="Y915"/>
  <c r="Y605"/>
  <c r="Y52"/>
  <c r="Y224"/>
  <c r="Y309"/>
  <c r="Y584"/>
  <c r="Y609"/>
  <c r="Y684"/>
  <c r="Y712"/>
  <c r="Y762"/>
  <c r="Y812"/>
  <c r="Y840"/>
  <c r="Y901"/>
  <c r="Y892"/>
  <c r="Y637"/>
  <c r="Y302"/>
  <c r="Y310"/>
  <c r="Y336"/>
  <c r="Y350"/>
  <c r="Y354"/>
  <c r="Y368"/>
  <c r="Y382"/>
  <c r="Y386"/>
  <c r="Y400"/>
  <c r="Y414"/>
  <c r="Y418"/>
  <c r="Y432"/>
  <c r="Y446"/>
  <c r="Y450"/>
  <c r="Y464"/>
  <c r="Y478"/>
  <c r="Y482"/>
  <c r="Y496"/>
  <c r="Y500"/>
  <c r="Y514"/>
  <c r="Y546"/>
  <c r="Y607"/>
  <c r="Y863"/>
  <c r="Y124"/>
  <c r="Y319"/>
  <c r="Y619"/>
  <c r="Y722"/>
  <c r="Y875"/>
  <c r="Y58"/>
  <c r="Y497"/>
  <c r="Y513"/>
  <c r="Y529"/>
  <c r="Y545"/>
  <c r="Y561"/>
  <c r="Y599"/>
  <c r="Y727"/>
  <c r="Y104"/>
  <c r="Y168"/>
  <c r="Y281"/>
  <c r="Y313"/>
  <c r="Y586"/>
  <c r="Y611"/>
  <c r="Y664"/>
  <c r="Y689"/>
  <c r="Y714"/>
  <c r="Y739"/>
  <c r="Y764"/>
  <c r="Y792"/>
  <c r="Y817"/>
  <c r="Y842"/>
  <c r="Y917"/>
  <c r="Y937"/>
  <c r="Y947"/>
  <c r="Y867"/>
  <c r="Y911"/>
  <c r="Y933"/>
  <c r="Y3519"/>
  <c r="Y3511"/>
  <c r="Y1009"/>
  <c r="Y989"/>
  <c r="Y1028"/>
  <c r="Y1024"/>
  <c r="Y1020"/>
  <c r="Y1007"/>
  <c r="Y987"/>
  <c r="Y948"/>
  <c r="Y940"/>
  <c r="Y62"/>
  <c r="Y1031"/>
  <c r="Y1023"/>
  <c r="Y993"/>
  <c r="Y981"/>
  <c r="Y957"/>
  <c r="Y493"/>
  <c r="C27" i="4"/>
  <c r="D27"/>
  <c r="Y1025" i="1"/>
  <c r="Y1021"/>
  <c r="Y1017"/>
  <c r="Y90"/>
  <c r="Y122"/>
  <c r="Y154"/>
  <c r="Y186"/>
  <c r="Y218"/>
  <c r="Y272"/>
  <c r="Y288"/>
  <c r="Y304"/>
  <c r="Y320"/>
  <c r="Y335"/>
  <c r="Y343"/>
  <c r="Y351"/>
  <c r="Y359"/>
  <c r="Y367"/>
  <c r="Y375"/>
  <c r="Y383"/>
  <c r="Y391"/>
  <c r="Y399"/>
  <c r="Y407"/>
  <c r="Y415"/>
  <c r="Y423"/>
  <c r="Y431"/>
  <c r="Y439"/>
  <c r="Y447"/>
  <c r="Y455"/>
  <c r="Y463"/>
  <c r="Y471"/>
  <c r="Y479"/>
  <c r="Y487"/>
  <c r="Y1003"/>
  <c r="Y991"/>
  <c r="Y975"/>
  <c r="Y967"/>
  <c r="Y959"/>
  <c r="Y654"/>
  <c r="Y66"/>
  <c r="Y98"/>
  <c r="Y130"/>
  <c r="Y194"/>
  <c r="Y226"/>
  <c r="Y258"/>
  <c r="Y276"/>
  <c r="Y292"/>
  <c r="Y308"/>
  <c r="Y324"/>
  <c r="Y337"/>
  <c r="Y345"/>
  <c r="Y353"/>
  <c r="Y361"/>
  <c r="Y369"/>
  <c r="Y377"/>
  <c r="Y385"/>
  <c r="Y393"/>
  <c r="Y401"/>
  <c r="Y409"/>
  <c r="Y417"/>
  <c r="Y425"/>
  <c r="Y433"/>
  <c r="Y441"/>
  <c r="Y449"/>
  <c r="Y457"/>
  <c r="Y465"/>
  <c r="Y481"/>
  <c r="Y489"/>
  <c r="Y113"/>
  <c r="Y241"/>
  <c r="Y40"/>
  <c r="Y29"/>
  <c r="Y169"/>
  <c r="Y661"/>
  <c r="Y769"/>
  <c r="Y865"/>
  <c r="Y32"/>
  <c r="Y115"/>
  <c r="Y171"/>
  <c r="Y251"/>
  <c r="Y691"/>
  <c r="Y97"/>
  <c r="Y17"/>
  <c r="Y249"/>
  <c r="Y597"/>
  <c r="Y705"/>
  <c r="Y9"/>
  <c r="Y56"/>
  <c r="Y179"/>
  <c r="Y48"/>
  <c r="Y105"/>
  <c r="Y185"/>
  <c r="Y582"/>
  <c r="Y632"/>
  <c r="Y645"/>
  <c r="Y945"/>
  <c r="Y951"/>
  <c r="Y653"/>
  <c r="Y881"/>
  <c r="Y919"/>
  <c r="Y935"/>
  <c r="Y921"/>
  <c r="Y81"/>
  <c r="Y209"/>
  <c r="Y71"/>
  <c r="Y225"/>
  <c r="Y953"/>
  <c r="Y961"/>
  <c r="Y969"/>
  <c r="Y977"/>
  <c r="Y985"/>
  <c r="Y63"/>
  <c r="Y145"/>
  <c r="C28" i="4"/>
  <c r="D28"/>
  <c r="Y1011" i="1"/>
  <c r="Y1001"/>
  <c r="Y1019"/>
  <c r="Y1027"/>
  <c r="Y1029"/>
  <c r="Y965"/>
  <c r="Y973"/>
  <c r="Y1005"/>
  <c r="Y741"/>
  <c r="D29" i="4"/>
  <c r="C29"/>
  <c r="D30"/>
  <c r="C30"/>
  <c r="D31"/>
  <c r="C31"/>
  <c r="C32"/>
  <c r="D32"/>
  <c r="D33"/>
  <c r="C33"/>
  <c r="C34"/>
  <c r="D34"/>
  <c r="D35"/>
  <c r="C35"/>
  <c r="C36"/>
  <c r="D36"/>
  <c r="D37"/>
  <c r="C37"/>
  <c r="C38"/>
  <c r="D38"/>
  <c r="D39"/>
  <c r="C39"/>
  <c r="D40"/>
  <c r="C40"/>
  <c r="D41"/>
  <c r="C41"/>
  <c r="C42"/>
  <c r="D42"/>
  <c r="D43"/>
  <c r="C43"/>
  <c r="C44"/>
  <c r="D44"/>
  <c r="D45"/>
  <c r="C45"/>
  <c r="C46"/>
  <c r="D46"/>
  <c r="D47"/>
  <c r="C47"/>
  <c r="C48"/>
  <c r="D48"/>
  <c r="D49"/>
  <c r="C49"/>
  <c r="C50"/>
  <c r="D50"/>
  <c r="D51"/>
  <c r="C51"/>
  <c r="C52"/>
  <c r="D52"/>
  <c r="D53"/>
  <c r="C53"/>
  <c r="D54"/>
  <c r="C54"/>
  <c r="D55"/>
  <c r="C55"/>
  <c r="D56"/>
  <c r="C57"/>
  <c r="C56"/>
  <c r="Y12" i="1"/>
  <c r="Y24"/>
  <c r="Y955"/>
  <c r="Y971"/>
  <c r="Y21"/>
  <c r="Y65"/>
  <c r="Y193"/>
  <c r="Y939"/>
  <c r="Y47"/>
  <c r="Y709"/>
  <c r="Y131"/>
  <c r="Y233"/>
  <c r="Y755"/>
  <c r="Y929"/>
  <c r="Y235"/>
  <c r="Y669"/>
  <c r="Y725"/>
  <c r="Y636"/>
  <c r="Y717"/>
  <c r="Y525"/>
  <c r="Y397"/>
  <c r="Y365"/>
  <c r="Y333"/>
  <c r="Y305"/>
  <c r="Y269"/>
  <c r="Y85"/>
  <c r="Y55"/>
  <c r="Y347"/>
  <c r="Y379"/>
  <c r="Y507"/>
  <c r="Y539"/>
  <c r="Y118"/>
  <c r="Y158"/>
  <c r="Y174"/>
  <c r="Y246"/>
  <c r="Y348"/>
  <c r="Y356"/>
  <c r="Y390"/>
  <c r="Y406"/>
  <c r="Y474"/>
  <c r="Y486"/>
  <c r="Y508"/>
  <c r="Y534"/>
  <c r="Y550"/>
  <c r="Y558"/>
  <c r="Y156"/>
  <c r="Y204"/>
  <c r="Y220"/>
  <c r="Y327"/>
  <c r="Y626"/>
  <c r="Y633"/>
  <c r="Y640"/>
  <c r="Y665"/>
  <c r="Y868"/>
  <c r="Y882"/>
  <c r="Y312"/>
  <c r="Y328"/>
  <c r="Y403"/>
  <c r="Y451"/>
  <c r="Y469"/>
  <c r="Y495"/>
  <c r="Y547"/>
  <c r="Y551"/>
  <c r="Y565"/>
  <c r="Y88"/>
  <c r="Y192"/>
  <c r="Y696"/>
  <c r="Y744"/>
  <c r="Y748"/>
  <c r="Y776"/>
  <c r="Y796"/>
  <c r="Y559"/>
  <c r="Y453"/>
  <c r="Y325"/>
  <c r="Y163"/>
  <c r="Y339"/>
  <c r="Y435"/>
  <c r="Y467"/>
  <c r="Y995"/>
  <c r="Y177"/>
  <c r="Y28"/>
  <c r="Y49"/>
  <c r="Y51"/>
  <c r="Y707"/>
  <c r="Y753"/>
  <c r="Y872"/>
  <c r="Y511"/>
  <c r="Y243"/>
  <c r="Y153"/>
  <c r="Y119"/>
  <c r="Y26"/>
  <c r="Y20"/>
  <c r="Y75"/>
  <c r="Y94"/>
  <c r="Y110"/>
  <c r="Y182"/>
  <c r="Y222"/>
  <c r="Y238"/>
  <c r="Y254"/>
  <c r="Y282"/>
  <c r="Y290"/>
  <c r="Y346"/>
  <c r="Y396"/>
  <c r="Y412"/>
  <c r="Y476"/>
  <c r="Y703"/>
  <c r="Y332"/>
  <c r="Y411"/>
  <c r="Y429"/>
  <c r="Y523"/>
  <c r="Y570"/>
  <c r="Y581"/>
  <c r="Y730"/>
  <c r="Y794"/>
  <c r="Y810"/>
  <c r="Y890"/>
  <c r="Y923"/>
  <c r="Y535"/>
  <c r="Y503"/>
  <c r="Y15"/>
  <c r="Y387"/>
  <c r="T1054"/>
  <c r="T1022"/>
  <c r="Y1022"/>
  <c r="T997"/>
  <c r="Y997"/>
  <c r="T974"/>
  <c r="Y974"/>
  <c r="T972"/>
  <c r="Y972"/>
  <c r="T888"/>
  <c r="Y888"/>
  <c r="T859"/>
  <c r="Y859"/>
  <c r="T855"/>
  <c r="Y855"/>
  <c r="T829"/>
  <c r="Y829"/>
  <c r="T827"/>
  <c r="Y827"/>
  <c r="T825"/>
  <c r="Y825"/>
  <c r="T823"/>
  <c r="Y823"/>
  <c r="T797"/>
  <c r="Y797"/>
  <c r="T793"/>
  <c r="Y793"/>
  <c r="T791"/>
  <c r="Y791"/>
  <c r="T765"/>
  <c r="Y765"/>
  <c r="T763"/>
  <c r="Y763"/>
  <c r="T759"/>
  <c r="Y759"/>
  <c r="T685"/>
  <c r="Y685"/>
  <c r="T683"/>
  <c r="Y683"/>
  <c r="T679"/>
  <c r="Y679"/>
  <c r="T614"/>
  <c r="Y614"/>
  <c r="T595"/>
  <c r="Y595"/>
  <c r="T593"/>
  <c r="Y593"/>
  <c r="T213"/>
  <c r="Y213"/>
  <c r="Y983"/>
  <c r="Y897"/>
  <c r="Y913"/>
  <c r="Y673"/>
  <c r="Y898"/>
  <c r="Y912"/>
  <c r="Y239"/>
  <c r="Y217"/>
  <c r="Y83"/>
  <c r="Y211"/>
  <c r="T1015"/>
  <c r="T938"/>
  <c r="T936"/>
  <c r="T934"/>
  <c r="T932"/>
  <c r="T930"/>
  <c r="T928"/>
  <c r="T926"/>
  <c r="T924"/>
  <c r="T922"/>
  <c r="T918"/>
  <c r="T914"/>
  <c r="T910"/>
  <c r="T908"/>
  <c r="T906"/>
  <c r="T904"/>
  <c r="T900"/>
  <c r="T896"/>
  <c r="T885"/>
  <c r="T883"/>
  <c r="T852"/>
  <c r="T848"/>
  <c r="T820"/>
  <c r="T818"/>
  <c r="T816"/>
  <c r="T788"/>
  <c r="T786"/>
  <c r="T784"/>
  <c r="T756"/>
  <c r="T752"/>
  <c r="T710"/>
  <c r="T708"/>
  <c r="T706"/>
  <c r="T704"/>
  <c r="T676"/>
  <c r="T674"/>
  <c r="T672"/>
  <c r="T657"/>
  <c r="T651"/>
  <c r="T649"/>
  <c r="T647"/>
  <c r="T245"/>
  <c r="T236"/>
  <c r="T234"/>
  <c r="T232"/>
  <c r="T208"/>
  <c r="T197"/>
  <c r="T167"/>
  <c r="T162"/>
  <c r="T160"/>
  <c r="T149"/>
  <c r="T127"/>
  <c r="T79"/>
  <c r="T74"/>
  <c r="T44"/>
  <c r="T31"/>
  <c r="T14"/>
  <c r="Y543"/>
  <c r="Y533"/>
  <c r="Y519"/>
  <c r="Y501"/>
  <c r="Y461"/>
  <c r="Y421"/>
  <c r="Y373"/>
  <c r="Y321"/>
  <c r="Y293"/>
  <c r="Y279"/>
  <c r="Y43"/>
  <c r="T139"/>
  <c r="Y139"/>
  <c r="Y363"/>
  <c r="Y395"/>
  <c r="T1038"/>
  <c r="T1012"/>
  <c r="T990"/>
  <c r="T988"/>
  <c r="T958"/>
  <c r="T956"/>
  <c r="T893"/>
  <c r="T876"/>
  <c r="T874"/>
  <c r="T845"/>
  <c r="T841"/>
  <c r="T839"/>
  <c r="T813"/>
  <c r="T811"/>
  <c r="T807"/>
  <c r="T781"/>
  <c r="T779"/>
  <c r="T777"/>
  <c r="T749"/>
  <c r="T745"/>
  <c r="T743"/>
  <c r="T701"/>
  <c r="T697"/>
  <c r="T695"/>
  <c r="T216"/>
  <c r="Y979"/>
  <c r="Y187"/>
  <c r="Y566"/>
  <c r="Y801"/>
  <c r="Y53"/>
  <c r="Y589"/>
  <c r="Y927"/>
  <c r="Y78"/>
  <c r="Y142"/>
  <c r="Y206"/>
  <c r="Y274"/>
  <c r="Y436"/>
  <c r="Y454"/>
  <c r="Y494"/>
  <c r="Y538"/>
  <c r="Y172"/>
  <c r="Y295"/>
  <c r="Y311"/>
  <c r="Y576"/>
  <c r="Y729"/>
  <c r="Y920"/>
  <c r="Y716"/>
  <c r="Y760"/>
  <c r="Y925"/>
  <c r="Y843"/>
  <c r="Y775"/>
  <c r="Y255"/>
  <c r="Y35"/>
  <c r="T67"/>
  <c r="Y67"/>
  <c r="T99"/>
  <c r="Y99"/>
  <c r="Y227"/>
  <c r="Y259"/>
  <c r="Y355"/>
  <c r="Y483"/>
  <c r="Y515"/>
  <c r="T946"/>
  <c r="T944"/>
  <c r="T862"/>
  <c r="T834"/>
  <c r="T832"/>
  <c r="T804"/>
  <c r="T800"/>
  <c r="T772"/>
  <c r="T770"/>
  <c r="T768"/>
  <c r="T738"/>
  <c r="T721"/>
  <c r="T719"/>
  <c r="T690"/>
  <c r="T638"/>
  <c r="T600"/>
  <c r="T252"/>
  <c r="T250"/>
  <c r="T248"/>
  <c r="T229"/>
  <c r="T205"/>
  <c r="T183"/>
  <c r="T157"/>
  <c r="T152"/>
  <c r="T111"/>
  <c r="T89"/>
  <c r="T34"/>
  <c r="T22"/>
  <c r="T11"/>
  <c r="Y963"/>
  <c r="Y161"/>
  <c r="Y285"/>
  <c r="Y787"/>
  <c r="Y833"/>
  <c r="Y903"/>
  <c r="Y643"/>
  <c r="Y123"/>
  <c r="Y126"/>
  <c r="Y190"/>
  <c r="Y330"/>
  <c r="Y380"/>
  <c r="Y460"/>
  <c r="Y526"/>
  <c r="Y108"/>
  <c r="Y140"/>
  <c r="Y754"/>
  <c r="Y850"/>
  <c r="Y902"/>
  <c r="Y916"/>
  <c r="Y242"/>
  <c r="Y836"/>
  <c r="Y740"/>
  <c r="Y91"/>
  <c r="T219"/>
  <c r="Y219"/>
  <c r="Y443"/>
  <c r="Y475"/>
  <c r="Y296"/>
  <c r="Y557"/>
  <c r="Y577"/>
  <c r="Y128"/>
  <c r="Y851"/>
  <c r="Y899"/>
  <c r="T19"/>
  <c r="Y19"/>
  <c r="T33"/>
  <c r="Y33"/>
  <c r="Y612"/>
  <c r="Y138"/>
  <c r="Y280"/>
  <c r="Y711"/>
  <c r="Y96"/>
  <c r="Y826"/>
  <c r="Y943"/>
  <c r="Y54"/>
  <c r="Y621"/>
  <c r="Y1026"/>
  <c r="Y1014"/>
  <c r="Y1002"/>
  <c r="Y994"/>
  <c r="Y978"/>
  <c r="Y962"/>
  <c r="Y878"/>
  <c r="Y861"/>
  <c r="Y854"/>
  <c r="Y838"/>
  <c r="Y822"/>
  <c r="Y806"/>
  <c r="Y790"/>
  <c r="Y774"/>
  <c r="Y758"/>
  <c r="Y742"/>
  <c r="Y718"/>
  <c r="Y694"/>
  <c r="Y678"/>
  <c r="Y646"/>
  <c r="Y590"/>
  <c r="Y575"/>
  <c r="Y247"/>
  <c r="Y231"/>
  <c r="Y221"/>
  <c r="Y215"/>
  <c r="Y207"/>
  <c r="Y199"/>
  <c r="Y189"/>
  <c r="Y173"/>
  <c r="Y159"/>
  <c r="Y151"/>
  <c r="Y141"/>
  <c r="Y133"/>
  <c r="Y117"/>
  <c r="Y101"/>
  <c r="Y69"/>
  <c r="Y46"/>
  <c r="Y30"/>
  <c r="Y13"/>
  <c r="Y10"/>
  <c r="Y941"/>
  <c r="Y38"/>
  <c r="Y613"/>
  <c r="O5"/>
  <c r="T7"/>
  <c r="Y11"/>
  <c r="Y34"/>
  <c r="Y111"/>
  <c r="Y157"/>
  <c r="Y205"/>
  <c r="Y248"/>
  <c r="Y252"/>
  <c r="Y638"/>
  <c r="Y719"/>
  <c r="Y738"/>
  <c r="Y770"/>
  <c r="Y800"/>
  <c r="Y832"/>
  <c r="Y862"/>
  <c r="Y946"/>
  <c r="Y216"/>
  <c r="Y697"/>
  <c r="Y743"/>
  <c r="Y749"/>
  <c r="Y779"/>
  <c r="Y807"/>
  <c r="Y813"/>
  <c r="Y841"/>
  <c r="Y874"/>
  <c r="Y893"/>
  <c r="Y958"/>
  <c r="Y990"/>
  <c r="Y31"/>
  <c r="Y74"/>
  <c r="Y127"/>
  <c r="Y160"/>
  <c r="Y167"/>
  <c r="Y208"/>
  <c r="Y234"/>
  <c r="Y245"/>
  <c r="Y649"/>
  <c r="Y657"/>
  <c r="Y674"/>
  <c r="Y704"/>
  <c r="Y708"/>
  <c r="Y752"/>
  <c r="Y784"/>
  <c r="Y788"/>
  <c r="Y818"/>
  <c r="Y848"/>
  <c r="Y883"/>
  <c r="Y896"/>
  <c r="Y904"/>
  <c r="Y908"/>
  <c r="Y914"/>
  <c r="Y922"/>
  <c r="Y926"/>
  <c r="Y930"/>
  <c r="Y934"/>
  <c r="Y938"/>
  <c r="Y22"/>
  <c r="Y89"/>
  <c r="Y152"/>
  <c r="Y183"/>
  <c r="Y229"/>
  <c r="Y250"/>
  <c r="Y600"/>
  <c r="Y690"/>
  <c r="Y721"/>
  <c r="Y768"/>
  <c r="Y772"/>
  <c r="Y804"/>
  <c r="Y834"/>
  <c r="Y944"/>
  <c r="Y695"/>
  <c r="Y701"/>
  <c r="Y745"/>
  <c r="Y777"/>
  <c r="Y781"/>
  <c r="Y811"/>
  <c r="Y839"/>
  <c r="Y845"/>
  <c r="Y876"/>
  <c r="Y956"/>
  <c r="Y988"/>
  <c r="Y1012"/>
  <c r="Y14"/>
  <c r="Y44"/>
  <c r="Y79"/>
  <c r="Y149"/>
  <c r="Y162"/>
  <c r="Y197"/>
  <c r="Y232"/>
  <c r="Y236"/>
  <c r="Y647"/>
  <c r="Y651"/>
  <c r="Y672"/>
  <c r="Y676"/>
  <c r="Y706"/>
  <c r="Y710"/>
  <c r="Y756"/>
  <c r="Y786"/>
  <c r="Y816"/>
  <c r="Y820"/>
  <c r="Y852"/>
  <c r="Y885"/>
  <c r="Y900"/>
  <c r="Y906"/>
  <c r="Y910"/>
  <c r="Y918"/>
  <c r="Y924"/>
  <c r="Y928"/>
  <c r="Y932"/>
  <c r="Y936"/>
  <c r="Y1015"/>
  <c r="Y8"/>
  <c r="T5"/>
  <c r="Y7" l="1"/>
  <c r="Y5" s="1"/>
  <c r="X5"/>
</calcChain>
</file>

<file path=xl/comments1.xml><?xml version="1.0" encoding="utf-8"?>
<comments xmlns="http://schemas.openxmlformats.org/spreadsheetml/2006/main">
  <authors>
    <author>varavv01</author>
  </authors>
  <commentList>
    <comment ref="C6" authorId="0">
      <text>
        <r>
          <rPr>
            <b/>
            <sz val="8"/>
            <color indexed="81"/>
            <rFont val="Tahoma"/>
            <family val="2"/>
          </rPr>
          <t>varavv01:</t>
        </r>
        <r>
          <rPr>
            <sz val="8"/>
            <color indexed="81"/>
            <rFont val="Tahoma"/>
            <family val="2"/>
          </rPr>
          <t xml:space="preserve">
As per your system </t>
        </r>
      </text>
    </comment>
    <comment ref="R6" authorId="0">
      <text>
        <r>
          <rPr>
            <b/>
            <sz val="8"/>
            <color indexed="81"/>
            <rFont val="Tahoma"/>
            <family val="2"/>
          </rPr>
          <t>varavv01:</t>
        </r>
        <r>
          <rPr>
            <sz val="8"/>
            <color indexed="81"/>
            <rFont val="Tahoma"/>
            <family val="2"/>
          </rPr>
          <t xml:space="preserve">
 Please select : Y -Yes, if appliable else, N - No , or leave blank</t>
        </r>
      </text>
    </comment>
  </commentList>
</comments>
</file>

<file path=xl/sharedStrings.xml><?xml version="1.0" encoding="utf-8"?>
<sst xmlns="http://schemas.openxmlformats.org/spreadsheetml/2006/main" count="166" uniqueCount="101">
  <si>
    <t>INVNO.</t>
  </si>
  <si>
    <t>DATE</t>
  </si>
  <si>
    <t>Customer Name</t>
  </si>
  <si>
    <t>Customer Code</t>
  </si>
  <si>
    <t>Product Code</t>
  </si>
  <si>
    <t>Product Name</t>
  </si>
  <si>
    <t>Pack Size</t>
  </si>
  <si>
    <t>Qty</t>
  </si>
  <si>
    <t>Addnl Disc (Rs)</t>
  </si>
  <si>
    <t>Special Disc (Rs) If any</t>
  </si>
  <si>
    <t>Net Amt</t>
  </si>
  <si>
    <t>Commission</t>
  </si>
  <si>
    <t>Net payment to Quest</t>
  </si>
  <si>
    <t>Mandatory Field</t>
  </si>
  <si>
    <t>Formula Field</t>
  </si>
  <si>
    <t>CA Sales Statement</t>
  </si>
  <si>
    <t>Name of the CA</t>
  </si>
  <si>
    <t>Basic Price (Before Disc)</t>
  </si>
  <si>
    <t>Disc %</t>
  </si>
  <si>
    <t>Net Value (Rs)</t>
  </si>
  <si>
    <t>Inv Value</t>
  </si>
  <si>
    <t>Month</t>
  </si>
  <si>
    <t>Week 1</t>
  </si>
  <si>
    <t xml:space="preserve">Week 2 </t>
  </si>
  <si>
    <t xml:space="preserve">Week 3 </t>
  </si>
  <si>
    <t>Week 4</t>
  </si>
  <si>
    <t>Week 5</t>
  </si>
  <si>
    <t xml:space="preserve">From </t>
  </si>
  <si>
    <t>To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</si>
  <si>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</si>
  <si>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</si>
  <si>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</si>
  <si>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</si>
  <si>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</si>
  <si>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</si>
  <si>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</si>
  <si>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</si>
  <si>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</si>
  <si>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</si>
  <si>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</si>
  <si>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</si>
  <si>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</si>
  <si>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</si>
  <si>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</si>
  <si>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</si>
  <si>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</si>
  <si>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</si>
  <si>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</si>
  <si>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</si>
  <si>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</si>
  <si>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</si>
  <si>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</si>
  <si>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</si>
  <si>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</si>
  <si>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</si>
  <si>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WK27</t>
  </si>
  <si>
    <t>WK28</t>
  </si>
  <si>
    <t>WK29</t>
  </si>
  <si>
    <t>WK30</t>
  </si>
  <si>
    <t>WK31</t>
  </si>
  <si>
    <t>WK32</t>
  </si>
  <si>
    <t>WK33</t>
  </si>
  <si>
    <t>WK34</t>
  </si>
  <si>
    <t>WK35</t>
  </si>
  <si>
    <t>WK36</t>
  </si>
  <si>
    <t>WK37</t>
  </si>
  <si>
    <t>WK38</t>
  </si>
  <si>
    <t>WK39</t>
  </si>
  <si>
    <t>WK40</t>
  </si>
  <si>
    <t>WK41</t>
  </si>
  <si>
    <t>WK42</t>
  </si>
  <si>
    <t>WK43</t>
  </si>
  <si>
    <t>WK44</t>
  </si>
  <si>
    <t>WK45</t>
  </si>
  <si>
    <t>WK46</t>
  </si>
  <si>
    <t>WK47</t>
  </si>
  <si>
    <t>WK48</t>
  </si>
  <si>
    <t>WK49</t>
  </si>
  <si>
    <t>WK50</t>
  </si>
  <si>
    <t>WK51</t>
  </si>
  <si>
    <t>WK52</t>
  </si>
  <si>
    <t>WK53</t>
  </si>
  <si>
    <t>WK Ref</t>
  </si>
  <si>
    <t>Dt From</t>
  </si>
  <si>
    <t>Dt To</t>
  </si>
  <si>
    <t>Week Reference</t>
  </si>
  <si>
    <t>Rate per unit</t>
  </si>
  <si>
    <t>Total</t>
  </si>
  <si>
    <t>Place</t>
  </si>
  <si>
    <t>unit Ltr/Kgs</t>
  </si>
  <si>
    <t>BATCH #</t>
  </si>
  <si>
    <t>Wk #</t>
  </si>
  <si>
    <t>Week End</t>
  </si>
  <si>
    <t>Addn Edu Case</t>
  </si>
  <si>
    <t>Sap No</t>
  </si>
  <si>
    <t>CN AMOUNT</t>
  </si>
  <si>
    <t>Price List Name</t>
  </si>
  <si>
    <t>IGST</t>
  </si>
  <si>
    <t>CGST</t>
  </si>
  <si>
    <t>SGST</t>
  </si>
  <si>
    <t>Price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</si>
</sst>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0.000"/>
  </numFmts>
  <fonts count="16">
    <font>
      <sz val="10"/>
      <name val="Arial"/>
    </font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10"/>
      <color indexed="18"/>
      <name val="Arial"/>
      <family val="2"/>
    </font>
    <font>
      <sz val="10"/>
      <name val="Arial"/>
      <family val="2"/>
    </font>
    <font>
      <b/>
      <sz val="10"/>
      <color indexed="45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10"/>
      <color indexed="17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2">
    <xf numFmtId="0" fontId="0" fillId="0" borderId="0" xfId="0"/>
    <xf numFmtId="164" fontId="0" fillId="0" borderId="0" xfId="1" applyFont="1"/>
    <xf numFmtId="0" fontId="0" fillId="2" borderId="1" xfId="0" applyFill="1" applyBorder="1"/>
    <xf numFmtId="0" fontId="4" fillId="0" borderId="2" xfId="0" applyFont="1" applyBorder="1" applyAlignment="1">
      <alignment horizontal="center"/>
    </xf>
    <xf numFmtId="0" fontId="7" fillId="0" borderId="3" xfId="0" applyFont="1" applyBorder="1"/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17" fontId="8" fillId="3" borderId="3" xfId="0" applyNumberFormat="1" applyFont="1" applyFill="1" applyBorder="1" applyAlignment="1">
      <alignment vertical="center"/>
    </xf>
    <xf numFmtId="15" fontId="4" fillId="3" borderId="4" xfId="0" applyNumberFormat="1" applyFont="1" applyFill="1" applyBorder="1" applyAlignment="1">
      <alignment vertical="center"/>
    </xf>
    <xf numFmtId="15" fontId="4" fillId="3" borderId="5" xfId="0" applyNumberFormat="1" applyFont="1" applyFill="1" applyBorder="1" applyAlignment="1">
      <alignment vertical="center"/>
    </xf>
    <xf numFmtId="17" fontId="8" fillId="4" borderId="3" xfId="0" applyNumberFormat="1" applyFont="1" applyFill="1" applyBorder="1" applyAlignment="1">
      <alignment vertical="center"/>
    </xf>
    <xf numFmtId="15" fontId="4" fillId="4" borderId="4" xfId="0" applyNumberFormat="1" applyFont="1" applyFill="1" applyBorder="1" applyAlignment="1">
      <alignment vertical="center"/>
    </xf>
    <xf numFmtId="15" fontId="4" fillId="4" borderId="5" xfId="0" applyNumberFormat="1" applyFont="1" applyFill="1" applyBorder="1" applyAlignment="1">
      <alignment vertical="center"/>
    </xf>
    <xf numFmtId="15" fontId="4" fillId="0" borderId="4" xfId="0" applyNumberFormat="1" applyFont="1" applyFill="1" applyBorder="1" applyAlignment="1">
      <alignment vertical="center"/>
    </xf>
    <xf numFmtId="15" fontId="4" fillId="0" borderId="5" xfId="0" applyNumberFormat="1" applyFont="1" applyFill="1" applyBorder="1" applyAlignment="1">
      <alignment vertical="center"/>
    </xf>
    <xf numFmtId="17" fontId="8" fillId="5" borderId="3" xfId="0" applyNumberFormat="1" applyFont="1" applyFill="1" applyBorder="1" applyAlignment="1">
      <alignment vertical="center"/>
    </xf>
    <xf numFmtId="15" fontId="4" fillId="5" borderId="4" xfId="0" applyNumberFormat="1" applyFont="1" applyFill="1" applyBorder="1" applyAlignment="1">
      <alignment vertical="center"/>
    </xf>
    <xf numFmtId="15" fontId="4" fillId="5" borderId="5" xfId="0" applyNumberFormat="1" applyFont="1" applyFill="1" applyBorder="1" applyAlignment="1">
      <alignment vertical="center"/>
    </xf>
    <xf numFmtId="0" fontId="6" fillId="6" borderId="2" xfId="0" applyFont="1" applyFill="1" applyBorder="1" applyAlignment="1">
      <alignment horizontal="center"/>
    </xf>
    <xf numFmtId="0" fontId="6" fillId="6" borderId="7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15" fontId="0" fillId="0" borderId="0" xfId="0" applyNumberFormat="1" applyAlignment="1">
      <alignment horizontal="left"/>
    </xf>
    <xf numFmtId="15" fontId="0" fillId="3" borderId="1" xfId="0" applyNumberFormat="1" applyFill="1" applyBorder="1" applyAlignment="1">
      <alignment horizontal="left"/>
    </xf>
    <xf numFmtId="15" fontId="0" fillId="4" borderId="1" xfId="0" applyNumberFormat="1" applyFill="1" applyBorder="1" applyAlignment="1">
      <alignment horizontal="left"/>
    </xf>
    <xf numFmtId="15" fontId="0" fillId="5" borderId="1" xfId="0" applyNumberFormat="1" applyFill="1" applyBorder="1" applyAlignment="1">
      <alignment horizontal="left"/>
    </xf>
    <xf numFmtId="15" fontId="9" fillId="0" borderId="0" xfId="0" applyNumberFormat="1" applyFont="1" applyAlignment="1">
      <alignment horizontal="left"/>
    </xf>
    <xf numFmtId="15" fontId="9" fillId="3" borderId="5" xfId="0" applyNumberFormat="1" applyFont="1" applyFill="1" applyBorder="1" applyAlignment="1">
      <alignment vertical="center"/>
    </xf>
    <xf numFmtId="15" fontId="9" fillId="4" borderId="5" xfId="0" applyNumberFormat="1" applyFont="1" applyFill="1" applyBorder="1" applyAlignment="1">
      <alignment vertical="center"/>
    </xf>
    <xf numFmtId="15" fontId="9" fillId="5" borderId="5" xfId="0" applyNumberFormat="1" applyFont="1" applyFill="1" applyBorder="1" applyAlignment="1">
      <alignment vertical="center"/>
    </xf>
    <xf numFmtId="0" fontId="10" fillId="8" borderId="0" xfId="0" applyFont="1" applyFill="1" applyAlignment="1">
      <alignment horizontal="center"/>
    </xf>
    <xf numFmtId="15" fontId="10" fillId="8" borderId="0" xfId="0" applyNumberFormat="1" applyFont="1" applyFill="1" applyAlignment="1">
      <alignment horizontal="center"/>
    </xf>
    <xf numFmtId="164" fontId="12" fillId="9" borderId="1" xfId="1" applyFont="1" applyFill="1" applyBorder="1" applyAlignment="1" applyProtection="1">
      <alignment horizontal="center" vertical="top" wrapText="1"/>
    </xf>
    <xf numFmtId="165" fontId="12" fillId="9" borderId="1" xfId="1" applyNumberFormat="1" applyFont="1" applyFill="1" applyBorder="1" applyAlignment="1" applyProtection="1">
      <alignment horizontal="center" vertical="top" wrapText="1"/>
    </xf>
    <xf numFmtId="0" fontId="12" fillId="9" borderId="1" xfId="0" applyFont="1" applyFill="1" applyBorder="1" applyAlignment="1" applyProtection="1">
      <alignment horizontal="center" vertical="top" wrapText="1"/>
    </xf>
    <xf numFmtId="15" fontId="12" fillId="9" borderId="1" xfId="0" applyNumberFormat="1" applyFont="1" applyFill="1" applyBorder="1" applyAlignment="1" applyProtection="1">
      <alignment horizontal="center" vertical="top" wrapText="1"/>
    </xf>
    <xf numFmtId="0" fontId="12" fillId="0" borderId="0" xfId="0" applyFont="1" applyAlignment="1" applyProtection="1">
      <alignment horizontal="center" vertical="top" wrapText="1"/>
    </xf>
    <xf numFmtId="0" fontId="5" fillId="0" borderId="0" xfId="0" applyFont="1" applyProtection="1"/>
    <xf numFmtId="15" fontId="4" fillId="0" borderId="0" xfId="0" applyNumberFormat="1" applyFont="1" applyFill="1" applyProtection="1"/>
    <xf numFmtId="164" fontId="13" fillId="0" borderId="0" xfId="1" applyFont="1" applyProtection="1"/>
    <xf numFmtId="165" fontId="13" fillId="2" borderId="1" xfId="1" applyNumberFormat="1" applyFont="1" applyFill="1" applyBorder="1" applyProtection="1">
      <protection locked="0"/>
    </xf>
    <xf numFmtId="164" fontId="13" fillId="10" borderId="1" xfId="1" applyFont="1" applyFill="1" applyBorder="1" applyProtection="1"/>
    <xf numFmtId="0" fontId="13" fillId="0" borderId="0" xfId="0" applyFont="1" applyProtection="1">
      <protection locked="0"/>
    </xf>
    <xf numFmtId="15" fontId="13" fillId="0" borderId="0" xfId="0" applyNumberFormat="1" applyFont="1" applyProtection="1">
      <protection locked="0"/>
    </xf>
    <xf numFmtId="165" fontId="13" fillId="0" borderId="0" xfId="1" applyNumberFormat="1" applyFont="1" applyProtection="1">
      <protection locked="0"/>
    </xf>
    <xf numFmtId="15" fontId="9" fillId="0" borderId="0" xfId="0" applyNumberFormat="1" applyFont="1" applyProtection="1"/>
    <xf numFmtId="0" fontId="9" fillId="0" borderId="0" xfId="0" applyFont="1" applyProtection="1"/>
    <xf numFmtId="0" fontId="9" fillId="0" borderId="0" xfId="0" applyFont="1" applyFill="1" applyProtection="1"/>
    <xf numFmtId="0" fontId="9" fillId="2" borderId="0" xfId="0" applyFont="1" applyFill="1" applyProtection="1"/>
    <xf numFmtId="165" fontId="9" fillId="0" borderId="0" xfId="1" applyNumberFormat="1" applyFont="1" applyProtection="1"/>
    <xf numFmtId="164" fontId="9" fillId="0" borderId="0" xfId="1" applyFont="1" applyProtection="1"/>
    <xf numFmtId="0" fontId="9" fillId="10" borderId="0" xfId="0" applyFont="1" applyFill="1" applyProtection="1"/>
    <xf numFmtId="15" fontId="9" fillId="0" borderId="0" xfId="0" applyNumberFormat="1" applyFont="1" applyFill="1" applyProtection="1"/>
    <xf numFmtId="166" fontId="13" fillId="2" borderId="1" xfId="2" applyNumberFormat="1" applyFont="1" applyFill="1" applyBorder="1" applyProtection="1">
      <protection locked="0"/>
    </xf>
    <xf numFmtId="166" fontId="13" fillId="0" borderId="0" xfId="2" applyNumberFormat="1" applyFont="1" applyProtection="1">
      <protection locked="0"/>
    </xf>
    <xf numFmtId="9" fontId="12" fillId="0" borderId="0" xfId="1" applyNumberFormat="1" applyFont="1" applyProtection="1"/>
    <xf numFmtId="166" fontId="12" fillId="0" borderId="0" xfId="2" applyNumberFormat="1" applyFont="1" applyProtection="1"/>
    <xf numFmtId="0" fontId="14" fillId="0" borderId="0" xfId="0" applyFont="1" applyProtection="1"/>
    <xf numFmtId="15" fontId="14" fillId="0" borderId="0" xfId="0" applyNumberFormat="1" applyFont="1" applyProtection="1"/>
    <xf numFmtId="165" fontId="14" fillId="0" borderId="0" xfId="1" applyNumberFormat="1" applyFont="1" applyProtection="1"/>
    <xf numFmtId="0" fontId="4" fillId="0" borderId="0" xfId="0" applyFont="1" applyProtection="1"/>
    <xf numFmtId="164" fontId="14" fillId="0" borderId="0" xfId="1" applyFont="1" applyProtection="1"/>
    <xf numFmtId="0" fontId="11" fillId="0" borderId="0" xfId="0" applyFont="1" applyFill="1" applyProtection="1"/>
    <xf numFmtId="0" fontId="4" fillId="0" borderId="0" xfId="0" applyFont="1" applyFill="1" applyProtection="1"/>
    <xf numFmtId="0" fontId="15" fillId="11" borderId="10" xfId="0" applyFont="1" applyFill="1" applyBorder="1" applyProtection="1">
      <protection locked="0"/>
    </xf>
    <xf numFmtId="0" fontId="9" fillId="0" borderId="11" xfId="0" applyFont="1" applyBorder="1" applyProtection="1"/>
    <xf numFmtId="15" fontId="5" fillId="0" borderId="12" xfId="0" applyNumberFormat="1" applyFont="1" applyBorder="1" applyAlignment="1" applyProtection="1">
      <alignment horizontal="center"/>
    </xf>
    <xf numFmtId="0" fontId="4" fillId="11" borderId="12" xfId="0" applyFont="1" applyFill="1" applyBorder="1" applyProtection="1">
      <protection locked="0"/>
    </xf>
    <xf numFmtId="49" fontId="9" fillId="0" borderId="0" xfId="1" applyNumberFormat="1" applyFont="1" applyProtection="1">
      <protection locked="0"/>
    </xf>
    <xf numFmtId="49" fontId="14" fillId="0" borderId="0" xfId="1" applyNumberFormat="1" applyFont="1" applyProtection="1">
      <protection locked="0"/>
    </xf>
    <xf numFmtId="49" fontId="12" fillId="9" borderId="1" xfId="1" applyNumberFormat="1" applyFont="1" applyFill="1" applyBorder="1" applyAlignment="1" applyProtection="1">
      <alignment horizontal="center" vertical="top" wrapText="1"/>
      <protection locked="0"/>
    </xf>
    <xf numFmtId="49" fontId="13" fillId="0" borderId="0" xfId="1" applyNumberFormat="1" applyFont="1" applyProtection="1">
      <protection locked="0"/>
    </xf>
    <xf numFmtId="166" fontId="12" fillId="0" borderId="0" xfId="2" applyNumberFormat="1" applyFont="1" applyAlignment="1" applyProtection="1">
      <alignment horizontal="center"/>
    </xf>
    <xf numFmtId="164" fontId="9" fillId="0" borderId="0" xfId="1" applyFont="1" applyAlignment="1" applyProtection="1">
      <alignment horizontal="center"/>
    </xf>
    <xf numFmtId="164" fontId="13" fillId="0" borderId="0" xfId="1" applyFont="1" applyAlignment="1" applyProtection="1">
      <alignment horizontal="center"/>
    </xf>
    <xf numFmtId="0" fontId="0" fillId="0" borderId="0" xfId="0" applyProtection="1">
      <protection locked="0"/>
    </xf>
    <xf numFmtId="164" fontId="13" fillId="10" borderId="13" xfId="1" applyFont="1" applyFill="1" applyBorder="1" applyProtection="1"/>
    <xf numFmtId="14" fontId="0" fillId="0" borderId="0" xfId="0" applyNumberFormat="1"/>
    <xf numFmtId="166" fontId="9" fillId="0" borderId="0" xfId="2" applyNumberFormat="1" applyFont="1" applyProtection="1">
      <protection locked="0"/>
    </xf>
    <xf numFmtId="166" fontId="14" fillId="0" borderId="0" xfId="2" applyNumberFormat="1" applyFont="1" applyProtection="1">
      <protection locked="0"/>
    </xf>
    <xf numFmtId="166" fontId="12" fillId="9" borderId="1" xfId="2" applyNumberFormat="1" applyFont="1" applyFill="1" applyBorder="1" applyAlignment="1" applyProtection="1">
      <alignment horizontal="center" vertical="top" wrapText="1"/>
      <protection locked="0"/>
    </xf>
    <xf numFmtId="164" fontId="13" fillId="10" borderId="0" xfId="1" applyFont="1" applyFill="1" applyBorder="1" applyProtection="1"/>
    <xf numFmtId="49" fontId="12" fillId="12" borderId="1" xfId="1" applyNumberFormat="1" applyFont="1" applyFill="1" applyBorder="1" applyAlignment="1" applyProtection="1">
      <alignment horizontal="center" vertical="top" wrapText="1"/>
      <protection locked="0"/>
    </xf>
    <xf numFmtId="0" fontId="12" fillId="12" borderId="0" xfId="0" applyFont="1" applyFill="1" applyAlignment="1" applyProtection="1">
      <alignment horizontal="center" vertical="top" wrapText="1"/>
    </xf>
    <xf numFmtId="2" fontId="9" fillId="0" borderId="0" xfId="1" applyNumberFormat="1" applyFont="1" applyProtection="1"/>
    <xf numFmtId="2" fontId="14" fillId="0" borderId="0" xfId="1" applyNumberFormat="1" applyFont="1" applyProtection="1"/>
    <xf numFmtId="2" fontId="12" fillId="9" borderId="1" xfId="1" applyNumberFormat="1" applyFont="1" applyFill="1" applyBorder="1" applyAlignment="1" applyProtection="1">
      <alignment horizontal="center" vertical="top" wrapText="1"/>
    </xf>
    <xf numFmtId="2" fontId="13" fillId="10" borderId="1" xfId="1" applyNumberFormat="1" applyFont="1" applyFill="1" applyBorder="1" applyProtection="1"/>
    <xf numFmtId="2" fontId="13" fillId="0" borderId="0" xfId="1" applyNumberFormat="1" applyFont="1" applyProtection="1"/>
    <xf numFmtId="2" fontId="9" fillId="0" borderId="0" xfId="0" applyNumberFormat="1" applyFont="1" applyProtection="1"/>
    <xf numFmtId="2" fontId="14" fillId="0" borderId="0" xfId="0" applyNumberFormat="1" applyFont="1" applyProtection="1"/>
    <xf numFmtId="2" fontId="12" fillId="9" borderId="1" xfId="0" applyNumberFormat="1" applyFont="1" applyFill="1" applyBorder="1" applyAlignment="1" applyProtection="1">
      <alignment horizontal="center" vertical="top" wrapText="1"/>
    </xf>
    <xf numFmtId="2" fontId="0" fillId="0" borderId="0" xfId="0" applyNumberFormat="1"/>
    <xf numFmtId="2" fontId="13" fillId="0" borderId="0" xfId="0" applyNumberFormat="1" applyFont="1" applyProtection="1">
      <protection locked="0"/>
    </xf>
    <xf numFmtId="167" fontId="9" fillId="0" borderId="0" xfId="1" applyNumberFormat="1" applyFont="1" applyProtection="1"/>
    <xf numFmtId="167" fontId="14" fillId="0" borderId="0" xfId="1" applyNumberFormat="1" applyFont="1" applyProtection="1"/>
    <xf numFmtId="167" fontId="12" fillId="9" borderId="1" xfId="1" applyNumberFormat="1" applyFont="1" applyFill="1" applyBorder="1" applyAlignment="1" applyProtection="1">
      <alignment horizontal="center" vertical="top" wrapText="1"/>
    </xf>
    <xf numFmtId="167" fontId="13" fillId="10" borderId="1" xfId="1" applyNumberFormat="1" applyFont="1" applyFill="1" applyBorder="1" applyProtection="1"/>
    <xf numFmtId="167" fontId="13" fillId="0" borderId="0" xfId="1" applyNumberFormat="1" applyFont="1" applyProtection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ndense val="0"/>
        <extend val="0"/>
        <color indexed="26"/>
      </font>
      <fill>
        <patternFill>
          <bgColor indexed="8"/>
        </patternFill>
      </fill>
    </dxf>
    <dxf>
      <font>
        <b/>
        <i val="0"/>
        <condense val="0"/>
        <extend val="0"/>
        <color indexed="8"/>
      </font>
      <fill>
        <patternFill>
          <bgColor indexed="1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4:P57"/>
  <sheetViews>
    <sheetView showGridLines="0" workbookViewId="0">
      <selection activeCell="C11" sqref="C11"/>
    </sheetView>
  </sheetViews>
  <sheetFormatPr defaultRowHeight="12.75"/>
  <cols>
    <col min="3" max="3" width="12" style="25" customWidth="1"/>
    <col min="4" max="4" width="12" style="29" customWidth="1"/>
    <col min="6" max="6" width="7.28515625" bestFit="1" customWidth="1"/>
    <col min="7" max="13" width="9.85546875" bestFit="1" customWidth="1"/>
    <col min="14" max="14" width="9.7109375" bestFit="1" customWidth="1"/>
    <col min="15" max="15" width="9.5703125" bestFit="1" customWidth="1"/>
    <col min="16" max="16" width="9.85546875" bestFit="1" customWidth="1"/>
  </cols>
  <sheetData>
    <row r="4" spans="2:16" ht="13.5" thickBot="1">
      <c r="B4" s="33" t="s">
        <v>82</v>
      </c>
      <c r="C4" s="34" t="s">
        <v>83</v>
      </c>
      <c r="D4" s="34" t="s">
        <v>84</v>
      </c>
    </row>
    <row r="5" spans="2:16">
      <c r="B5" s="2" t="s">
        <v>29</v>
      </c>
      <c r="C5" s="26">
        <v>39083</v>
      </c>
      <c r="D5" s="30">
        <v>39087</v>
      </c>
      <c r="F5" s="3" t="s">
        <v>21</v>
      </c>
      <c r="G5" s="19" t="s">
        <v>22</v>
      </c>
      <c r="H5" s="20"/>
      <c r="I5" s="21" t="s">
        <v>23</v>
      </c>
      <c r="J5" s="22"/>
      <c r="K5" s="19" t="s">
        <v>24</v>
      </c>
      <c r="L5" s="20"/>
      <c r="M5" s="21" t="s">
        <v>25</v>
      </c>
      <c r="N5" s="22"/>
      <c r="O5" s="23" t="s">
        <v>26</v>
      </c>
      <c r="P5" s="24"/>
    </row>
    <row r="6" spans="2:16">
      <c r="B6" s="2" t="s">
        <v>30</v>
      </c>
      <c r="C6" s="26">
        <f>+D5+1</f>
        <v>39088</v>
      </c>
      <c r="D6" s="30">
        <f t="shared" ref="D6:D16" si="0">+C6+6</f>
        <v>39094</v>
      </c>
      <c r="E6" s="1"/>
      <c r="F6" s="4"/>
      <c r="G6" s="5" t="s">
        <v>27</v>
      </c>
      <c r="H6" s="6" t="s">
        <v>28</v>
      </c>
      <c r="I6" s="5" t="s">
        <v>27</v>
      </c>
      <c r="J6" s="6" t="s">
        <v>28</v>
      </c>
      <c r="K6" s="5" t="s">
        <v>27</v>
      </c>
      <c r="L6" s="6" t="s">
        <v>28</v>
      </c>
      <c r="M6" s="5" t="s">
        <v>27</v>
      </c>
      <c r="N6" s="6" t="s">
        <v>28</v>
      </c>
      <c r="O6" s="7" t="s">
        <v>27</v>
      </c>
      <c r="P6" s="6" t="s">
        <v>28</v>
      </c>
    </row>
    <row r="7" spans="2:16">
      <c r="B7" s="2" t="s">
        <v>31</v>
      </c>
      <c r="C7" s="26">
        <f t="shared" ref="C7:C57" si="1">+D6+1</f>
        <v>39095</v>
      </c>
      <c r="D7" s="30">
        <f t="shared" si="0"/>
        <v>39101</v>
      </c>
      <c r="E7" s="1"/>
      <c r="F7" s="8">
        <v>39086</v>
      </c>
      <c r="G7" s="9">
        <v>39083</v>
      </c>
      <c r="H7" s="10">
        <v>39087</v>
      </c>
      <c r="I7" s="9">
        <f>+H7+1</f>
        <v>39088</v>
      </c>
      <c r="J7" s="10">
        <f t="shared" ref="J7:J18" si="2">+I7+6</f>
        <v>39094</v>
      </c>
      <c r="K7" s="9">
        <f>+J7+1</f>
        <v>39095</v>
      </c>
      <c r="L7" s="10">
        <f t="shared" ref="L7:L18" si="3">+K7+6</f>
        <v>39101</v>
      </c>
      <c r="M7" s="9">
        <f>+L7+1</f>
        <v>39102</v>
      </c>
      <c r="N7" s="10">
        <f t="shared" ref="N7:N17" si="4">+M7+6</f>
        <v>39108</v>
      </c>
      <c r="O7" s="9">
        <f>+N7+1</f>
        <v>39109</v>
      </c>
      <c r="P7" s="10">
        <f>+O7+6</f>
        <v>39115</v>
      </c>
    </row>
    <row r="8" spans="2:16">
      <c r="B8" s="2" t="s">
        <v>32</v>
      </c>
      <c r="C8" s="26">
        <f t="shared" si="1"/>
        <v>39102</v>
      </c>
      <c r="D8" s="30">
        <f t="shared" si="0"/>
        <v>39108</v>
      </c>
      <c r="E8" s="1"/>
      <c r="F8" s="11">
        <v>39117</v>
      </c>
      <c r="G8" s="12">
        <f>+P7+1</f>
        <v>39116</v>
      </c>
      <c r="H8" s="13">
        <f>+G8+6</f>
        <v>39122</v>
      </c>
      <c r="I8" s="12">
        <f t="shared" ref="I8:I18" si="5">+H8+1</f>
        <v>39123</v>
      </c>
      <c r="J8" s="13">
        <f t="shared" si="2"/>
        <v>39129</v>
      </c>
      <c r="K8" s="12">
        <f t="shared" ref="K8:K18" si="6">+J8+1</f>
        <v>39130</v>
      </c>
      <c r="L8" s="13">
        <f t="shared" si="3"/>
        <v>39136</v>
      </c>
      <c r="M8" s="12">
        <f t="shared" ref="M8:M18" si="7">+L8+1</f>
        <v>39137</v>
      </c>
      <c r="N8" s="13">
        <f t="shared" si="4"/>
        <v>39143</v>
      </c>
      <c r="O8" s="14"/>
      <c r="P8" s="15"/>
    </row>
    <row r="9" spans="2:16">
      <c r="B9" s="2" t="s">
        <v>33</v>
      </c>
      <c r="C9" s="26">
        <f t="shared" si="1"/>
        <v>39109</v>
      </c>
      <c r="D9" s="30">
        <f t="shared" si="0"/>
        <v>39115</v>
      </c>
      <c r="E9" s="1"/>
      <c r="F9" s="16">
        <v>39145</v>
      </c>
      <c r="G9" s="17">
        <f>+N8+1</f>
        <v>39144</v>
      </c>
      <c r="H9" s="18">
        <f>+G9+6</f>
        <v>39150</v>
      </c>
      <c r="I9" s="17">
        <f>+H9+1</f>
        <v>39151</v>
      </c>
      <c r="J9" s="18">
        <f t="shared" si="2"/>
        <v>39157</v>
      </c>
      <c r="K9" s="17">
        <f t="shared" si="6"/>
        <v>39158</v>
      </c>
      <c r="L9" s="18">
        <f t="shared" si="3"/>
        <v>39164</v>
      </c>
      <c r="M9" s="17">
        <f t="shared" si="7"/>
        <v>39165</v>
      </c>
      <c r="N9" s="18">
        <f>+M9+7</f>
        <v>39172</v>
      </c>
      <c r="O9" s="14"/>
      <c r="P9" s="15"/>
    </row>
    <row r="10" spans="2:16">
      <c r="B10" s="2" t="s">
        <v>34</v>
      </c>
      <c r="C10" s="27">
        <f t="shared" si="1"/>
        <v>39116</v>
      </c>
      <c r="D10" s="31">
        <f t="shared" si="0"/>
        <v>39122</v>
      </c>
      <c r="E10" s="1"/>
      <c r="F10" s="8">
        <v>39176</v>
      </c>
      <c r="G10" s="9">
        <f>+N9+1</f>
        <v>39173</v>
      </c>
      <c r="H10" s="10">
        <f>+G10+5</f>
        <v>39178</v>
      </c>
      <c r="I10" s="9">
        <f t="shared" si="5"/>
        <v>39179</v>
      </c>
      <c r="J10" s="10">
        <f t="shared" si="2"/>
        <v>39185</v>
      </c>
      <c r="K10" s="9">
        <f t="shared" si="6"/>
        <v>39186</v>
      </c>
      <c r="L10" s="10">
        <f t="shared" si="3"/>
        <v>39192</v>
      </c>
      <c r="M10" s="9">
        <f t="shared" si="7"/>
        <v>39193</v>
      </c>
      <c r="N10" s="10">
        <f t="shared" si="4"/>
        <v>39199</v>
      </c>
      <c r="O10" s="9">
        <f>+N10+1</f>
        <v>39200</v>
      </c>
      <c r="P10" s="10">
        <f>+O10+6</f>
        <v>39206</v>
      </c>
    </row>
    <row r="11" spans="2:16">
      <c r="B11" s="2" t="s">
        <v>35</v>
      </c>
      <c r="C11" s="27">
        <f t="shared" si="1"/>
        <v>39123</v>
      </c>
      <c r="D11" s="31">
        <f t="shared" si="0"/>
        <v>39129</v>
      </c>
      <c r="E11" s="1"/>
      <c r="F11" s="11">
        <v>39206</v>
      </c>
      <c r="G11" s="12">
        <f>+P10+1</f>
        <v>39207</v>
      </c>
      <c r="H11" s="13">
        <f t="shared" ref="H11:H18" si="8">+G11+6</f>
        <v>39213</v>
      </c>
      <c r="I11" s="12">
        <f t="shared" si="5"/>
        <v>39214</v>
      </c>
      <c r="J11" s="13">
        <f t="shared" si="2"/>
        <v>39220</v>
      </c>
      <c r="K11" s="12">
        <f t="shared" si="6"/>
        <v>39221</v>
      </c>
      <c r="L11" s="13">
        <f t="shared" si="3"/>
        <v>39227</v>
      </c>
      <c r="M11" s="12">
        <f t="shared" si="7"/>
        <v>39228</v>
      </c>
      <c r="N11" s="13">
        <f t="shared" si="4"/>
        <v>39234</v>
      </c>
      <c r="O11" s="14"/>
      <c r="P11" s="15"/>
    </row>
    <row r="12" spans="2:16">
      <c r="B12" s="2" t="s">
        <v>36</v>
      </c>
      <c r="C12" s="27">
        <f t="shared" si="1"/>
        <v>39130</v>
      </c>
      <c r="D12" s="31">
        <f t="shared" si="0"/>
        <v>39136</v>
      </c>
      <c r="E12" s="1"/>
      <c r="F12" s="16">
        <v>39237</v>
      </c>
      <c r="G12" s="17">
        <f>+N11+1</f>
        <v>39235</v>
      </c>
      <c r="H12" s="18">
        <f t="shared" si="8"/>
        <v>39241</v>
      </c>
      <c r="I12" s="17">
        <f t="shared" si="5"/>
        <v>39242</v>
      </c>
      <c r="J12" s="18">
        <f t="shared" si="2"/>
        <v>39248</v>
      </c>
      <c r="K12" s="17">
        <f t="shared" si="6"/>
        <v>39249</v>
      </c>
      <c r="L12" s="18">
        <f t="shared" si="3"/>
        <v>39255</v>
      </c>
      <c r="M12" s="17">
        <f t="shared" si="7"/>
        <v>39256</v>
      </c>
      <c r="N12" s="18">
        <f t="shared" si="4"/>
        <v>39262</v>
      </c>
      <c r="O12" s="14"/>
      <c r="P12" s="15"/>
    </row>
    <row r="13" spans="2:16">
      <c r="B13" s="2" t="s">
        <v>37</v>
      </c>
      <c r="C13" s="27">
        <f t="shared" si="1"/>
        <v>39137</v>
      </c>
      <c r="D13" s="31">
        <f t="shared" si="0"/>
        <v>39143</v>
      </c>
      <c r="E13" s="1"/>
      <c r="F13" s="8">
        <v>39267</v>
      </c>
      <c r="G13" s="9">
        <f>+N12+1</f>
        <v>39263</v>
      </c>
      <c r="H13" s="10">
        <f t="shared" si="8"/>
        <v>39269</v>
      </c>
      <c r="I13" s="9">
        <f t="shared" si="5"/>
        <v>39270</v>
      </c>
      <c r="J13" s="10">
        <f t="shared" si="2"/>
        <v>39276</v>
      </c>
      <c r="K13" s="9">
        <f t="shared" si="6"/>
        <v>39277</v>
      </c>
      <c r="L13" s="10">
        <f t="shared" si="3"/>
        <v>39283</v>
      </c>
      <c r="M13" s="9">
        <f t="shared" si="7"/>
        <v>39284</v>
      </c>
      <c r="N13" s="10">
        <f t="shared" si="4"/>
        <v>39290</v>
      </c>
      <c r="O13" s="9">
        <f>+N13+1</f>
        <v>39291</v>
      </c>
      <c r="P13" s="10">
        <f>+O13+6</f>
        <v>39297</v>
      </c>
    </row>
    <row r="14" spans="2:16">
      <c r="B14" s="2" t="s">
        <v>38</v>
      </c>
      <c r="C14" s="28">
        <f t="shared" si="1"/>
        <v>39144</v>
      </c>
      <c r="D14" s="32">
        <f t="shared" si="0"/>
        <v>39150</v>
      </c>
      <c r="E14" s="1"/>
      <c r="F14" s="11">
        <v>39298</v>
      </c>
      <c r="G14" s="12">
        <f>+P13+1</f>
        <v>39298</v>
      </c>
      <c r="H14" s="13">
        <f t="shared" si="8"/>
        <v>39304</v>
      </c>
      <c r="I14" s="12">
        <f t="shared" si="5"/>
        <v>39305</v>
      </c>
      <c r="J14" s="13">
        <f t="shared" si="2"/>
        <v>39311</v>
      </c>
      <c r="K14" s="12">
        <f t="shared" si="6"/>
        <v>39312</v>
      </c>
      <c r="L14" s="13">
        <f t="shared" si="3"/>
        <v>39318</v>
      </c>
      <c r="M14" s="12">
        <f t="shared" si="7"/>
        <v>39319</v>
      </c>
      <c r="N14" s="13">
        <f t="shared" si="4"/>
        <v>39325</v>
      </c>
      <c r="O14" s="14"/>
      <c r="P14" s="15"/>
    </row>
    <row r="15" spans="2:16">
      <c r="B15" s="2" t="s">
        <v>39</v>
      </c>
      <c r="C15" s="28">
        <f t="shared" si="1"/>
        <v>39151</v>
      </c>
      <c r="D15" s="32">
        <f t="shared" si="0"/>
        <v>39157</v>
      </c>
      <c r="E15" s="1"/>
      <c r="F15" s="16">
        <v>39329</v>
      </c>
      <c r="G15" s="17">
        <f>+N14+1</f>
        <v>39326</v>
      </c>
      <c r="H15" s="18">
        <f t="shared" si="8"/>
        <v>39332</v>
      </c>
      <c r="I15" s="17">
        <f t="shared" si="5"/>
        <v>39333</v>
      </c>
      <c r="J15" s="18">
        <f t="shared" si="2"/>
        <v>39339</v>
      </c>
      <c r="K15" s="17">
        <f t="shared" si="6"/>
        <v>39340</v>
      </c>
      <c r="L15" s="18">
        <f t="shared" si="3"/>
        <v>39346</v>
      </c>
      <c r="M15" s="17">
        <f t="shared" si="7"/>
        <v>39347</v>
      </c>
      <c r="N15" s="18">
        <f t="shared" si="4"/>
        <v>39353</v>
      </c>
      <c r="O15" s="14"/>
      <c r="P15" s="15"/>
    </row>
    <row r="16" spans="2:16">
      <c r="B16" s="2" t="s">
        <v>40</v>
      </c>
      <c r="C16" s="28">
        <f t="shared" si="1"/>
        <v>39158</v>
      </c>
      <c r="D16" s="32">
        <f t="shared" si="0"/>
        <v>39164</v>
      </c>
      <c r="E16" s="1"/>
      <c r="F16" s="8">
        <v>39359</v>
      </c>
      <c r="G16" s="9">
        <f>+N15+1</f>
        <v>39354</v>
      </c>
      <c r="H16" s="10">
        <f t="shared" si="8"/>
        <v>39360</v>
      </c>
      <c r="I16" s="9">
        <f t="shared" si="5"/>
        <v>39361</v>
      </c>
      <c r="J16" s="10">
        <f t="shared" si="2"/>
        <v>39367</v>
      </c>
      <c r="K16" s="9">
        <f t="shared" si="6"/>
        <v>39368</v>
      </c>
      <c r="L16" s="10">
        <f t="shared" si="3"/>
        <v>39374</v>
      </c>
      <c r="M16" s="9">
        <f t="shared" si="7"/>
        <v>39375</v>
      </c>
      <c r="N16" s="10">
        <f t="shared" si="4"/>
        <v>39381</v>
      </c>
      <c r="O16" s="9">
        <f>+N16+1</f>
        <v>39382</v>
      </c>
      <c r="P16" s="10">
        <f>+O16+6</f>
        <v>39388</v>
      </c>
    </row>
    <row r="17" spans="2:16">
      <c r="B17" s="2" t="s">
        <v>41</v>
      </c>
      <c r="C17" s="28">
        <f t="shared" si="1"/>
        <v>39165</v>
      </c>
      <c r="D17" s="32">
        <f>+C17+7</f>
        <v>39172</v>
      </c>
      <c r="E17" s="1"/>
      <c r="F17" s="11">
        <v>39390</v>
      </c>
      <c r="G17" s="12">
        <f>+P16+1</f>
        <v>39389</v>
      </c>
      <c r="H17" s="13">
        <f t="shared" si="8"/>
        <v>39395</v>
      </c>
      <c r="I17" s="12">
        <f t="shared" si="5"/>
        <v>39396</v>
      </c>
      <c r="J17" s="13">
        <f t="shared" si="2"/>
        <v>39402</v>
      </c>
      <c r="K17" s="12">
        <f t="shared" si="6"/>
        <v>39403</v>
      </c>
      <c r="L17" s="13">
        <f t="shared" si="3"/>
        <v>39409</v>
      </c>
      <c r="M17" s="12">
        <f t="shared" si="7"/>
        <v>39410</v>
      </c>
      <c r="N17" s="13">
        <f t="shared" si="4"/>
        <v>39416</v>
      </c>
      <c r="O17" s="14"/>
      <c r="P17" s="15"/>
    </row>
    <row r="18" spans="2:16">
      <c r="B18" s="2" t="s">
        <v>42</v>
      </c>
      <c r="C18" s="26">
        <f t="shared" si="1"/>
        <v>39173</v>
      </c>
      <c r="D18" s="30">
        <f>+C18+5</f>
        <v>39178</v>
      </c>
      <c r="E18" s="1"/>
      <c r="F18" s="16">
        <v>39420</v>
      </c>
      <c r="G18" s="17">
        <f>+N17+1</f>
        <v>39417</v>
      </c>
      <c r="H18" s="18">
        <f t="shared" si="8"/>
        <v>39423</v>
      </c>
      <c r="I18" s="17">
        <f t="shared" si="5"/>
        <v>39424</v>
      </c>
      <c r="J18" s="18">
        <f t="shared" si="2"/>
        <v>39430</v>
      </c>
      <c r="K18" s="17">
        <f t="shared" si="6"/>
        <v>39431</v>
      </c>
      <c r="L18" s="18">
        <f t="shared" si="3"/>
        <v>39437</v>
      </c>
      <c r="M18" s="17">
        <f t="shared" si="7"/>
        <v>39438</v>
      </c>
      <c r="N18" s="18">
        <f>+M18+6</f>
        <v>39444</v>
      </c>
      <c r="O18" s="9">
        <f>+N18+1</f>
        <v>39445</v>
      </c>
      <c r="P18" s="10">
        <f>+O18+2</f>
        <v>39447</v>
      </c>
    </row>
    <row r="19" spans="2:16">
      <c r="B19" s="2" t="s">
        <v>43</v>
      </c>
      <c r="C19" s="26">
        <f t="shared" si="1"/>
        <v>39179</v>
      </c>
      <c r="D19" s="30">
        <f t="shared" ref="D19:D26" si="9">+C19+6</f>
        <v>39185</v>
      </c>
      <c r="E19" s="1"/>
    </row>
    <row r="20" spans="2:16">
      <c r="B20" s="2" t="s">
        <v>44</v>
      </c>
      <c r="C20" s="26">
        <f t="shared" si="1"/>
        <v>39186</v>
      </c>
      <c r="D20" s="30">
        <f t="shared" si="9"/>
        <v>39192</v>
      </c>
      <c r="E20" s="1"/>
    </row>
    <row r="21" spans="2:16">
      <c r="B21" s="2" t="s">
        <v>45</v>
      </c>
      <c r="C21" s="26">
        <f t="shared" si="1"/>
        <v>39193</v>
      </c>
      <c r="D21" s="30">
        <f t="shared" si="9"/>
        <v>39199</v>
      </c>
      <c r="E21" s="1"/>
    </row>
    <row r="22" spans="2:16">
      <c r="B22" s="2" t="s">
        <v>46</v>
      </c>
      <c r="C22" s="26">
        <f t="shared" si="1"/>
        <v>39200</v>
      </c>
      <c r="D22" s="30">
        <f t="shared" si="9"/>
        <v>39206</v>
      </c>
      <c r="E22" s="1"/>
    </row>
    <row r="23" spans="2:16">
      <c r="B23" s="2" t="s">
        <v>47</v>
      </c>
      <c r="C23" s="27">
        <f t="shared" si="1"/>
        <v>39207</v>
      </c>
      <c r="D23" s="31">
        <f t="shared" si="9"/>
        <v>39213</v>
      </c>
      <c r="E23" s="1"/>
    </row>
    <row r="24" spans="2:16">
      <c r="B24" s="2" t="s">
        <v>48</v>
      </c>
      <c r="C24" s="27">
        <f t="shared" si="1"/>
        <v>39214</v>
      </c>
      <c r="D24" s="31">
        <f t="shared" si="9"/>
        <v>39220</v>
      </c>
      <c r="E24" s="1"/>
    </row>
    <row r="25" spans="2:16">
      <c r="B25" s="2" t="s">
        <v>49</v>
      </c>
      <c r="C25" s="27">
        <f t="shared" si="1"/>
        <v>39221</v>
      </c>
      <c r="D25" s="31">
        <f t="shared" si="9"/>
        <v>39227</v>
      </c>
      <c r="E25" s="1"/>
    </row>
    <row r="26" spans="2:16">
      <c r="B26" s="2" t="s">
        <v>50</v>
      </c>
      <c r="C26" s="27">
        <f t="shared" si="1"/>
        <v>39228</v>
      </c>
      <c r="D26" s="31">
        <f t="shared" si="9"/>
        <v>39234</v>
      </c>
      <c r="E26" s="1"/>
    </row>
    <row r="27" spans="2:16">
      <c r="B27" s="2" t="s">
        <v>51</v>
      </c>
      <c r="C27" s="28">
        <f t="shared" si="1"/>
        <v>39235</v>
      </c>
      <c r="D27" s="32">
        <f>+D26+7</f>
        <v>39241</v>
      </c>
      <c r="E27" s="1"/>
    </row>
    <row r="28" spans="2:16">
      <c r="B28" s="2" t="s">
        <v>52</v>
      </c>
      <c r="C28" s="28">
        <f t="shared" si="1"/>
        <v>39242</v>
      </c>
      <c r="D28" s="32">
        <f t="shared" ref="D28:D56" si="10">+D27+7</f>
        <v>39248</v>
      </c>
      <c r="E28" s="1"/>
    </row>
    <row r="29" spans="2:16">
      <c r="B29" s="2" t="s">
        <v>53</v>
      </c>
      <c r="C29" s="28">
        <f t="shared" si="1"/>
        <v>39249</v>
      </c>
      <c r="D29" s="32">
        <f t="shared" si="10"/>
        <v>39255</v>
      </c>
      <c r="E29" s="1"/>
    </row>
    <row r="30" spans="2:16">
      <c r="B30" s="2" t="s">
        <v>54</v>
      </c>
      <c r="C30" s="28">
        <f t="shared" si="1"/>
        <v>39256</v>
      </c>
      <c r="D30" s="32">
        <f t="shared" si="10"/>
        <v>39262</v>
      </c>
      <c r="E30" s="1"/>
    </row>
    <row r="31" spans="2:16">
      <c r="B31" s="2" t="s">
        <v>55</v>
      </c>
      <c r="C31" s="26">
        <f t="shared" si="1"/>
        <v>39263</v>
      </c>
      <c r="D31" s="30">
        <f t="shared" si="10"/>
        <v>39269</v>
      </c>
      <c r="E31" s="1"/>
    </row>
    <row r="32" spans="2:16">
      <c r="B32" s="2" t="s">
        <v>56</v>
      </c>
      <c r="C32" s="26">
        <f t="shared" si="1"/>
        <v>39270</v>
      </c>
      <c r="D32" s="30">
        <f t="shared" si="10"/>
        <v>39276</v>
      </c>
      <c r="E32" s="1"/>
    </row>
    <row r="33" spans="2:5">
      <c r="B33" s="2" t="s">
        <v>57</v>
      </c>
      <c r="C33" s="26">
        <f t="shared" si="1"/>
        <v>39277</v>
      </c>
      <c r="D33" s="30">
        <f t="shared" si="10"/>
        <v>39283</v>
      </c>
      <c r="E33" s="1"/>
    </row>
    <row r="34" spans="2:5">
      <c r="B34" s="2" t="s">
        <v>58</v>
      </c>
      <c r="C34" s="26">
        <f t="shared" si="1"/>
        <v>39284</v>
      </c>
      <c r="D34" s="30">
        <f t="shared" si="10"/>
        <v>39290</v>
      </c>
      <c r="E34" s="1"/>
    </row>
    <row r="35" spans="2:5">
      <c r="B35" s="2" t="s">
        <v>59</v>
      </c>
      <c r="C35" s="26">
        <f t="shared" si="1"/>
        <v>39291</v>
      </c>
      <c r="D35" s="30">
        <f t="shared" si="10"/>
        <v>39297</v>
      </c>
      <c r="E35" s="1"/>
    </row>
    <row r="36" spans="2:5">
      <c r="B36" s="2" t="s">
        <v>60</v>
      </c>
      <c r="C36" s="27">
        <f t="shared" si="1"/>
        <v>39298</v>
      </c>
      <c r="D36" s="31">
        <f t="shared" si="10"/>
        <v>39304</v>
      </c>
      <c r="E36" s="1"/>
    </row>
    <row r="37" spans="2:5">
      <c r="B37" s="2" t="s">
        <v>61</v>
      </c>
      <c r="C37" s="27">
        <f t="shared" si="1"/>
        <v>39305</v>
      </c>
      <c r="D37" s="31">
        <f t="shared" si="10"/>
        <v>39311</v>
      </c>
      <c r="E37" s="1"/>
    </row>
    <row r="38" spans="2:5">
      <c r="B38" s="2" t="s">
        <v>62</v>
      </c>
      <c r="C38" s="27">
        <f t="shared" si="1"/>
        <v>39312</v>
      </c>
      <c r="D38" s="31">
        <f t="shared" si="10"/>
        <v>39318</v>
      </c>
    </row>
    <row r="39" spans="2:5">
      <c r="B39" s="2" t="s">
        <v>63</v>
      </c>
      <c r="C39" s="27">
        <f t="shared" si="1"/>
        <v>39319</v>
      </c>
      <c r="D39" s="31">
        <f t="shared" si="10"/>
        <v>39325</v>
      </c>
    </row>
    <row r="40" spans="2:5">
      <c r="B40" s="2" t="s">
        <v>64</v>
      </c>
      <c r="C40" s="28">
        <f t="shared" si="1"/>
        <v>39326</v>
      </c>
      <c r="D40" s="32">
        <f t="shared" si="10"/>
        <v>39332</v>
      </c>
    </row>
    <row r="41" spans="2:5">
      <c r="B41" s="2" t="s">
        <v>65</v>
      </c>
      <c r="C41" s="28">
        <f t="shared" si="1"/>
        <v>39333</v>
      </c>
      <c r="D41" s="32">
        <f t="shared" si="10"/>
        <v>39339</v>
      </c>
    </row>
    <row r="42" spans="2:5">
      <c r="B42" s="2" t="s">
        <v>66</v>
      </c>
      <c r="C42" s="28">
        <f t="shared" si="1"/>
        <v>39340</v>
      </c>
      <c r="D42" s="32">
        <f t="shared" si="10"/>
        <v>39346</v>
      </c>
    </row>
    <row r="43" spans="2:5">
      <c r="B43" s="2" t="s">
        <v>67</v>
      </c>
      <c r="C43" s="28">
        <f t="shared" si="1"/>
        <v>39347</v>
      </c>
      <c r="D43" s="32">
        <f t="shared" si="10"/>
        <v>39353</v>
      </c>
    </row>
    <row r="44" spans="2:5">
      <c r="B44" s="2" t="s">
        <v>68</v>
      </c>
      <c r="C44" s="26">
        <f t="shared" si="1"/>
        <v>39354</v>
      </c>
      <c r="D44" s="30">
        <f t="shared" si="10"/>
        <v>39360</v>
      </c>
    </row>
    <row r="45" spans="2:5">
      <c r="B45" s="2" t="s">
        <v>69</v>
      </c>
      <c r="C45" s="26">
        <f t="shared" si="1"/>
        <v>39361</v>
      </c>
      <c r="D45" s="30">
        <f t="shared" si="10"/>
        <v>39367</v>
      </c>
    </row>
    <row r="46" spans="2:5">
      <c r="B46" s="2" t="s">
        <v>70</v>
      </c>
      <c r="C46" s="26">
        <f t="shared" si="1"/>
        <v>39368</v>
      </c>
      <c r="D46" s="30">
        <f t="shared" si="10"/>
        <v>39374</v>
      </c>
    </row>
    <row r="47" spans="2:5">
      <c r="B47" s="2" t="s">
        <v>71</v>
      </c>
      <c r="C47" s="26">
        <f t="shared" si="1"/>
        <v>39375</v>
      </c>
      <c r="D47" s="30">
        <f t="shared" si="10"/>
        <v>39381</v>
      </c>
    </row>
    <row r="48" spans="2:5">
      <c r="B48" s="2" t="s">
        <v>72</v>
      </c>
      <c r="C48" s="26">
        <f t="shared" si="1"/>
        <v>39382</v>
      </c>
      <c r="D48" s="30">
        <f t="shared" si="10"/>
        <v>39388</v>
      </c>
    </row>
    <row r="49" spans="2:4">
      <c r="B49" s="2" t="s">
        <v>73</v>
      </c>
      <c r="C49" s="27">
        <f t="shared" si="1"/>
        <v>39389</v>
      </c>
      <c r="D49" s="31">
        <f t="shared" si="10"/>
        <v>39395</v>
      </c>
    </row>
    <row r="50" spans="2:4">
      <c r="B50" s="2" t="s">
        <v>74</v>
      </c>
      <c r="C50" s="27">
        <f t="shared" si="1"/>
        <v>39396</v>
      </c>
      <c r="D50" s="31">
        <f t="shared" si="10"/>
        <v>39402</v>
      </c>
    </row>
    <row r="51" spans="2:4">
      <c r="B51" s="2" t="s">
        <v>75</v>
      </c>
      <c r="C51" s="27">
        <f t="shared" si="1"/>
        <v>39403</v>
      </c>
      <c r="D51" s="31">
        <f t="shared" si="10"/>
        <v>39409</v>
      </c>
    </row>
    <row r="52" spans="2:4">
      <c r="B52" s="2" t="s">
        <v>76</v>
      </c>
      <c r="C52" s="27">
        <f t="shared" si="1"/>
        <v>39410</v>
      </c>
      <c r="D52" s="31">
        <f t="shared" si="10"/>
        <v>39416</v>
      </c>
    </row>
    <row r="53" spans="2:4">
      <c r="B53" s="2" t="s">
        <v>77</v>
      </c>
      <c r="C53" s="28">
        <f t="shared" si="1"/>
        <v>39417</v>
      </c>
      <c r="D53" s="32">
        <f t="shared" si="10"/>
        <v>39423</v>
      </c>
    </row>
    <row r="54" spans="2:4">
      <c r="B54" s="2" t="s">
        <v>78</v>
      </c>
      <c r="C54" s="28">
        <f t="shared" si="1"/>
        <v>39424</v>
      </c>
      <c r="D54" s="32">
        <f t="shared" si="10"/>
        <v>39430</v>
      </c>
    </row>
    <row r="55" spans="2:4">
      <c r="B55" s="2" t="s">
        <v>79</v>
      </c>
      <c r="C55" s="28">
        <f t="shared" si="1"/>
        <v>39431</v>
      </c>
      <c r="D55" s="32">
        <f t="shared" si="10"/>
        <v>39437</v>
      </c>
    </row>
    <row r="56" spans="2:4">
      <c r="B56" s="2" t="s">
        <v>80</v>
      </c>
      <c r="C56" s="28">
        <f t="shared" si="1"/>
        <v>39438</v>
      </c>
      <c r="D56" s="32">
        <f t="shared" si="10"/>
        <v>39444</v>
      </c>
    </row>
    <row r="57" spans="2:4">
      <c r="B57" s="2" t="s">
        <v>81</v>
      </c>
      <c r="C57" s="28">
        <f t="shared" si="1"/>
        <v>39445</v>
      </c>
      <c r="D57" s="32">
        <v>39447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F3522"/>
  <sheetViews>
    <sheetView showGridLines="0" tabSelected="1" topLeftCell="L1" workbookViewId="0">
      <selection activeCell="W5" sqref="W5"/>
    </sheetView>
  </sheetViews>
  <sheetFormatPr defaultColWidth="10.28515625" defaultRowHeight="11.25"/>
  <cols>
    <col min="1" max="1" width="16.140625" style="45" customWidth="1"/>
    <col min="2" max="2" width="10.28515625" style="46" customWidth="1"/>
    <col min="3" max="4" width="10.140625" style="45" customWidth="1"/>
    <col min="5" max="5" width="39.28515625" style="45" customWidth="1"/>
    <col min="6" max="6" width="23" style="45" bestFit="1" customWidth="1"/>
    <col min="7" max="7" width="13.85546875" style="45" customWidth="1"/>
    <col min="8" max="8" width="26.5703125" style="45" customWidth="1"/>
    <col min="9" max="9" width="8.42578125" style="45" bestFit="1" customWidth="1"/>
    <col min="10" max="10" width="6.7109375" style="45" bestFit="1" customWidth="1"/>
    <col min="11" max="11" width="6.85546875" style="101" bestFit="1" customWidth="1"/>
    <col min="12" max="12" width="8" style="96" bestFit="1" customWidth="1"/>
    <col min="13" max="13" width="11.140625" style="91" bestFit="1" customWidth="1"/>
    <col min="14" max="14" width="7.140625" style="57" bestFit="1" customWidth="1"/>
    <col min="15" max="15" width="12.28515625" style="42" customWidth="1"/>
    <col min="16" max="16" width="11.140625" style="42" bestFit="1" customWidth="1"/>
    <col min="17" max="17" width="9" style="42" bestFit="1" customWidth="1"/>
    <col min="18" max="18" width="8.7109375" style="77" customWidth="1"/>
    <col min="19" max="19" width="8.7109375" style="42" hidden="1" customWidth="1"/>
    <col min="20" max="20" width="12.7109375" style="42" customWidth="1"/>
    <col min="21" max="21" width="7.5703125" style="47" customWidth="1"/>
    <col min="22" max="22" width="10.7109375" style="47" hidden="1" customWidth="1"/>
    <col min="23" max="23" width="13" style="42" customWidth="1"/>
    <col min="24" max="24" width="12.140625" style="42" customWidth="1"/>
    <col min="25" max="26" width="14.5703125" style="42" customWidth="1"/>
    <col min="27" max="30" width="12.42578125" style="74" customWidth="1"/>
    <col min="31" max="16384" width="10.28515625" style="45"/>
  </cols>
  <sheetData>
    <row r="1" spans="1:32" s="49" customFormat="1" ht="12.75">
      <c r="A1" s="40" t="s">
        <v>15</v>
      </c>
      <c r="B1" s="48"/>
      <c r="F1" s="50"/>
      <c r="G1" s="51"/>
      <c r="H1" s="63" t="s">
        <v>13</v>
      </c>
      <c r="K1" s="97"/>
      <c r="L1" s="92"/>
      <c r="M1" s="87"/>
      <c r="N1" s="81"/>
      <c r="O1" s="53"/>
      <c r="P1" s="59"/>
      <c r="Q1" s="59"/>
      <c r="R1" s="75"/>
      <c r="S1" s="59"/>
      <c r="T1" s="53"/>
      <c r="U1" s="52"/>
      <c r="V1" s="52"/>
      <c r="W1" s="53"/>
      <c r="X1" s="58">
        <v>0.05</v>
      </c>
      <c r="Y1" s="53"/>
      <c r="Z1" s="53"/>
      <c r="AA1" s="71"/>
      <c r="AB1" s="71"/>
      <c r="AC1" s="71"/>
      <c r="AD1" s="71"/>
    </row>
    <row r="2" spans="1:32" s="49" customFormat="1" ht="13.5" thickBot="1">
      <c r="A2" s="65" t="s">
        <v>16</v>
      </c>
      <c r="B2" s="41"/>
      <c r="C2" s="67"/>
      <c r="D2" s="67"/>
      <c r="E2" s="67"/>
      <c r="F2" s="50"/>
      <c r="H2" s="63"/>
      <c r="K2" s="97"/>
      <c r="L2" s="92"/>
      <c r="M2" s="87"/>
      <c r="N2" s="81"/>
      <c r="O2" s="53"/>
      <c r="P2" s="53"/>
      <c r="Q2" s="53"/>
      <c r="R2" s="76"/>
      <c r="S2" s="53"/>
      <c r="T2" s="53"/>
      <c r="U2" s="52"/>
      <c r="V2" s="52"/>
      <c r="W2" s="53"/>
      <c r="X2" s="53"/>
      <c r="Y2" s="53"/>
      <c r="Z2" s="53"/>
      <c r="AA2" s="71"/>
      <c r="AB2" s="71"/>
      <c r="AC2" s="71"/>
      <c r="AD2" s="71"/>
    </row>
    <row r="3" spans="1:32" s="49" customFormat="1" ht="12.75">
      <c r="A3" s="50"/>
      <c r="B3" s="50"/>
      <c r="C3" s="68" t="s">
        <v>91</v>
      </c>
      <c r="D3" s="68"/>
      <c r="E3" s="68" t="s">
        <v>92</v>
      </c>
      <c r="F3" s="50"/>
      <c r="G3" s="54"/>
      <c r="H3" s="63" t="s">
        <v>14</v>
      </c>
      <c r="K3" s="97"/>
      <c r="L3" s="92"/>
      <c r="M3" s="87"/>
      <c r="N3" s="81"/>
      <c r="O3" s="42"/>
      <c r="P3" s="53"/>
      <c r="Q3" s="53"/>
      <c r="R3" s="76"/>
      <c r="S3" s="53"/>
      <c r="T3" s="53"/>
      <c r="U3" s="52"/>
      <c r="V3" s="52"/>
      <c r="W3" s="53"/>
      <c r="X3" s="53"/>
      <c r="Y3" s="53"/>
      <c r="Z3" s="53"/>
      <c r="AA3" s="71"/>
      <c r="AB3" s="71"/>
      <c r="AC3" s="71"/>
      <c r="AD3" s="71"/>
    </row>
    <row r="4" spans="1:32" s="49" customFormat="1" ht="13.5" thickBot="1">
      <c r="A4" s="66" t="s">
        <v>85</v>
      </c>
      <c r="B4" s="55"/>
      <c r="C4" s="70" t="s">
        <v>41</v>
      </c>
      <c r="D4" s="70"/>
      <c r="E4" s="69"/>
      <c r="K4" s="97"/>
      <c r="L4" s="92"/>
      <c r="M4" s="87"/>
      <c r="N4" s="81"/>
      <c r="O4" s="53"/>
      <c r="P4" s="53"/>
      <c r="Q4" s="53"/>
      <c r="R4" s="76"/>
      <c r="S4" s="53"/>
      <c r="T4" s="53"/>
      <c r="U4" s="52"/>
      <c r="V4" s="52"/>
      <c r="W4" s="53"/>
      <c r="X4" s="53"/>
      <c r="Y4" s="53"/>
      <c r="Z4" s="53"/>
      <c r="AA4" s="71"/>
      <c r="AB4" s="71"/>
      <c r="AC4" s="71"/>
      <c r="AD4" s="71"/>
    </row>
    <row r="5" spans="1:32" s="60" customFormat="1">
      <c r="B5" s="61"/>
      <c r="K5" s="98"/>
      <c r="L5" s="93"/>
      <c r="M5" s="88" t="s">
        <v>87</v>
      </c>
      <c r="N5" s="82"/>
      <c r="O5" s="64">
        <f>SUM(O7:O1055)</f>
        <v>0</v>
      </c>
      <c r="P5" s="64">
        <f>SUM(P7:P1055)</f>
        <v>0</v>
      </c>
      <c r="Q5" s="64">
        <f>SUM(Q7:Q1055)</f>
        <v>0</v>
      </c>
      <c r="R5" s="64">
        <f>SUM(R7:R1055)</f>
        <v>0</v>
      </c>
      <c r="S5" s="64">
        <f t="shared" ref="S5:Z5" si="0">SUM(S7:S1055)</f>
        <v>0</v>
      </c>
      <c r="T5" s="64">
        <f t="shared" si="0"/>
        <v>0</v>
      </c>
      <c r="U5" s="62">
        <f t="shared" si="0"/>
        <v>0</v>
      </c>
      <c r="V5" s="62">
        <f t="shared" si="0"/>
        <v>0</v>
      </c>
      <c r="W5" s="44">
        <f>SUM(W7:W1055)</f>
        <v>0</v>
      </c>
      <c r="X5" s="64">
        <f t="shared" si="0"/>
        <v>0</v>
      </c>
      <c r="Y5" s="64">
        <f t="shared" si="0"/>
        <v>0</v>
      </c>
      <c r="Z5" s="64">
        <f t="shared" si="0"/>
        <v>0</v>
      </c>
      <c r="AA5" s="72"/>
      <c r="AB5" s="72"/>
      <c r="AC5" s="72"/>
      <c r="AD5" s="72"/>
    </row>
    <row r="6" spans="1:32" s="39" customFormat="1" ht="33.75">
      <c r="A6" s="37" t="s">
        <v>0</v>
      </c>
      <c r="B6" s="38" t="s">
        <v>1</v>
      </c>
      <c r="C6" s="37" t="s">
        <v>3</v>
      </c>
      <c r="D6" s="37" t="s">
        <v>94</v>
      </c>
      <c r="E6" s="37" t="s">
        <v>2</v>
      </c>
      <c r="F6" s="37" t="s">
        <v>88</v>
      </c>
      <c r="G6" s="37" t="s">
        <v>4</v>
      </c>
      <c r="H6" s="37" t="s">
        <v>5</v>
      </c>
      <c r="I6" s="37" t="s">
        <v>6</v>
      </c>
      <c r="J6" s="37" t="s">
        <v>89</v>
      </c>
      <c r="K6" s="99" t="s">
        <v>7</v>
      </c>
      <c r="L6" s="94" t="s">
        <v>86</v>
      </c>
      <c r="M6" s="89" t="s">
        <v>17</v>
      </c>
      <c r="N6" s="83" t="s">
        <v>18</v>
      </c>
      <c r="O6" s="35" t="s">
        <v>19</v>
      </c>
      <c r="P6" s="35" t="s">
        <v>97</v>
      </c>
      <c r="Q6" s="35" t="s">
        <v>98</v>
      </c>
      <c r="R6" s="35" t="s">
        <v>99</v>
      </c>
      <c r="S6" s="35" t="s">
        <v>93</v>
      </c>
      <c r="T6" s="35" t="s">
        <v>20</v>
      </c>
      <c r="U6" s="36" t="s">
        <v>8</v>
      </c>
      <c r="V6" s="36" t="s">
        <v>9</v>
      </c>
      <c r="W6" s="35" t="s">
        <v>10</v>
      </c>
      <c r="X6" s="35" t="s">
        <v>11</v>
      </c>
      <c r="Y6" s="35" t="s">
        <v>12</v>
      </c>
      <c r="Z6" s="35" t="s">
        <v>95</v>
      </c>
      <c r="AA6" s="73" t="s">
        <v>90</v>
      </c>
      <c r="AB6" s="73" t="s">
        <v>90</v>
      </c>
      <c r="AC6" s="85" t="s">
        <v>90</v>
      </c>
      <c r="AD6" s="85" t="s">
        <v>90</v>
      </c>
      <c r="AE6" s="86" t="s">
        <v>96</v>
      </c>
      <c r="AF6" s="86" t="s">
        <v>100</v>
      </c>
    </row>
    <row r="7" spans="1:32" ht="12.75">
      <c r="A7"/>
      <c r="B7"/>
      <c r="C7"/>
      <c r="D7"/>
      <c r="E7"/>
      <c r="F7"/>
      <c r="G7"/>
      <c r="H7"/>
      <c r="I7"/>
      <c r="J7"/>
      <c r="K7" s="100">
        <f>+I7*J7</f>
        <v>0</v>
      </c>
      <c r="L7" s="95"/>
      <c r="M7" s="90">
        <f>ROUND(K7*L7,2)</f>
        <v>0</v>
      </c>
      <c r="N7" s="56">
        <v>0</v>
      </c>
      <c r="O7" s="44">
        <f>+M7-(M7*N7)</f>
        <v>0</v>
      </c>
      <c r="P7" s="44"/>
      <c r="Q7" s="44"/>
      <c r="R7" s="44"/>
      <c r="S7" s="44">
        <f>IF(R7="y",+P7*0.01,0)</f>
        <v>0</v>
      </c>
      <c r="T7" s="44">
        <f>+O7+P7+Q7+R7</f>
        <v>0</v>
      </c>
      <c r="U7">
        <v>0</v>
      </c>
      <c r="V7" s="43">
        <v>0</v>
      </c>
      <c r="W7" s="44">
        <f>+O7-U7-V7-Z7</f>
        <v>0</v>
      </c>
      <c r="X7" s="44">
        <f>(+O7-U7-Z7)*$X$1</f>
        <v>0</v>
      </c>
      <c r="Y7" s="44">
        <f>+W7-X7</f>
        <v>0</v>
      </c>
      <c r="Z7" s="84"/>
      <c r="AA7" s="78"/>
      <c r="AB7" s="78"/>
      <c r="AC7" s="78"/>
      <c r="AD7" s="78"/>
      <c r="AE7" s="78"/>
    </row>
    <row r="8" spans="1:32" ht="12.75">
      <c r="A8"/>
      <c r="B8"/>
      <c r="C8"/>
      <c r="D8"/>
      <c r="E8"/>
      <c r="F8"/>
      <c r="G8"/>
      <c r="H8"/>
      <c r="I8"/>
      <c r="J8"/>
      <c r="K8" s="100">
        <f>+I8*J8</f>
        <v>0</v>
      </c>
      <c r="L8" s="95"/>
      <c r="M8" s="90">
        <f t="shared" ref="M8:M71" si="1">ROUND(K8*L8,2)</f>
        <v>0</v>
      </c>
      <c r="N8" s="56">
        <v>0</v>
      </c>
      <c r="O8" s="44">
        <f t="shared" ref="O8:O71" si="2">+M8-(M8*N8)</f>
        <v>0</v>
      </c>
      <c r="P8" s="44"/>
      <c r="Q8" s="44"/>
      <c r="R8" s="44"/>
      <c r="S8" s="44">
        <f>IF(R8="y",+P8*0.01,0)</f>
        <v>0</v>
      </c>
      <c r="T8" s="44">
        <f t="shared" ref="T8:T71" si="3">+O8+P8+Q8+R8</f>
        <v>0</v>
      </c>
      <c r="U8">
        <v>0</v>
      </c>
      <c r="V8" s="43">
        <v>0</v>
      </c>
      <c r="W8" s="44">
        <f t="shared" ref="W8:W71" si="4">+O8-U8-V8-Z8</f>
        <v>0</v>
      </c>
      <c r="X8" s="44">
        <f t="shared" ref="X8:X71" si="5">(+O8-U8-Z8)*$X$1</f>
        <v>0</v>
      </c>
      <c r="Y8" s="44">
        <f t="shared" ref="Y8:Y71" si="6">+W8-X8</f>
        <v>0</v>
      </c>
      <c r="Z8" s="84"/>
      <c r="AA8" s="78"/>
      <c r="AB8" s="78"/>
      <c r="AC8" s="78"/>
      <c r="AD8" s="78"/>
      <c r="AE8" s="78"/>
    </row>
    <row r="9" spans="1:32" ht="12.75">
      <c r="A9"/>
      <c r="B9"/>
      <c r="C9"/>
      <c r="D9"/>
      <c r="E9"/>
      <c r="F9"/>
      <c r="G9"/>
      <c r="H9"/>
      <c r="I9"/>
      <c r="J9"/>
      <c r="K9" s="100">
        <f t="shared" ref="K9:K72" si="7">+I9*J9</f>
        <v>0</v>
      </c>
      <c r="L9" s="95"/>
      <c r="M9" s="90">
        <f t="shared" si="1"/>
        <v>0</v>
      </c>
      <c r="N9" s="56">
        <v>0</v>
      </c>
      <c r="O9" s="44">
        <f t="shared" si="2"/>
        <v>0</v>
      </c>
      <c r="P9" s="44"/>
      <c r="Q9" s="44"/>
      <c r="R9" s="44"/>
      <c r="S9" s="44">
        <f t="shared" ref="S9:S72" si="8">IF(R9="y",+P9*0.01,0)</f>
        <v>0</v>
      </c>
      <c r="T9" s="44">
        <f t="shared" si="3"/>
        <v>0</v>
      </c>
      <c r="U9">
        <v>0</v>
      </c>
      <c r="V9" s="43">
        <v>0</v>
      </c>
      <c r="W9" s="44">
        <f t="shared" si="4"/>
        <v>0</v>
      </c>
      <c r="X9" s="44">
        <f t="shared" si="5"/>
        <v>0</v>
      </c>
      <c r="Y9" s="44">
        <f t="shared" si="6"/>
        <v>0</v>
      </c>
      <c r="Z9" s="84"/>
      <c r="AA9" s="78"/>
      <c r="AB9" s="78"/>
      <c r="AC9" s="78"/>
      <c r="AD9" s="78"/>
      <c r="AE9" s="78"/>
    </row>
    <row r="10" spans="1:32" ht="12.75">
      <c r="A10"/>
      <c r="B10"/>
      <c r="C10"/>
      <c r="D10"/>
      <c r="E10"/>
      <c r="F10"/>
      <c r="G10"/>
      <c r="H10"/>
      <c r="I10"/>
      <c r="J10"/>
      <c r="K10" s="100">
        <f t="shared" si="7"/>
        <v>0</v>
      </c>
      <c r="L10" s="95"/>
      <c r="M10" s="90">
        <f t="shared" si="1"/>
        <v>0</v>
      </c>
      <c r="N10" s="56">
        <v>0</v>
      </c>
      <c r="O10" s="44">
        <f t="shared" si="2"/>
        <v>0</v>
      </c>
      <c r="P10" s="44"/>
      <c r="Q10" s="44"/>
      <c r="R10" s="44"/>
      <c r="S10" s="44">
        <f t="shared" si="8"/>
        <v>0</v>
      </c>
      <c r="T10" s="44">
        <f t="shared" si="3"/>
        <v>0</v>
      </c>
      <c r="U10">
        <v>0</v>
      </c>
      <c r="V10" s="43">
        <v>0</v>
      </c>
      <c r="W10" s="44">
        <f t="shared" si="4"/>
        <v>0</v>
      </c>
      <c r="X10" s="44">
        <f t="shared" si="5"/>
        <v>0</v>
      </c>
      <c r="Y10" s="44">
        <f t="shared" si="6"/>
        <v>0</v>
      </c>
      <c r="Z10" s="84"/>
      <c r="AA10" s="78"/>
      <c r="AB10" s="78"/>
      <c r="AC10" s="78"/>
      <c r="AD10" s="78"/>
      <c r="AE10" s="78"/>
    </row>
    <row r="11" spans="1:32" ht="12.75">
      <c r="A11"/>
      <c r="B11"/>
      <c r="C11"/>
      <c r="D11"/>
      <c r="E11"/>
      <c r="F11"/>
      <c r="G11"/>
      <c r="H11"/>
      <c r="I11"/>
      <c r="J11"/>
      <c r="K11" s="100">
        <f t="shared" si="7"/>
        <v>0</v>
      </c>
      <c r="L11" s="95"/>
      <c r="M11" s="90">
        <f t="shared" si="1"/>
        <v>0</v>
      </c>
      <c r="N11" s="56">
        <v>0</v>
      </c>
      <c r="O11" s="44">
        <f t="shared" si="2"/>
        <v>0</v>
      </c>
      <c r="P11" s="44"/>
      <c r="Q11" s="44"/>
      <c r="R11" s="44"/>
      <c r="S11" s="44">
        <f t="shared" si="8"/>
        <v>0</v>
      </c>
      <c r="T11" s="44">
        <f t="shared" si="3"/>
        <v>0</v>
      </c>
      <c r="U11">
        <v>0</v>
      </c>
      <c r="V11" s="43">
        <v>0</v>
      </c>
      <c r="W11" s="44">
        <f t="shared" si="4"/>
        <v>0</v>
      </c>
      <c r="X11" s="44">
        <f t="shared" si="5"/>
        <v>0</v>
      </c>
      <c r="Y11" s="44">
        <f t="shared" si="6"/>
        <v>0</v>
      </c>
      <c r="Z11" s="84"/>
      <c r="AA11" s="78"/>
      <c r="AB11" s="78"/>
      <c r="AC11" s="78"/>
      <c r="AD11" s="78"/>
      <c r="AE11" s="78"/>
    </row>
    <row r="12" spans="1:32" ht="12.75">
      <c r="A12"/>
      <c r="B12"/>
      <c r="C12"/>
      <c r="D12"/>
      <c r="E12"/>
      <c r="F12"/>
      <c r="G12"/>
      <c r="H12"/>
      <c r="I12"/>
      <c r="J12"/>
      <c r="K12" s="100">
        <f t="shared" si="7"/>
        <v>0</v>
      </c>
      <c r="L12" s="95"/>
      <c r="M12" s="90">
        <f t="shared" si="1"/>
        <v>0</v>
      </c>
      <c r="N12" s="56">
        <v>0</v>
      </c>
      <c r="O12" s="44">
        <f t="shared" si="2"/>
        <v>0</v>
      </c>
      <c r="P12" s="44"/>
      <c r="Q12" s="44"/>
      <c r="R12" s="44"/>
      <c r="S12" s="44">
        <f t="shared" si="8"/>
        <v>0</v>
      </c>
      <c r="T12" s="44">
        <f t="shared" si="3"/>
        <v>0</v>
      </c>
      <c r="U12">
        <v>0</v>
      </c>
      <c r="V12" s="43">
        <v>0</v>
      </c>
      <c r="W12" s="44">
        <f t="shared" si="4"/>
        <v>0</v>
      </c>
      <c r="X12" s="44">
        <f t="shared" si="5"/>
        <v>0</v>
      </c>
      <c r="Y12" s="44">
        <f t="shared" si="6"/>
        <v>0</v>
      </c>
      <c r="Z12" s="84"/>
      <c r="AA12" s="78"/>
      <c r="AB12" s="78"/>
      <c r="AC12" s="78"/>
      <c r="AD12" s="78"/>
      <c r="AE12" s="78"/>
    </row>
    <row r="13" spans="1:32" ht="12.75">
      <c r="A13"/>
      <c r="B13"/>
      <c r="C13"/>
      <c r="D13"/>
      <c r="E13"/>
      <c r="F13"/>
      <c r="G13"/>
      <c r="H13"/>
      <c r="I13"/>
      <c r="J13"/>
      <c r="K13" s="100">
        <f t="shared" si="7"/>
        <v>0</v>
      </c>
      <c r="L13" s="95"/>
      <c r="M13" s="90">
        <f t="shared" si="1"/>
        <v>0</v>
      </c>
      <c r="N13" s="56">
        <v>0</v>
      </c>
      <c r="O13" s="44">
        <f t="shared" si="2"/>
        <v>0</v>
      </c>
      <c r="P13" s="44"/>
      <c r="Q13" s="44"/>
      <c r="R13" s="44"/>
      <c r="S13" s="44">
        <f t="shared" si="8"/>
        <v>0</v>
      </c>
      <c r="T13" s="44">
        <f t="shared" si="3"/>
        <v>0</v>
      </c>
      <c r="U13">
        <v>0</v>
      </c>
      <c r="V13" s="43">
        <v>0</v>
      </c>
      <c r="W13" s="44">
        <f t="shared" si="4"/>
        <v>0</v>
      </c>
      <c r="X13" s="44">
        <f t="shared" si="5"/>
        <v>0</v>
      </c>
      <c r="Y13" s="44">
        <f t="shared" si="6"/>
        <v>0</v>
      </c>
      <c r="Z13" s="84"/>
      <c r="AA13" s="78"/>
      <c r="AB13" s="78"/>
      <c r="AC13" s="78"/>
      <c r="AD13" s="78"/>
      <c r="AE13" s="78"/>
    </row>
    <row r="14" spans="1:32" ht="12.75">
      <c r="A14"/>
      <c r="B14"/>
      <c r="C14"/>
      <c r="D14"/>
      <c r="E14"/>
      <c r="F14"/>
      <c r="G14"/>
      <c r="H14"/>
      <c r="I14"/>
      <c r="J14"/>
      <c r="K14" s="100">
        <f t="shared" si="7"/>
        <v>0</v>
      </c>
      <c r="L14" s="95"/>
      <c r="M14" s="90">
        <f t="shared" si="1"/>
        <v>0</v>
      </c>
      <c r="N14" s="56">
        <v>0</v>
      </c>
      <c r="O14" s="44">
        <f t="shared" si="2"/>
        <v>0</v>
      </c>
      <c r="P14" s="44"/>
      <c r="Q14" s="44"/>
      <c r="R14" s="44"/>
      <c r="S14" s="44">
        <f t="shared" si="8"/>
        <v>0</v>
      </c>
      <c r="T14" s="44">
        <f t="shared" si="3"/>
        <v>0</v>
      </c>
      <c r="U14">
        <v>0</v>
      </c>
      <c r="V14" s="43">
        <v>0</v>
      </c>
      <c r="W14" s="44">
        <f t="shared" si="4"/>
        <v>0</v>
      </c>
      <c r="X14" s="44">
        <f t="shared" si="5"/>
        <v>0</v>
      </c>
      <c r="Y14" s="44">
        <f t="shared" si="6"/>
        <v>0</v>
      </c>
      <c r="Z14" s="84"/>
      <c r="AA14" s="78"/>
      <c r="AB14" s="78"/>
      <c r="AC14" s="78"/>
      <c r="AD14" s="78"/>
      <c r="AE14" s="78"/>
    </row>
    <row r="15" spans="1:32" ht="12.75">
      <c r="A15"/>
      <c r="B15"/>
      <c r="C15"/>
      <c r="D15"/>
      <c r="E15"/>
      <c r="F15"/>
      <c r="G15"/>
      <c r="H15"/>
      <c r="I15"/>
      <c r="J15"/>
      <c r="K15" s="100">
        <f t="shared" si="7"/>
        <v>0</v>
      </c>
      <c r="L15" s="95"/>
      <c r="M15" s="90">
        <f t="shared" si="1"/>
        <v>0</v>
      </c>
      <c r="N15" s="56">
        <v>0</v>
      </c>
      <c r="O15" s="44">
        <f t="shared" si="2"/>
        <v>0</v>
      </c>
      <c r="P15" s="44"/>
      <c r="Q15" s="44"/>
      <c r="R15" s="44"/>
      <c r="S15" s="44">
        <f t="shared" si="8"/>
        <v>0</v>
      </c>
      <c r="T15" s="44">
        <f t="shared" si="3"/>
        <v>0</v>
      </c>
      <c r="U15">
        <v>0</v>
      </c>
      <c r="V15" s="43">
        <v>0</v>
      </c>
      <c r="W15" s="44">
        <f t="shared" si="4"/>
        <v>0</v>
      </c>
      <c r="X15" s="44">
        <f t="shared" si="5"/>
        <v>0</v>
      </c>
      <c r="Y15" s="44">
        <f t="shared" si="6"/>
        <v>0</v>
      </c>
      <c r="Z15" s="84"/>
      <c r="AA15" s="78"/>
      <c r="AB15" s="78"/>
      <c r="AC15" s="78"/>
      <c r="AD15" s="78"/>
      <c r="AE15" s="78"/>
    </row>
    <row r="16" spans="1:32" ht="12.75">
      <c r="A16"/>
      <c r="B16"/>
      <c r="C16"/>
      <c r="D16"/>
      <c r="E16"/>
      <c r="F16"/>
      <c r="G16"/>
      <c r="H16"/>
      <c r="I16"/>
      <c r="J16"/>
      <c r="K16" s="100">
        <f t="shared" si="7"/>
        <v>0</v>
      </c>
      <c r="L16" s="95"/>
      <c r="M16" s="90">
        <f t="shared" si="1"/>
        <v>0</v>
      </c>
      <c r="N16" s="56">
        <v>0</v>
      </c>
      <c r="O16" s="44">
        <f t="shared" si="2"/>
        <v>0</v>
      </c>
      <c r="P16" s="44"/>
      <c r="Q16" s="44"/>
      <c r="R16" s="44"/>
      <c r="S16" s="44">
        <f t="shared" si="8"/>
        <v>0</v>
      </c>
      <c r="T16" s="44">
        <f t="shared" si="3"/>
        <v>0</v>
      </c>
      <c r="U16">
        <v>0</v>
      </c>
      <c r="V16" s="43">
        <v>0</v>
      </c>
      <c r="W16" s="44">
        <f t="shared" si="4"/>
        <v>0</v>
      </c>
      <c r="X16" s="44">
        <f t="shared" si="5"/>
        <v>0</v>
      </c>
      <c r="Y16" s="44">
        <f t="shared" si="6"/>
        <v>0</v>
      </c>
      <c r="Z16" s="84"/>
      <c r="AA16" s="78"/>
      <c r="AB16" s="78"/>
      <c r="AC16" s="78"/>
      <c r="AD16" s="78"/>
      <c r="AE16" s="78"/>
    </row>
    <row r="17" spans="1:31" ht="12.75">
      <c r="A17"/>
      <c r="B17"/>
      <c r="C17"/>
      <c r="D17"/>
      <c r="E17"/>
      <c r="F17"/>
      <c r="G17"/>
      <c r="H17"/>
      <c r="I17"/>
      <c r="J17"/>
      <c r="K17" s="100">
        <f t="shared" si="7"/>
        <v>0</v>
      </c>
      <c r="L17" s="95"/>
      <c r="M17" s="90">
        <f t="shared" si="1"/>
        <v>0</v>
      </c>
      <c r="N17" s="56">
        <v>0</v>
      </c>
      <c r="O17" s="44">
        <f t="shared" si="2"/>
        <v>0</v>
      </c>
      <c r="P17" s="44"/>
      <c r="Q17" s="44"/>
      <c r="R17" s="44"/>
      <c r="S17" s="44">
        <f t="shared" si="8"/>
        <v>0</v>
      </c>
      <c r="T17" s="44">
        <f t="shared" si="3"/>
        <v>0</v>
      </c>
      <c r="U17">
        <v>0</v>
      </c>
      <c r="V17" s="43">
        <v>0</v>
      </c>
      <c r="W17" s="44">
        <f t="shared" si="4"/>
        <v>0</v>
      </c>
      <c r="X17" s="44">
        <f t="shared" si="5"/>
        <v>0</v>
      </c>
      <c r="Y17" s="44">
        <f t="shared" si="6"/>
        <v>0</v>
      </c>
      <c r="Z17" s="84"/>
      <c r="AA17" s="78"/>
      <c r="AB17" s="78"/>
      <c r="AC17" s="78"/>
      <c r="AD17" s="78"/>
      <c r="AE17" s="78"/>
    </row>
    <row r="18" spans="1:31" ht="12.75">
      <c r="A18"/>
      <c r="B18"/>
      <c r="C18"/>
      <c r="D18"/>
      <c r="E18"/>
      <c r="F18"/>
      <c r="G18"/>
      <c r="H18"/>
      <c r="I18"/>
      <c r="J18"/>
      <c r="K18" s="100">
        <f t="shared" si="7"/>
        <v>0</v>
      </c>
      <c r="L18" s="95"/>
      <c r="M18" s="90">
        <f t="shared" si="1"/>
        <v>0</v>
      </c>
      <c r="N18" s="56">
        <v>0</v>
      </c>
      <c r="O18" s="44">
        <f t="shared" si="2"/>
        <v>0</v>
      </c>
      <c r="P18" s="44"/>
      <c r="Q18" s="44"/>
      <c r="R18" s="44"/>
      <c r="S18" s="44">
        <f t="shared" si="8"/>
        <v>0</v>
      </c>
      <c r="T18" s="44">
        <f t="shared" si="3"/>
        <v>0</v>
      </c>
      <c r="U18">
        <v>0</v>
      </c>
      <c r="V18" s="43">
        <v>0</v>
      </c>
      <c r="W18" s="44">
        <f t="shared" si="4"/>
        <v>0</v>
      </c>
      <c r="X18" s="44">
        <f t="shared" si="5"/>
        <v>0</v>
      </c>
      <c r="Y18" s="44">
        <f t="shared" si="6"/>
        <v>0</v>
      </c>
      <c r="Z18" s="84"/>
      <c r="AA18" s="78"/>
      <c r="AB18" s="78"/>
      <c r="AC18" s="78"/>
      <c r="AD18" s="78"/>
      <c r="AE18" s="78"/>
    </row>
    <row r="19" spans="1:31" ht="12.75">
      <c r="A19"/>
      <c r="B19"/>
      <c r="C19"/>
      <c r="D19"/>
      <c r="E19"/>
      <c r="F19"/>
      <c r="G19"/>
      <c r="H19"/>
      <c r="I19"/>
      <c r="J19"/>
      <c r="K19" s="100">
        <f t="shared" si="7"/>
        <v>0</v>
      </c>
      <c r="L19" s="95"/>
      <c r="M19" s="90">
        <f t="shared" si="1"/>
        <v>0</v>
      </c>
      <c r="N19" s="56">
        <v>0</v>
      </c>
      <c r="O19" s="44">
        <f t="shared" si="2"/>
        <v>0</v>
      </c>
      <c r="P19" s="44"/>
      <c r="Q19" s="44"/>
      <c r="R19" s="44"/>
      <c r="S19" s="44">
        <f t="shared" si="8"/>
        <v>0</v>
      </c>
      <c r="T19" s="44">
        <f t="shared" si="3"/>
        <v>0</v>
      </c>
      <c r="U19">
        <v>0</v>
      </c>
      <c r="V19" s="43">
        <v>0</v>
      </c>
      <c r="W19" s="44">
        <f t="shared" si="4"/>
        <v>0</v>
      </c>
      <c r="X19" s="44">
        <f t="shared" si="5"/>
        <v>0</v>
      </c>
      <c r="Y19" s="44">
        <f t="shared" si="6"/>
        <v>0</v>
      </c>
      <c r="Z19" s="84"/>
      <c r="AA19" s="78"/>
      <c r="AB19" s="78"/>
      <c r="AC19" s="78"/>
      <c r="AD19" s="78"/>
      <c r="AE19" s="78"/>
    </row>
    <row r="20" spans="1:31" ht="12.75">
      <c r="A20"/>
      <c r="B20"/>
      <c r="C20"/>
      <c r="D20"/>
      <c r="E20"/>
      <c r="F20"/>
      <c r="G20"/>
      <c r="H20"/>
      <c r="I20"/>
      <c r="J20"/>
      <c r="K20" s="100">
        <f t="shared" si="7"/>
        <v>0</v>
      </c>
      <c r="L20" s="95"/>
      <c r="M20" s="90">
        <f t="shared" si="1"/>
        <v>0</v>
      </c>
      <c r="N20" s="56">
        <v>0</v>
      </c>
      <c r="O20" s="44">
        <f t="shared" si="2"/>
        <v>0</v>
      </c>
      <c r="P20" s="44"/>
      <c r="Q20" s="44"/>
      <c r="R20" s="44"/>
      <c r="S20" s="44">
        <f t="shared" si="8"/>
        <v>0</v>
      </c>
      <c r="T20" s="44">
        <f t="shared" si="3"/>
        <v>0</v>
      </c>
      <c r="U20">
        <v>0</v>
      </c>
      <c r="V20" s="43">
        <v>0</v>
      </c>
      <c r="W20" s="44">
        <f t="shared" si="4"/>
        <v>0</v>
      </c>
      <c r="X20" s="44">
        <f t="shared" si="5"/>
        <v>0</v>
      </c>
      <c r="Y20" s="44">
        <f t="shared" si="6"/>
        <v>0</v>
      </c>
      <c r="Z20" s="84"/>
      <c r="AA20" s="78"/>
      <c r="AB20" s="78"/>
      <c r="AC20" s="78"/>
      <c r="AD20" s="78"/>
      <c r="AE20" s="78"/>
    </row>
    <row r="21" spans="1:31" ht="12.75">
      <c r="A21"/>
      <c r="B21"/>
      <c r="C21"/>
      <c r="D21"/>
      <c r="E21"/>
      <c r="F21"/>
      <c r="G21"/>
      <c r="H21"/>
      <c r="I21"/>
      <c r="J21"/>
      <c r="K21" s="100">
        <f t="shared" si="7"/>
        <v>0</v>
      </c>
      <c r="L21" s="95"/>
      <c r="M21" s="90">
        <f t="shared" si="1"/>
        <v>0</v>
      </c>
      <c r="N21" s="56">
        <v>0</v>
      </c>
      <c r="O21" s="44">
        <f t="shared" si="2"/>
        <v>0</v>
      </c>
      <c r="P21" s="44"/>
      <c r="Q21" s="44"/>
      <c r="R21" s="44"/>
      <c r="S21" s="44">
        <f t="shared" si="8"/>
        <v>0</v>
      </c>
      <c r="T21" s="44">
        <f t="shared" si="3"/>
        <v>0</v>
      </c>
      <c r="U21">
        <v>0</v>
      </c>
      <c r="V21" s="43">
        <v>0</v>
      </c>
      <c r="W21" s="44">
        <f t="shared" si="4"/>
        <v>0</v>
      </c>
      <c r="X21" s="44">
        <f t="shared" si="5"/>
        <v>0</v>
      </c>
      <c r="Y21" s="44">
        <f t="shared" si="6"/>
        <v>0</v>
      </c>
      <c r="Z21" s="84"/>
      <c r="AA21" s="78"/>
      <c r="AB21" s="78"/>
      <c r="AC21" s="78"/>
      <c r="AD21" s="78"/>
      <c r="AE21" s="78"/>
    </row>
    <row r="22" spans="1:31" ht="12.75">
      <c r="A22"/>
      <c r="B22"/>
      <c r="C22"/>
      <c r="D22"/>
      <c r="E22"/>
      <c r="F22"/>
      <c r="G22"/>
      <c r="H22"/>
      <c r="I22"/>
      <c r="J22"/>
      <c r="K22" s="100">
        <f t="shared" si="7"/>
        <v>0</v>
      </c>
      <c r="L22" s="95"/>
      <c r="M22" s="90">
        <f t="shared" si="1"/>
        <v>0</v>
      </c>
      <c r="N22" s="56">
        <v>0</v>
      </c>
      <c r="O22" s="44">
        <f t="shared" si="2"/>
        <v>0</v>
      </c>
      <c r="P22" s="44"/>
      <c r="Q22" s="44"/>
      <c r="R22" s="44"/>
      <c r="S22" s="44">
        <f t="shared" si="8"/>
        <v>0</v>
      </c>
      <c r="T22" s="44">
        <f t="shared" si="3"/>
        <v>0</v>
      </c>
      <c r="U22">
        <v>0</v>
      </c>
      <c r="V22" s="43">
        <v>0</v>
      </c>
      <c r="W22" s="44">
        <f t="shared" si="4"/>
        <v>0</v>
      </c>
      <c r="X22" s="44">
        <f t="shared" si="5"/>
        <v>0</v>
      </c>
      <c r="Y22" s="44">
        <f t="shared" si="6"/>
        <v>0</v>
      </c>
      <c r="Z22" s="84"/>
      <c r="AA22" s="78"/>
      <c r="AB22" s="78"/>
      <c r="AC22" s="78"/>
      <c r="AD22" s="78"/>
      <c r="AE22" s="78"/>
    </row>
    <row r="23" spans="1:31" ht="12.75">
      <c r="A23"/>
      <c r="B23"/>
      <c r="C23"/>
      <c r="D23"/>
      <c r="E23"/>
      <c r="F23"/>
      <c r="G23"/>
      <c r="H23"/>
      <c r="I23"/>
      <c r="J23"/>
      <c r="K23" s="100">
        <f t="shared" si="7"/>
        <v>0</v>
      </c>
      <c r="L23" s="95"/>
      <c r="M23" s="90">
        <f t="shared" si="1"/>
        <v>0</v>
      </c>
      <c r="N23" s="56">
        <v>0</v>
      </c>
      <c r="O23" s="44">
        <f t="shared" si="2"/>
        <v>0</v>
      </c>
      <c r="P23" s="44"/>
      <c r="Q23" s="44"/>
      <c r="R23" s="44"/>
      <c r="S23" s="44">
        <f t="shared" si="8"/>
        <v>0</v>
      </c>
      <c r="T23" s="44">
        <f t="shared" si="3"/>
        <v>0</v>
      </c>
      <c r="U23">
        <v>0</v>
      </c>
      <c r="V23" s="43">
        <v>0</v>
      </c>
      <c r="W23" s="44">
        <f t="shared" si="4"/>
        <v>0</v>
      </c>
      <c r="X23" s="44">
        <f t="shared" si="5"/>
        <v>0</v>
      </c>
      <c r="Y23" s="44">
        <f t="shared" si="6"/>
        <v>0</v>
      </c>
      <c r="Z23" s="84"/>
      <c r="AA23" s="78"/>
      <c r="AB23" s="78"/>
      <c r="AC23" s="78"/>
      <c r="AD23" s="78"/>
      <c r="AE23" s="78"/>
    </row>
    <row r="24" spans="1:31" ht="12.75">
      <c r="A24"/>
      <c r="B24"/>
      <c r="C24"/>
      <c r="D24"/>
      <c r="E24"/>
      <c r="F24"/>
      <c r="G24"/>
      <c r="H24"/>
      <c r="I24"/>
      <c r="J24"/>
      <c r="K24" s="100">
        <f t="shared" si="7"/>
        <v>0</v>
      </c>
      <c r="L24" s="95"/>
      <c r="M24" s="90">
        <f t="shared" si="1"/>
        <v>0</v>
      </c>
      <c r="N24" s="56">
        <v>0</v>
      </c>
      <c r="O24" s="44">
        <f t="shared" si="2"/>
        <v>0</v>
      </c>
      <c r="P24" s="44"/>
      <c r="Q24" s="44"/>
      <c r="R24" s="44"/>
      <c r="S24" s="44">
        <f t="shared" si="8"/>
        <v>0</v>
      </c>
      <c r="T24" s="44">
        <f t="shared" si="3"/>
        <v>0</v>
      </c>
      <c r="U24">
        <v>0</v>
      </c>
      <c r="V24" s="43">
        <v>0</v>
      </c>
      <c r="W24" s="44">
        <f t="shared" si="4"/>
        <v>0</v>
      </c>
      <c r="X24" s="44">
        <f t="shared" si="5"/>
        <v>0</v>
      </c>
      <c r="Y24" s="44">
        <f t="shared" si="6"/>
        <v>0</v>
      </c>
      <c r="Z24" s="84"/>
      <c r="AA24" s="78"/>
      <c r="AB24" s="78"/>
      <c r="AC24" s="78"/>
      <c r="AD24" s="78"/>
      <c r="AE24" s="78"/>
    </row>
    <row r="25" spans="1:31" ht="12.75">
      <c r="A25"/>
      <c r="B25"/>
      <c r="C25"/>
      <c r="D25"/>
      <c r="E25"/>
      <c r="F25"/>
      <c r="G25"/>
      <c r="H25"/>
      <c r="I25"/>
      <c r="J25"/>
      <c r="K25" s="100">
        <f t="shared" si="7"/>
        <v>0</v>
      </c>
      <c r="L25" s="95"/>
      <c r="M25" s="90">
        <f t="shared" si="1"/>
        <v>0</v>
      </c>
      <c r="N25" s="56">
        <v>0</v>
      </c>
      <c r="O25" s="44">
        <f t="shared" si="2"/>
        <v>0</v>
      </c>
      <c r="P25" s="44"/>
      <c r="Q25" s="44"/>
      <c r="R25" s="44"/>
      <c r="S25" s="44">
        <f t="shared" si="8"/>
        <v>0</v>
      </c>
      <c r="T25" s="44">
        <f t="shared" si="3"/>
        <v>0</v>
      </c>
      <c r="U25">
        <v>0</v>
      </c>
      <c r="V25" s="43">
        <v>0</v>
      </c>
      <c r="W25" s="44">
        <f t="shared" si="4"/>
        <v>0</v>
      </c>
      <c r="X25" s="44">
        <f t="shared" si="5"/>
        <v>0</v>
      </c>
      <c r="Y25" s="44">
        <f t="shared" si="6"/>
        <v>0</v>
      </c>
      <c r="Z25" s="84"/>
      <c r="AA25" s="78"/>
      <c r="AB25" s="78"/>
      <c r="AC25" s="78"/>
      <c r="AD25" s="78"/>
      <c r="AE25" s="78"/>
    </row>
    <row r="26" spans="1:31" ht="12.75">
      <c r="A26"/>
      <c r="B26"/>
      <c r="C26"/>
      <c r="D26"/>
      <c r="E26"/>
      <c r="F26"/>
      <c r="G26"/>
      <c r="H26"/>
      <c r="I26"/>
      <c r="J26"/>
      <c r="K26" s="100">
        <f t="shared" si="7"/>
        <v>0</v>
      </c>
      <c r="L26" s="95"/>
      <c r="M26" s="90">
        <f t="shared" si="1"/>
        <v>0</v>
      </c>
      <c r="N26" s="56">
        <v>0</v>
      </c>
      <c r="O26" s="44">
        <f t="shared" si="2"/>
        <v>0</v>
      </c>
      <c r="P26" s="44"/>
      <c r="Q26" s="44"/>
      <c r="R26" s="44"/>
      <c r="S26" s="44">
        <f t="shared" si="8"/>
        <v>0</v>
      </c>
      <c r="T26" s="44">
        <f t="shared" si="3"/>
        <v>0</v>
      </c>
      <c r="U26">
        <v>0</v>
      </c>
      <c r="V26" s="43">
        <v>0</v>
      </c>
      <c r="W26" s="44">
        <f t="shared" si="4"/>
        <v>0</v>
      </c>
      <c r="X26" s="44">
        <f t="shared" si="5"/>
        <v>0</v>
      </c>
      <c r="Y26" s="44">
        <f t="shared" si="6"/>
        <v>0</v>
      </c>
      <c r="Z26" s="84"/>
      <c r="AA26" s="78"/>
      <c r="AB26" s="78"/>
      <c r="AC26" s="78"/>
      <c r="AD26" s="78"/>
      <c r="AE26" s="78"/>
    </row>
    <row r="27" spans="1:31" ht="12.75">
      <c r="A27"/>
      <c r="B27"/>
      <c r="C27"/>
      <c r="D27"/>
      <c r="E27"/>
      <c r="F27"/>
      <c r="G27"/>
      <c r="H27"/>
      <c r="I27"/>
      <c r="J27"/>
      <c r="K27" s="100">
        <f t="shared" si="7"/>
        <v>0</v>
      </c>
      <c r="L27" s="95"/>
      <c r="M27" s="90">
        <f t="shared" si="1"/>
        <v>0</v>
      </c>
      <c r="N27" s="56">
        <v>0</v>
      </c>
      <c r="O27" s="44">
        <f t="shared" si="2"/>
        <v>0</v>
      </c>
      <c r="P27" s="44"/>
      <c r="Q27" s="44"/>
      <c r="R27" s="44"/>
      <c r="S27" s="44">
        <f t="shared" si="8"/>
        <v>0</v>
      </c>
      <c r="T27" s="44">
        <f t="shared" si="3"/>
        <v>0</v>
      </c>
      <c r="U27">
        <v>0</v>
      </c>
      <c r="V27" s="43">
        <v>0</v>
      </c>
      <c r="W27" s="44">
        <f t="shared" si="4"/>
        <v>0</v>
      </c>
      <c r="X27" s="44">
        <f t="shared" si="5"/>
        <v>0</v>
      </c>
      <c r="Y27" s="44">
        <f t="shared" si="6"/>
        <v>0</v>
      </c>
      <c r="Z27" s="84"/>
      <c r="AA27" s="78"/>
      <c r="AB27" s="78"/>
      <c r="AC27" s="78"/>
      <c r="AD27" s="78"/>
      <c r="AE27" s="78"/>
    </row>
    <row r="28" spans="1:31" ht="12.75">
      <c r="A28"/>
      <c r="B28"/>
      <c r="C28"/>
      <c r="D28"/>
      <c r="E28"/>
      <c r="F28"/>
      <c r="G28"/>
      <c r="H28"/>
      <c r="I28"/>
      <c r="J28"/>
      <c r="K28" s="100">
        <f t="shared" si="7"/>
        <v>0</v>
      </c>
      <c r="L28" s="95"/>
      <c r="M28" s="90">
        <f t="shared" si="1"/>
        <v>0</v>
      </c>
      <c r="N28" s="56">
        <v>0</v>
      </c>
      <c r="O28" s="44">
        <f t="shared" si="2"/>
        <v>0</v>
      </c>
      <c r="P28" s="44"/>
      <c r="Q28" s="44"/>
      <c r="R28" s="44"/>
      <c r="S28" s="44">
        <f t="shared" si="8"/>
        <v>0</v>
      </c>
      <c r="T28" s="44">
        <f t="shared" si="3"/>
        <v>0</v>
      </c>
      <c r="U28">
        <v>0</v>
      </c>
      <c r="V28" s="43">
        <v>0</v>
      </c>
      <c r="W28" s="44">
        <f t="shared" si="4"/>
        <v>0</v>
      </c>
      <c r="X28" s="44">
        <f t="shared" si="5"/>
        <v>0</v>
      </c>
      <c r="Y28" s="44">
        <f t="shared" si="6"/>
        <v>0</v>
      </c>
      <c r="Z28" s="84"/>
      <c r="AA28" s="78"/>
      <c r="AB28" s="78"/>
      <c r="AC28" s="78"/>
      <c r="AD28" s="78"/>
      <c r="AE28" s="78"/>
    </row>
    <row r="29" spans="1:31" ht="12.75">
      <c r="A29"/>
      <c r="B29"/>
      <c r="C29"/>
      <c r="D29"/>
      <c r="E29"/>
      <c r="F29"/>
      <c r="G29"/>
      <c r="H29"/>
      <c r="I29"/>
      <c r="J29"/>
      <c r="K29" s="100">
        <f t="shared" si="7"/>
        <v>0</v>
      </c>
      <c r="L29" s="95"/>
      <c r="M29" s="90">
        <f t="shared" si="1"/>
        <v>0</v>
      </c>
      <c r="N29" s="56">
        <v>0</v>
      </c>
      <c r="O29" s="44">
        <f t="shared" si="2"/>
        <v>0</v>
      </c>
      <c r="P29" s="44"/>
      <c r="Q29" s="44"/>
      <c r="R29" s="44"/>
      <c r="S29" s="44">
        <f t="shared" si="8"/>
        <v>0</v>
      </c>
      <c r="T29" s="44">
        <f t="shared" si="3"/>
        <v>0</v>
      </c>
      <c r="U29">
        <v>0</v>
      </c>
      <c r="V29" s="43">
        <v>0</v>
      </c>
      <c r="W29" s="44">
        <f t="shared" si="4"/>
        <v>0</v>
      </c>
      <c r="X29" s="44">
        <f t="shared" si="5"/>
        <v>0</v>
      </c>
      <c r="Y29" s="44">
        <f t="shared" si="6"/>
        <v>0</v>
      </c>
      <c r="Z29" s="84"/>
      <c r="AA29" s="78"/>
      <c r="AB29" s="78"/>
      <c r="AC29" s="78"/>
      <c r="AD29" s="78"/>
      <c r="AE29" s="78"/>
    </row>
    <row r="30" spans="1:31" ht="12.75">
      <c r="A30"/>
      <c r="B30"/>
      <c r="C30"/>
      <c r="D30"/>
      <c r="E30"/>
      <c r="F30"/>
      <c r="G30"/>
      <c r="H30"/>
      <c r="I30"/>
      <c r="J30"/>
      <c r="K30" s="100">
        <f t="shared" si="7"/>
        <v>0</v>
      </c>
      <c r="L30" s="95"/>
      <c r="M30" s="90">
        <f t="shared" si="1"/>
        <v>0</v>
      </c>
      <c r="N30" s="56">
        <v>0</v>
      </c>
      <c r="O30" s="44">
        <f t="shared" si="2"/>
        <v>0</v>
      </c>
      <c r="P30" s="44"/>
      <c r="Q30" s="44"/>
      <c r="R30" s="44"/>
      <c r="S30" s="44">
        <f t="shared" si="8"/>
        <v>0</v>
      </c>
      <c r="T30" s="44">
        <f t="shared" si="3"/>
        <v>0</v>
      </c>
      <c r="U30">
        <v>0</v>
      </c>
      <c r="V30" s="43">
        <v>0</v>
      </c>
      <c r="W30" s="44">
        <f t="shared" si="4"/>
        <v>0</v>
      </c>
      <c r="X30" s="44">
        <f t="shared" si="5"/>
        <v>0</v>
      </c>
      <c r="Y30" s="44">
        <f t="shared" si="6"/>
        <v>0</v>
      </c>
      <c r="Z30" s="84"/>
      <c r="AA30" s="78"/>
      <c r="AB30" s="78"/>
      <c r="AC30" s="78"/>
      <c r="AD30" s="78"/>
      <c r="AE30" s="78"/>
    </row>
    <row r="31" spans="1:31" ht="12.75">
      <c r="A31"/>
      <c r="B31"/>
      <c r="C31"/>
      <c r="D31"/>
      <c r="E31"/>
      <c r="F31"/>
      <c r="G31"/>
      <c r="H31"/>
      <c r="I31"/>
      <c r="J31"/>
      <c r="K31" s="100">
        <f t="shared" si="7"/>
        <v>0</v>
      </c>
      <c r="L31" s="95"/>
      <c r="M31" s="90">
        <f t="shared" si="1"/>
        <v>0</v>
      </c>
      <c r="N31" s="56">
        <v>0</v>
      </c>
      <c r="O31" s="44">
        <f t="shared" si="2"/>
        <v>0</v>
      </c>
      <c r="P31" s="44"/>
      <c r="Q31" s="44"/>
      <c r="R31" s="44"/>
      <c r="S31" s="44">
        <f t="shared" si="8"/>
        <v>0</v>
      </c>
      <c r="T31" s="44">
        <f t="shared" si="3"/>
        <v>0</v>
      </c>
      <c r="U31">
        <v>0</v>
      </c>
      <c r="V31" s="43">
        <v>0</v>
      </c>
      <c r="W31" s="44">
        <f t="shared" si="4"/>
        <v>0</v>
      </c>
      <c r="X31" s="44">
        <f t="shared" si="5"/>
        <v>0</v>
      </c>
      <c r="Y31" s="44">
        <f t="shared" si="6"/>
        <v>0</v>
      </c>
      <c r="Z31" s="84"/>
      <c r="AA31" s="78"/>
      <c r="AB31" s="78"/>
      <c r="AC31" s="78"/>
      <c r="AD31" s="78"/>
      <c r="AE31" s="78"/>
    </row>
    <row r="32" spans="1:31" ht="12.75">
      <c r="A32"/>
      <c r="B32"/>
      <c r="C32"/>
      <c r="D32"/>
      <c r="E32"/>
      <c r="F32"/>
      <c r="G32"/>
      <c r="H32"/>
      <c r="I32"/>
      <c r="J32"/>
      <c r="K32" s="100">
        <f t="shared" si="7"/>
        <v>0</v>
      </c>
      <c r="L32" s="95"/>
      <c r="M32" s="90">
        <f t="shared" si="1"/>
        <v>0</v>
      </c>
      <c r="N32" s="56">
        <v>0</v>
      </c>
      <c r="O32" s="44">
        <f t="shared" si="2"/>
        <v>0</v>
      </c>
      <c r="P32" s="44"/>
      <c r="Q32" s="44"/>
      <c r="R32" s="44"/>
      <c r="S32" s="44">
        <f t="shared" si="8"/>
        <v>0</v>
      </c>
      <c r="T32" s="44">
        <f t="shared" si="3"/>
        <v>0</v>
      </c>
      <c r="U32">
        <v>0</v>
      </c>
      <c r="V32" s="43">
        <v>0</v>
      </c>
      <c r="W32" s="44">
        <f t="shared" si="4"/>
        <v>0</v>
      </c>
      <c r="X32" s="44">
        <f t="shared" si="5"/>
        <v>0</v>
      </c>
      <c r="Y32" s="44">
        <f t="shared" si="6"/>
        <v>0</v>
      </c>
      <c r="Z32" s="84"/>
      <c r="AA32" s="78"/>
      <c r="AB32" s="78"/>
      <c r="AC32" s="78"/>
      <c r="AD32" s="78"/>
      <c r="AE32" s="78"/>
    </row>
    <row r="33" spans="1:31" ht="12.75">
      <c r="A33"/>
      <c r="B33"/>
      <c r="C33"/>
      <c r="D33"/>
      <c r="E33"/>
      <c r="F33"/>
      <c r="G33"/>
      <c r="H33"/>
      <c r="I33"/>
      <c r="J33"/>
      <c r="K33" s="100">
        <f t="shared" si="7"/>
        <v>0</v>
      </c>
      <c r="L33" s="95"/>
      <c r="M33" s="90">
        <f t="shared" si="1"/>
        <v>0</v>
      </c>
      <c r="N33" s="56">
        <v>0</v>
      </c>
      <c r="O33" s="44">
        <f t="shared" si="2"/>
        <v>0</v>
      </c>
      <c r="P33" s="44"/>
      <c r="Q33" s="44"/>
      <c r="R33" s="44"/>
      <c r="S33" s="44">
        <f t="shared" si="8"/>
        <v>0</v>
      </c>
      <c r="T33" s="44">
        <f t="shared" si="3"/>
        <v>0</v>
      </c>
      <c r="U33">
        <v>0</v>
      </c>
      <c r="V33" s="43">
        <v>0</v>
      </c>
      <c r="W33" s="44">
        <f t="shared" si="4"/>
        <v>0</v>
      </c>
      <c r="X33" s="44">
        <f t="shared" si="5"/>
        <v>0</v>
      </c>
      <c r="Y33" s="44">
        <f t="shared" si="6"/>
        <v>0</v>
      </c>
      <c r="Z33" s="84"/>
      <c r="AA33" s="78"/>
      <c r="AB33" s="78"/>
      <c r="AC33" s="78"/>
      <c r="AD33" s="78"/>
      <c r="AE33" s="78"/>
    </row>
    <row r="34" spans="1:31" ht="12.75">
      <c r="A34"/>
      <c r="B34"/>
      <c r="C34"/>
      <c r="D34"/>
      <c r="E34"/>
      <c r="F34"/>
      <c r="G34"/>
      <c r="H34"/>
      <c r="I34"/>
      <c r="J34"/>
      <c r="K34" s="100">
        <f t="shared" si="7"/>
        <v>0</v>
      </c>
      <c r="L34" s="95"/>
      <c r="M34" s="90">
        <f t="shared" si="1"/>
        <v>0</v>
      </c>
      <c r="N34" s="56">
        <v>0</v>
      </c>
      <c r="O34" s="44">
        <f t="shared" si="2"/>
        <v>0</v>
      </c>
      <c r="P34" s="44"/>
      <c r="Q34" s="44"/>
      <c r="R34" s="44"/>
      <c r="S34" s="44">
        <f t="shared" si="8"/>
        <v>0</v>
      </c>
      <c r="T34" s="44">
        <f t="shared" si="3"/>
        <v>0</v>
      </c>
      <c r="U34">
        <v>0</v>
      </c>
      <c r="V34" s="43">
        <v>0</v>
      </c>
      <c r="W34" s="44">
        <f t="shared" si="4"/>
        <v>0</v>
      </c>
      <c r="X34" s="44">
        <f t="shared" si="5"/>
        <v>0</v>
      </c>
      <c r="Y34" s="44">
        <f t="shared" si="6"/>
        <v>0</v>
      </c>
      <c r="Z34" s="84"/>
      <c r="AA34" s="78"/>
      <c r="AB34" s="78"/>
      <c r="AC34" s="78"/>
      <c r="AD34" s="78"/>
      <c r="AE34" s="78"/>
    </row>
    <row r="35" spans="1:31" ht="12.75">
      <c r="A35"/>
      <c r="B35"/>
      <c r="C35"/>
      <c r="D35"/>
      <c r="E35"/>
      <c r="F35"/>
      <c r="G35"/>
      <c r="H35"/>
      <c r="I35"/>
      <c r="J35"/>
      <c r="K35" s="100">
        <f t="shared" si="7"/>
        <v>0</v>
      </c>
      <c r="L35" s="95"/>
      <c r="M35" s="90">
        <f t="shared" si="1"/>
        <v>0</v>
      </c>
      <c r="N35" s="56">
        <v>0</v>
      </c>
      <c r="O35" s="44">
        <f t="shared" si="2"/>
        <v>0</v>
      </c>
      <c r="P35" s="44"/>
      <c r="Q35" s="44"/>
      <c r="R35" s="44"/>
      <c r="S35" s="44">
        <f t="shared" si="8"/>
        <v>0</v>
      </c>
      <c r="T35" s="44">
        <f t="shared" si="3"/>
        <v>0</v>
      </c>
      <c r="U35">
        <v>0</v>
      </c>
      <c r="V35" s="43">
        <v>0</v>
      </c>
      <c r="W35" s="44">
        <f t="shared" si="4"/>
        <v>0</v>
      </c>
      <c r="X35" s="44">
        <f t="shared" si="5"/>
        <v>0</v>
      </c>
      <c r="Y35" s="44">
        <f t="shared" si="6"/>
        <v>0</v>
      </c>
      <c r="Z35" s="84"/>
      <c r="AA35" s="78"/>
      <c r="AB35" s="78"/>
      <c r="AC35" s="78"/>
      <c r="AD35" s="78"/>
      <c r="AE35" s="78"/>
    </row>
    <row r="36" spans="1:31" ht="12.75">
      <c r="A36"/>
      <c r="B36"/>
      <c r="C36"/>
      <c r="D36"/>
      <c r="E36"/>
      <c r="F36"/>
      <c r="G36"/>
      <c r="H36"/>
      <c r="I36"/>
      <c r="J36"/>
      <c r="K36" s="100">
        <f t="shared" si="7"/>
        <v>0</v>
      </c>
      <c r="L36" s="95"/>
      <c r="M36" s="90">
        <f t="shared" si="1"/>
        <v>0</v>
      </c>
      <c r="N36" s="56">
        <v>0</v>
      </c>
      <c r="O36" s="44">
        <f t="shared" si="2"/>
        <v>0</v>
      </c>
      <c r="P36" s="44"/>
      <c r="Q36" s="44"/>
      <c r="R36" s="44"/>
      <c r="S36" s="44">
        <f t="shared" si="8"/>
        <v>0</v>
      </c>
      <c r="T36" s="44">
        <f t="shared" si="3"/>
        <v>0</v>
      </c>
      <c r="U36">
        <v>0</v>
      </c>
      <c r="V36" s="43">
        <v>0</v>
      </c>
      <c r="W36" s="44">
        <f t="shared" si="4"/>
        <v>0</v>
      </c>
      <c r="X36" s="44">
        <f t="shared" si="5"/>
        <v>0</v>
      </c>
      <c r="Y36" s="44">
        <f t="shared" si="6"/>
        <v>0</v>
      </c>
      <c r="Z36" s="84"/>
      <c r="AA36" s="78"/>
      <c r="AB36" s="78"/>
      <c r="AC36" s="78"/>
      <c r="AD36" s="78"/>
      <c r="AE36" s="78"/>
    </row>
    <row r="37" spans="1:31" ht="12.75">
      <c r="A37"/>
      <c r="B37"/>
      <c r="C37"/>
      <c r="D37"/>
      <c r="E37"/>
      <c r="F37"/>
      <c r="G37"/>
      <c r="H37"/>
      <c r="I37"/>
      <c r="J37"/>
      <c r="K37" s="100">
        <f t="shared" si="7"/>
        <v>0</v>
      </c>
      <c r="L37" s="95"/>
      <c r="M37" s="90">
        <f t="shared" si="1"/>
        <v>0</v>
      </c>
      <c r="N37" s="56">
        <v>0</v>
      </c>
      <c r="O37" s="44">
        <f t="shared" si="2"/>
        <v>0</v>
      </c>
      <c r="P37" s="44"/>
      <c r="Q37" s="44"/>
      <c r="R37" s="44"/>
      <c r="S37" s="44">
        <f t="shared" si="8"/>
        <v>0</v>
      </c>
      <c r="T37" s="44">
        <f t="shared" si="3"/>
        <v>0</v>
      </c>
      <c r="U37">
        <v>0</v>
      </c>
      <c r="V37" s="43">
        <v>0</v>
      </c>
      <c r="W37" s="44">
        <f t="shared" si="4"/>
        <v>0</v>
      </c>
      <c r="X37" s="44">
        <f t="shared" si="5"/>
        <v>0</v>
      </c>
      <c r="Y37" s="44">
        <f t="shared" si="6"/>
        <v>0</v>
      </c>
      <c r="Z37" s="84"/>
      <c r="AA37" s="78"/>
      <c r="AB37" s="78"/>
      <c r="AC37" s="78"/>
      <c r="AD37" s="78"/>
      <c r="AE37" s="78"/>
    </row>
    <row r="38" spans="1:31" ht="12.75">
      <c r="A38"/>
      <c r="B38"/>
      <c r="C38"/>
      <c r="D38"/>
      <c r="E38"/>
      <c r="F38"/>
      <c r="G38"/>
      <c r="H38"/>
      <c r="I38"/>
      <c r="J38"/>
      <c r="K38" s="100">
        <f t="shared" si="7"/>
        <v>0</v>
      </c>
      <c r="L38" s="95"/>
      <c r="M38" s="90">
        <f t="shared" si="1"/>
        <v>0</v>
      </c>
      <c r="N38" s="56">
        <v>0</v>
      </c>
      <c r="O38" s="44">
        <f t="shared" si="2"/>
        <v>0</v>
      </c>
      <c r="P38" s="44"/>
      <c r="Q38" s="44"/>
      <c r="R38" s="44"/>
      <c r="S38" s="44">
        <f t="shared" si="8"/>
        <v>0</v>
      </c>
      <c r="T38" s="44">
        <f t="shared" si="3"/>
        <v>0</v>
      </c>
      <c r="U38">
        <v>0</v>
      </c>
      <c r="V38" s="43">
        <v>0</v>
      </c>
      <c r="W38" s="44">
        <f t="shared" si="4"/>
        <v>0</v>
      </c>
      <c r="X38" s="44">
        <f t="shared" si="5"/>
        <v>0</v>
      </c>
      <c r="Y38" s="44">
        <f t="shared" si="6"/>
        <v>0</v>
      </c>
      <c r="Z38" s="84"/>
      <c r="AA38" s="78"/>
      <c r="AB38" s="78"/>
      <c r="AC38" s="78"/>
      <c r="AD38" s="78"/>
      <c r="AE38" s="78"/>
    </row>
    <row r="39" spans="1:31" ht="12.75">
      <c r="A39"/>
      <c r="B39"/>
      <c r="C39"/>
      <c r="D39"/>
      <c r="E39"/>
      <c r="F39"/>
      <c r="G39"/>
      <c r="H39"/>
      <c r="I39"/>
      <c r="J39"/>
      <c r="K39" s="100">
        <f t="shared" si="7"/>
        <v>0</v>
      </c>
      <c r="L39" s="95"/>
      <c r="M39" s="90">
        <f t="shared" si="1"/>
        <v>0</v>
      </c>
      <c r="N39" s="56">
        <v>0</v>
      </c>
      <c r="O39" s="44">
        <f t="shared" si="2"/>
        <v>0</v>
      </c>
      <c r="P39" s="44"/>
      <c r="Q39" s="44"/>
      <c r="R39" s="44"/>
      <c r="S39" s="44">
        <f t="shared" si="8"/>
        <v>0</v>
      </c>
      <c r="T39" s="44">
        <f t="shared" si="3"/>
        <v>0</v>
      </c>
      <c r="U39">
        <v>0</v>
      </c>
      <c r="V39" s="43">
        <v>0</v>
      </c>
      <c r="W39" s="44">
        <f t="shared" si="4"/>
        <v>0</v>
      </c>
      <c r="X39" s="44">
        <f t="shared" si="5"/>
        <v>0</v>
      </c>
      <c r="Y39" s="44">
        <f t="shared" si="6"/>
        <v>0</v>
      </c>
      <c r="Z39" s="84"/>
      <c r="AA39" s="78"/>
      <c r="AB39" s="78"/>
      <c r="AC39" s="78"/>
      <c r="AD39" s="78"/>
      <c r="AE39" s="78"/>
    </row>
    <row r="40" spans="1:31" ht="12.75">
      <c r="A40"/>
      <c r="B40"/>
      <c r="C40"/>
      <c r="D40"/>
      <c r="E40"/>
      <c r="F40"/>
      <c r="G40"/>
      <c r="H40"/>
      <c r="I40"/>
      <c r="J40"/>
      <c r="K40" s="100">
        <f t="shared" si="7"/>
        <v>0</v>
      </c>
      <c r="L40" s="95"/>
      <c r="M40" s="90">
        <f t="shared" si="1"/>
        <v>0</v>
      </c>
      <c r="N40" s="56">
        <v>0</v>
      </c>
      <c r="O40" s="44">
        <f t="shared" si="2"/>
        <v>0</v>
      </c>
      <c r="P40" s="44"/>
      <c r="Q40" s="44"/>
      <c r="R40" s="44"/>
      <c r="S40" s="44">
        <f t="shared" si="8"/>
        <v>0</v>
      </c>
      <c r="T40" s="44">
        <f t="shared" si="3"/>
        <v>0</v>
      </c>
      <c r="U40">
        <v>0</v>
      </c>
      <c r="V40" s="43">
        <v>0</v>
      </c>
      <c r="W40" s="44">
        <f t="shared" si="4"/>
        <v>0</v>
      </c>
      <c r="X40" s="44">
        <f t="shared" si="5"/>
        <v>0</v>
      </c>
      <c r="Y40" s="44">
        <f t="shared" si="6"/>
        <v>0</v>
      </c>
      <c r="Z40" s="84"/>
      <c r="AA40" s="78"/>
      <c r="AB40" s="78"/>
      <c r="AC40" s="78"/>
      <c r="AD40" s="78"/>
      <c r="AE40" s="78"/>
    </row>
    <row r="41" spans="1:31" ht="12.75">
      <c r="A41"/>
      <c r="B41"/>
      <c r="C41"/>
      <c r="D41"/>
      <c r="E41"/>
      <c r="F41"/>
      <c r="G41"/>
      <c r="H41"/>
      <c r="I41"/>
      <c r="J41"/>
      <c r="K41" s="100">
        <f t="shared" si="7"/>
        <v>0</v>
      </c>
      <c r="L41" s="95"/>
      <c r="M41" s="90">
        <f t="shared" si="1"/>
        <v>0</v>
      </c>
      <c r="N41" s="56">
        <v>0</v>
      </c>
      <c r="O41" s="44">
        <f t="shared" si="2"/>
        <v>0</v>
      </c>
      <c r="P41" s="44"/>
      <c r="Q41" s="44"/>
      <c r="R41" s="44"/>
      <c r="S41" s="44">
        <f t="shared" si="8"/>
        <v>0</v>
      </c>
      <c r="T41" s="44">
        <f t="shared" si="3"/>
        <v>0</v>
      </c>
      <c r="U41">
        <v>0</v>
      </c>
      <c r="V41" s="43">
        <v>0</v>
      </c>
      <c r="W41" s="44">
        <f t="shared" si="4"/>
        <v>0</v>
      </c>
      <c r="X41" s="44">
        <f t="shared" si="5"/>
        <v>0</v>
      </c>
      <c r="Y41" s="44">
        <f t="shared" si="6"/>
        <v>0</v>
      </c>
      <c r="Z41" s="84"/>
      <c r="AA41" s="78"/>
      <c r="AB41" s="78"/>
      <c r="AC41" s="78"/>
      <c r="AD41" s="78"/>
      <c r="AE41" s="78"/>
    </row>
    <row r="42" spans="1:31" ht="12.75">
      <c r="A42"/>
      <c r="B42"/>
      <c r="C42"/>
      <c r="D42"/>
      <c r="E42"/>
      <c r="F42"/>
      <c r="G42"/>
      <c r="H42"/>
      <c r="I42"/>
      <c r="J42"/>
      <c r="K42" s="100">
        <f t="shared" si="7"/>
        <v>0</v>
      </c>
      <c r="L42" s="95"/>
      <c r="M42" s="90">
        <f t="shared" si="1"/>
        <v>0</v>
      </c>
      <c r="N42" s="56">
        <v>0</v>
      </c>
      <c r="O42" s="44">
        <f t="shared" si="2"/>
        <v>0</v>
      </c>
      <c r="P42" s="44"/>
      <c r="Q42" s="44"/>
      <c r="R42" s="44"/>
      <c r="S42" s="44">
        <f t="shared" si="8"/>
        <v>0</v>
      </c>
      <c r="T42" s="44">
        <f t="shared" si="3"/>
        <v>0</v>
      </c>
      <c r="U42">
        <v>0</v>
      </c>
      <c r="V42" s="43">
        <v>0</v>
      </c>
      <c r="W42" s="44">
        <f t="shared" si="4"/>
        <v>0</v>
      </c>
      <c r="X42" s="44">
        <f t="shared" si="5"/>
        <v>0</v>
      </c>
      <c r="Y42" s="44">
        <f t="shared" si="6"/>
        <v>0</v>
      </c>
      <c r="Z42" s="84"/>
      <c r="AA42" s="78"/>
      <c r="AB42" s="78"/>
      <c r="AC42" s="78"/>
      <c r="AD42" s="78"/>
      <c r="AE42" s="78"/>
    </row>
    <row r="43" spans="1:31" ht="12.75">
      <c r="A43"/>
      <c r="B43"/>
      <c r="C43"/>
      <c r="D43"/>
      <c r="E43"/>
      <c r="F43"/>
      <c r="G43"/>
      <c r="H43"/>
      <c r="I43"/>
      <c r="J43"/>
      <c r="K43" s="100">
        <f t="shared" si="7"/>
        <v>0</v>
      </c>
      <c r="L43" s="95"/>
      <c r="M43" s="90">
        <f t="shared" si="1"/>
        <v>0</v>
      </c>
      <c r="N43" s="56">
        <v>0</v>
      </c>
      <c r="O43" s="44">
        <f t="shared" si="2"/>
        <v>0</v>
      </c>
      <c r="P43" s="44"/>
      <c r="Q43" s="44"/>
      <c r="R43" s="44"/>
      <c r="S43" s="44">
        <f t="shared" si="8"/>
        <v>0</v>
      </c>
      <c r="T43" s="44">
        <f t="shared" si="3"/>
        <v>0</v>
      </c>
      <c r="U43">
        <v>0</v>
      </c>
      <c r="V43" s="43">
        <v>0</v>
      </c>
      <c r="W43" s="44">
        <f t="shared" si="4"/>
        <v>0</v>
      </c>
      <c r="X43" s="44">
        <f t="shared" si="5"/>
        <v>0</v>
      </c>
      <c r="Y43" s="44">
        <f t="shared" si="6"/>
        <v>0</v>
      </c>
      <c r="Z43" s="84"/>
      <c r="AA43" s="78"/>
      <c r="AB43" s="78"/>
      <c r="AC43" s="78"/>
      <c r="AD43" s="78"/>
      <c r="AE43" s="78"/>
    </row>
    <row r="44" spans="1:31" ht="12.75">
      <c r="A44"/>
      <c r="B44"/>
      <c r="C44"/>
      <c r="D44"/>
      <c r="E44"/>
      <c r="F44"/>
      <c r="G44"/>
      <c r="H44"/>
      <c r="I44"/>
      <c r="J44"/>
      <c r="K44" s="100">
        <f t="shared" si="7"/>
        <v>0</v>
      </c>
      <c r="L44" s="95"/>
      <c r="M44" s="90">
        <f t="shared" si="1"/>
        <v>0</v>
      </c>
      <c r="N44" s="56">
        <v>0</v>
      </c>
      <c r="O44" s="44">
        <f t="shared" si="2"/>
        <v>0</v>
      </c>
      <c r="P44" s="44"/>
      <c r="Q44" s="44"/>
      <c r="R44" s="44"/>
      <c r="S44" s="44">
        <f t="shared" si="8"/>
        <v>0</v>
      </c>
      <c r="T44" s="44">
        <f t="shared" si="3"/>
        <v>0</v>
      </c>
      <c r="U44">
        <v>0</v>
      </c>
      <c r="V44" s="43">
        <v>0</v>
      </c>
      <c r="W44" s="44">
        <f t="shared" si="4"/>
        <v>0</v>
      </c>
      <c r="X44" s="44">
        <f t="shared" si="5"/>
        <v>0</v>
      </c>
      <c r="Y44" s="44">
        <f t="shared" si="6"/>
        <v>0</v>
      </c>
      <c r="Z44" s="84"/>
      <c r="AA44" s="78"/>
      <c r="AB44" s="78"/>
      <c r="AC44" s="78"/>
      <c r="AD44" s="78"/>
      <c r="AE44" s="78"/>
    </row>
    <row r="45" spans="1:31" ht="12.75">
      <c r="A45"/>
      <c r="B45"/>
      <c r="C45"/>
      <c r="D45"/>
      <c r="E45"/>
      <c r="F45"/>
      <c r="G45"/>
      <c r="H45"/>
      <c r="I45"/>
      <c r="J45"/>
      <c r="K45" s="100">
        <f t="shared" si="7"/>
        <v>0</v>
      </c>
      <c r="L45" s="95"/>
      <c r="M45" s="90">
        <f t="shared" si="1"/>
        <v>0</v>
      </c>
      <c r="N45" s="56">
        <v>0</v>
      </c>
      <c r="O45" s="44">
        <f t="shared" si="2"/>
        <v>0</v>
      </c>
      <c r="P45" s="44"/>
      <c r="Q45" s="44"/>
      <c r="R45" s="44"/>
      <c r="S45" s="44">
        <f t="shared" si="8"/>
        <v>0</v>
      </c>
      <c r="T45" s="44">
        <f t="shared" si="3"/>
        <v>0</v>
      </c>
      <c r="U45">
        <v>0</v>
      </c>
      <c r="V45" s="43">
        <v>0</v>
      </c>
      <c r="W45" s="44">
        <f t="shared" si="4"/>
        <v>0</v>
      </c>
      <c r="X45" s="44">
        <f t="shared" si="5"/>
        <v>0</v>
      </c>
      <c r="Y45" s="44">
        <f t="shared" si="6"/>
        <v>0</v>
      </c>
      <c r="Z45" s="84"/>
      <c r="AA45" s="78"/>
      <c r="AB45" s="78"/>
      <c r="AC45" s="78"/>
      <c r="AD45" s="78"/>
      <c r="AE45" s="78"/>
    </row>
    <row r="46" spans="1:31" ht="12.75">
      <c r="A46"/>
      <c r="B46"/>
      <c r="C46"/>
      <c r="D46"/>
      <c r="E46"/>
      <c r="F46"/>
      <c r="G46"/>
      <c r="H46"/>
      <c r="I46"/>
      <c r="J46"/>
      <c r="K46" s="100">
        <f t="shared" si="7"/>
        <v>0</v>
      </c>
      <c r="L46" s="95"/>
      <c r="M46" s="90">
        <f t="shared" si="1"/>
        <v>0</v>
      </c>
      <c r="N46" s="56">
        <v>0</v>
      </c>
      <c r="O46" s="44">
        <f t="shared" si="2"/>
        <v>0</v>
      </c>
      <c r="P46" s="44"/>
      <c r="Q46" s="44"/>
      <c r="R46" s="44"/>
      <c r="S46" s="44">
        <f t="shared" si="8"/>
        <v>0</v>
      </c>
      <c r="T46" s="44">
        <f t="shared" si="3"/>
        <v>0</v>
      </c>
      <c r="U46">
        <v>0</v>
      </c>
      <c r="V46" s="43">
        <v>0</v>
      </c>
      <c r="W46" s="44">
        <f t="shared" si="4"/>
        <v>0</v>
      </c>
      <c r="X46" s="44">
        <f t="shared" si="5"/>
        <v>0</v>
      </c>
      <c r="Y46" s="44">
        <f t="shared" si="6"/>
        <v>0</v>
      </c>
      <c r="Z46" s="84"/>
      <c r="AA46" s="78"/>
      <c r="AB46" s="78"/>
      <c r="AC46" s="78"/>
      <c r="AD46" s="78"/>
      <c r="AE46" s="78"/>
    </row>
    <row r="47" spans="1:31" ht="12.75">
      <c r="A47"/>
      <c r="B47"/>
      <c r="C47"/>
      <c r="D47"/>
      <c r="E47"/>
      <c r="F47"/>
      <c r="G47"/>
      <c r="H47"/>
      <c r="I47"/>
      <c r="J47"/>
      <c r="K47" s="100">
        <f t="shared" si="7"/>
        <v>0</v>
      </c>
      <c r="L47" s="95"/>
      <c r="M47" s="90">
        <f t="shared" si="1"/>
        <v>0</v>
      </c>
      <c r="N47" s="56">
        <v>0</v>
      </c>
      <c r="O47" s="44">
        <f t="shared" si="2"/>
        <v>0</v>
      </c>
      <c r="P47" s="44"/>
      <c r="Q47" s="44"/>
      <c r="R47" s="44"/>
      <c r="S47" s="44">
        <f t="shared" si="8"/>
        <v>0</v>
      </c>
      <c r="T47" s="44">
        <f t="shared" si="3"/>
        <v>0</v>
      </c>
      <c r="U47">
        <v>0</v>
      </c>
      <c r="V47" s="43">
        <v>0</v>
      </c>
      <c r="W47" s="44">
        <f t="shared" si="4"/>
        <v>0</v>
      </c>
      <c r="X47" s="44">
        <f t="shared" si="5"/>
        <v>0</v>
      </c>
      <c r="Y47" s="44">
        <f t="shared" si="6"/>
        <v>0</v>
      </c>
      <c r="Z47" s="84"/>
      <c r="AA47" s="78"/>
      <c r="AB47" s="78"/>
      <c r="AC47" s="78"/>
      <c r="AD47" s="78"/>
      <c r="AE47" s="78"/>
    </row>
    <row r="48" spans="1:31" ht="12.75">
      <c r="A48"/>
      <c r="B48"/>
      <c r="C48"/>
      <c r="D48"/>
      <c r="E48"/>
      <c r="F48"/>
      <c r="G48"/>
      <c r="H48"/>
      <c r="I48"/>
      <c r="J48"/>
      <c r="K48" s="100">
        <f t="shared" si="7"/>
        <v>0</v>
      </c>
      <c r="L48" s="95"/>
      <c r="M48" s="90">
        <f t="shared" si="1"/>
        <v>0</v>
      </c>
      <c r="N48" s="56">
        <v>0</v>
      </c>
      <c r="O48" s="44">
        <f t="shared" si="2"/>
        <v>0</v>
      </c>
      <c r="P48" s="44"/>
      <c r="Q48" s="44"/>
      <c r="R48" s="44"/>
      <c r="S48" s="44">
        <f t="shared" si="8"/>
        <v>0</v>
      </c>
      <c r="T48" s="44">
        <f t="shared" si="3"/>
        <v>0</v>
      </c>
      <c r="U48">
        <v>0</v>
      </c>
      <c r="V48" s="43">
        <v>0</v>
      </c>
      <c r="W48" s="44">
        <f t="shared" si="4"/>
        <v>0</v>
      </c>
      <c r="X48" s="44">
        <f t="shared" si="5"/>
        <v>0</v>
      </c>
      <c r="Y48" s="44">
        <f t="shared" si="6"/>
        <v>0</v>
      </c>
      <c r="Z48" s="84"/>
      <c r="AA48" s="78"/>
      <c r="AB48" s="78"/>
      <c r="AC48" s="78"/>
      <c r="AD48" s="78"/>
      <c r="AE48" s="78"/>
    </row>
    <row r="49" spans="1:31" ht="12.75">
      <c r="A49"/>
      <c r="B49"/>
      <c r="C49"/>
      <c r="D49"/>
      <c r="E49"/>
      <c r="F49"/>
      <c r="G49"/>
      <c r="H49"/>
      <c r="I49"/>
      <c r="J49"/>
      <c r="K49" s="100">
        <f t="shared" si="7"/>
        <v>0</v>
      </c>
      <c r="L49" s="95"/>
      <c r="M49" s="90">
        <f t="shared" si="1"/>
        <v>0</v>
      </c>
      <c r="N49" s="56">
        <v>0</v>
      </c>
      <c r="O49" s="44">
        <f t="shared" si="2"/>
        <v>0</v>
      </c>
      <c r="P49" s="44"/>
      <c r="Q49" s="44"/>
      <c r="R49" s="44"/>
      <c r="S49" s="44">
        <f t="shared" si="8"/>
        <v>0</v>
      </c>
      <c r="T49" s="44">
        <f t="shared" si="3"/>
        <v>0</v>
      </c>
      <c r="U49">
        <v>0</v>
      </c>
      <c r="V49" s="43">
        <v>0</v>
      </c>
      <c r="W49" s="44">
        <f t="shared" si="4"/>
        <v>0</v>
      </c>
      <c r="X49" s="44">
        <f t="shared" si="5"/>
        <v>0</v>
      </c>
      <c r="Y49" s="44">
        <f t="shared" si="6"/>
        <v>0</v>
      </c>
      <c r="Z49" s="84"/>
      <c r="AA49" s="78"/>
      <c r="AB49" s="78"/>
      <c r="AC49" s="78"/>
      <c r="AD49" s="78"/>
      <c r="AE49" s="78"/>
    </row>
    <row r="50" spans="1:31" ht="12.75">
      <c r="A50"/>
      <c r="B50"/>
      <c r="C50"/>
      <c r="D50"/>
      <c r="E50"/>
      <c r="F50"/>
      <c r="G50"/>
      <c r="H50"/>
      <c r="I50"/>
      <c r="J50"/>
      <c r="K50" s="100">
        <f t="shared" si="7"/>
        <v>0</v>
      </c>
      <c r="L50" s="95"/>
      <c r="M50" s="90">
        <f t="shared" si="1"/>
        <v>0</v>
      </c>
      <c r="N50" s="56">
        <v>0</v>
      </c>
      <c r="O50" s="44">
        <f t="shared" si="2"/>
        <v>0</v>
      </c>
      <c r="P50" s="44"/>
      <c r="Q50" s="44"/>
      <c r="R50" s="44"/>
      <c r="S50" s="44">
        <f t="shared" si="8"/>
        <v>0</v>
      </c>
      <c r="T50" s="44">
        <f t="shared" si="3"/>
        <v>0</v>
      </c>
      <c r="U50">
        <v>0</v>
      </c>
      <c r="V50" s="43">
        <v>0</v>
      </c>
      <c r="W50" s="44">
        <f t="shared" si="4"/>
        <v>0</v>
      </c>
      <c r="X50" s="44">
        <f t="shared" si="5"/>
        <v>0</v>
      </c>
      <c r="Y50" s="44">
        <f t="shared" si="6"/>
        <v>0</v>
      </c>
      <c r="Z50" s="84"/>
      <c r="AA50" s="78"/>
      <c r="AB50" s="78"/>
      <c r="AC50" s="78"/>
      <c r="AD50" s="78"/>
      <c r="AE50" s="78"/>
    </row>
    <row r="51" spans="1:31" ht="12.75">
      <c r="A51"/>
      <c r="B51"/>
      <c r="C51"/>
      <c r="D51"/>
      <c r="E51"/>
      <c r="F51"/>
      <c r="G51"/>
      <c r="H51"/>
      <c r="I51"/>
      <c r="J51"/>
      <c r="K51" s="100">
        <f t="shared" si="7"/>
        <v>0</v>
      </c>
      <c r="L51" s="95"/>
      <c r="M51" s="90">
        <f t="shared" si="1"/>
        <v>0</v>
      </c>
      <c r="N51" s="56">
        <v>0</v>
      </c>
      <c r="O51" s="44">
        <f t="shared" si="2"/>
        <v>0</v>
      </c>
      <c r="P51" s="44"/>
      <c r="Q51" s="44"/>
      <c r="R51" s="44"/>
      <c r="S51" s="44">
        <f t="shared" si="8"/>
        <v>0</v>
      </c>
      <c r="T51" s="44">
        <f t="shared" si="3"/>
        <v>0</v>
      </c>
      <c r="U51">
        <v>0</v>
      </c>
      <c r="V51" s="43">
        <v>0</v>
      </c>
      <c r="W51" s="44">
        <f t="shared" si="4"/>
        <v>0</v>
      </c>
      <c r="X51" s="44">
        <f t="shared" si="5"/>
        <v>0</v>
      </c>
      <c r="Y51" s="44">
        <f t="shared" si="6"/>
        <v>0</v>
      </c>
      <c r="Z51" s="84"/>
      <c r="AA51" s="78"/>
      <c r="AB51" s="78"/>
      <c r="AC51" s="78"/>
      <c r="AD51" s="78"/>
      <c r="AE51" s="78"/>
    </row>
    <row r="52" spans="1:31" ht="12.75">
      <c r="A52"/>
      <c r="B52"/>
      <c r="C52"/>
      <c r="D52"/>
      <c r="E52"/>
      <c r="F52"/>
      <c r="G52"/>
      <c r="H52"/>
      <c r="I52"/>
      <c r="J52"/>
      <c r="K52" s="100">
        <f t="shared" si="7"/>
        <v>0</v>
      </c>
      <c r="L52" s="95"/>
      <c r="M52" s="90">
        <f t="shared" si="1"/>
        <v>0</v>
      </c>
      <c r="N52" s="56">
        <v>0</v>
      </c>
      <c r="O52" s="44">
        <f t="shared" si="2"/>
        <v>0</v>
      </c>
      <c r="P52" s="44"/>
      <c r="Q52" s="44"/>
      <c r="R52" s="44"/>
      <c r="S52" s="44">
        <f t="shared" si="8"/>
        <v>0</v>
      </c>
      <c r="T52" s="44">
        <f t="shared" si="3"/>
        <v>0</v>
      </c>
      <c r="U52">
        <v>0</v>
      </c>
      <c r="V52" s="43">
        <v>0</v>
      </c>
      <c r="W52" s="44">
        <f t="shared" si="4"/>
        <v>0</v>
      </c>
      <c r="X52" s="44">
        <f t="shared" si="5"/>
        <v>0</v>
      </c>
      <c r="Y52" s="44">
        <f t="shared" si="6"/>
        <v>0</v>
      </c>
      <c r="Z52" s="84"/>
      <c r="AA52" s="78"/>
      <c r="AB52" s="78"/>
      <c r="AC52" s="78"/>
      <c r="AD52" s="78"/>
      <c r="AE52" s="78"/>
    </row>
    <row r="53" spans="1:31" ht="12.75">
      <c r="A53"/>
      <c r="B53"/>
      <c r="C53"/>
      <c r="D53"/>
      <c r="E53"/>
      <c r="F53"/>
      <c r="G53"/>
      <c r="H53"/>
      <c r="I53"/>
      <c r="J53"/>
      <c r="K53" s="100">
        <f t="shared" si="7"/>
        <v>0</v>
      </c>
      <c r="L53" s="95"/>
      <c r="M53" s="90">
        <f t="shared" si="1"/>
        <v>0</v>
      </c>
      <c r="N53" s="56">
        <v>0</v>
      </c>
      <c r="O53" s="44">
        <f t="shared" si="2"/>
        <v>0</v>
      </c>
      <c r="P53" s="44"/>
      <c r="Q53" s="44"/>
      <c r="R53" s="44"/>
      <c r="S53" s="44">
        <f t="shared" si="8"/>
        <v>0</v>
      </c>
      <c r="T53" s="44">
        <f t="shared" si="3"/>
        <v>0</v>
      </c>
      <c r="U53">
        <v>0</v>
      </c>
      <c r="V53" s="43">
        <v>0</v>
      </c>
      <c r="W53" s="44">
        <f t="shared" si="4"/>
        <v>0</v>
      </c>
      <c r="X53" s="44">
        <f t="shared" si="5"/>
        <v>0</v>
      </c>
      <c r="Y53" s="44">
        <f t="shared" si="6"/>
        <v>0</v>
      </c>
      <c r="Z53" s="84"/>
      <c r="AA53" s="78"/>
      <c r="AB53" s="78"/>
      <c r="AC53" s="78"/>
      <c r="AD53" s="78"/>
      <c r="AE53" s="78"/>
    </row>
    <row r="54" spans="1:31" ht="12.75">
      <c r="A54"/>
      <c r="B54"/>
      <c r="C54"/>
      <c r="D54"/>
      <c r="E54"/>
      <c r="F54"/>
      <c r="G54"/>
      <c r="H54"/>
      <c r="I54"/>
      <c r="J54"/>
      <c r="K54" s="100">
        <f t="shared" si="7"/>
        <v>0</v>
      </c>
      <c r="L54" s="95"/>
      <c r="M54" s="90">
        <f t="shared" si="1"/>
        <v>0</v>
      </c>
      <c r="N54" s="56">
        <v>0</v>
      </c>
      <c r="O54" s="44">
        <f t="shared" si="2"/>
        <v>0</v>
      </c>
      <c r="P54" s="44"/>
      <c r="Q54" s="44"/>
      <c r="R54" s="44"/>
      <c r="S54" s="44">
        <f t="shared" si="8"/>
        <v>0</v>
      </c>
      <c r="T54" s="44">
        <f t="shared" si="3"/>
        <v>0</v>
      </c>
      <c r="U54">
        <v>0</v>
      </c>
      <c r="V54" s="43">
        <v>0</v>
      </c>
      <c r="W54" s="44">
        <f t="shared" si="4"/>
        <v>0</v>
      </c>
      <c r="X54" s="44">
        <f t="shared" si="5"/>
        <v>0</v>
      </c>
      <c r="Y54" s="44">
        <f t="shared" si="6"/>
        <v>0</v>
      </c>
      <c r="Z54" s="84"/>
      <c r="AA54" s="78"/>
      <c r="AB54" s="78"/>
      <c r="AC54" s="78"/>
      <c r="AD54" s="78"/>
      <c r="AE54" s="78"/>
    </row>
    <row r="55" spans="1:31" ht="12.75">
      <c r="A55"/>
      <c r="B55"/>
      <c r="C55"/>
      <c r="D55"/>
      <c r="E55"/>
      <c r="F55"/>
      <c r="G55"/>
      <c r="H55"/>
      <c r="I55"/>
      <c r="J55"/>
      <c r="K55" s="100">
        <f t="shared" si="7"/>
        <v>0</v>
      </c>
      <c r="L55" s="95"/>
      <c r="M55" s="90">
        <f t="shared" si="1"/>
        <v>0</v>
      </c>
      <c r="N55" s="56">
        <v>0</v>
      </c>
      <c r="O55" s="44">
        <f t="shared" si="2"/>
        <v>0</v>
      </c>
      <c r="P55" s="44"/>
      <c r="Q55" s="44"/>
      <c r="R55" s="44"/>
      <c r="S55" s="44">
        <f t="shared" si="8"/>
        <v>0</v>
      </c>
      <c r="T55" s="44">
        <f t="shared" si="3"/>
        <v>0</v>
      </c>
      <c r="U55">
        <v>0</v>
      </c>
      <c r="V55" s="43">
        <v>0</v>
      </c>
      <c r="W55" s="44">
        <f t="shared" si="4"/>
        <v>0</v>
      </c>
      <c r="X55" s="44">
        <f t="shared" si="5"/>
        <v>0</v>
      </c>
      <c r="Y55" s="44">
        <f t="shared" si="6"/>
        <v>0</v>
      </c>
      <c r="Z55" s="84"/>
      <c r="AA55" s="78"/>
      <c r="AB55" s="78"/>
      <c r="AC55" s="78"/>
      <c r="AD55" s="78"/>
      <c r="AE55" s="78"/>
    </row>
    <row r="56" spans="1:31" ht="12.75">
      <c r="A56"/>
      <c r="B56"/>
      <c r="C56"/>
      <c r="D56"/>
      <c r="E56"/>
      <c r="F56"/>
      <c r="G56"/>
      <c r="H56"/>
      <c r="I56"/>
      <c r="J56"/>
      <c r="K56" s="100">
        <f t="shared" si="7"/>
        <v>0</v>
      </c>
      <c r="L56" s="95"/>
      <c r="M56" s="90">
        <f t="shared" si="1"/>
        <v>0</v>
      </c>
      <c r="N56" s="56">
        <v>0</v>
      </c>
      <c r="O56" s="44">
        <f t="shared" si="2"/>
        <v>0</v>
      </c>
      <c r="P56" s="44"/>
      <c r="Q56" s="44"/>
      <c r="R56" s="44"/>
      <c r="S56" s="44">
        <f t="shared" si="8"/>
        <v>0</v>
      </c>
      <c r="T56" s="44">
        <f t="shared" si="3"/>
        <v>0</v>
      </c>
      <c r="U56">
        <v>0</v>
      </c>
      <c r="V56" s="43">
        <v>0</v>
      </c>
      <c r="W56" s="44">
        <f t="shared" si="4"/>
        <v>0</v>
      </c>
      <c r="X56" s="44">
        <f t="shared" si="5"/>
        <v>0</v>
      </c>
      <c r="Y56" s="44">
        <f t="shared" si="6"/>
        <v>0</v>
      </c>
      <c r="Z56" s="84"/>
      <c r="AA56" s="78"/>
      <c r="AB56" s="78"/>
      <c r="AC56" s="78"/>
      <c r="AD56" s="78"/>
      <c r="AE56" s="78"/>
    </row>
    <row r="57" spans="1:31" ht="12.75">
      <c r="A57"/>
      <c r="B57"/>
      <c r="C57"/>
      <c r="D57"/>
      <c r="E57"/>
      <c r="F57"/>
      <c r="G57"/>
      <c r="H57"/>
      <c r="I57"/>
      <c r="J57"/>
      <c r="K57" s="100">
        <f t="shared" si="7"/>
        <v>0</v>
      </c>
      <c r="L57" s="95"/>
      <c r="M57" s="90">
        <f t="shared" si="1"/>
        <v>0</v>
      </c>
      <c r="N57" s="56">
        <v>0</v>
      </c>
      <c r="O57" s="44">
        <f t="shared" si="2"/>
        <v>0</v>
      </c>
      <c r="P57" s="44"/>
      <c r="Q57" s="44"/>
      <c r="R57" s="44"/>
      <c r="S57" s="44">
        <f t="shared" si="8"/>
        <v>0</v>
      </c>
      <c r="T57" s="44">
        <f t="shared" si="3"/>
        <v>0</v>
      </c>
      <c r="U57">
        <v>0</v>
      </c>
      <c r="V57" s="43">
        <v>0</v>
      </c>
      <c r="W57" s="44">
        <f t="shared" si="4"/>
        <v>0</v>
      </c>
      <c r="X57" s="44">
        <f t="shared" si="5"/>
        <v>0</v>
      </c>
      <c r="Y57" s="44">
        <f t="shared" si="6"/>
        <v>0</v>
      </c>
      <c r="Z57" s="84"/>
      <c r="AA57" s="78"/>
      <c r="AB57" s="78"/>
      <c r="AC57" s="78"/>
      <c r="AD57" s="78"/>
      <c r="AE57" s="78"/>
    </row>
    <row r="58" spans="1:31" ht="12.75">
      <c r="A58"/>
      <c r="B58"/>
      <c r="C58"/>
      <c r="D58"/>
      <c r="E58"/>
      <c r="F58"/>
      <c r="G58"/>
      <c r="H58"/>
      <c r="I58"/>
      <c r="J58"/>
      <c r="K58" s="100">
        <f t="shared" si="7"/>
        <v>0</v>
      </c>
      <c r="L58" s="95"/>
      <c r="M58" s="90">
        <f t="shared" si="1"/>
        <v>0</v>
      </c>
      <c r="N58" s="56">
        <v>0</v>
      </c>
      <c r="O58" s="44">
        <f t="shared" si="2"/>
        <v>0</v>
      </c>
      <c r="P58" s="44"/>
      <c r="Q58" s="44"/>
      <c r="R58" s="44"/>
      <c r="S58" s="44">
        <f t="shared" si="8"/>
        <v>0</v>
      </c>
      <c r="T58" s="44">
        <f t="shared" si="3"/>
        <v>0</v>
      </c>
      <c r="U58">
        <v>0</v>
      </c>
      <c r="V58" s="43">
        <v>0</v>
      </c>
      <c r="W58" s="44">
        <f t="shared" si="4"/>
        <v>0</v>
      </c>
      <c r="X58" s="44">
        <f t="shared" si="5"/>
        <v>0</v>
      </c>
      <c r="Y58" s="44">
        <f t="shared" si="6"/>
        <v>0</v>
      </c>
      <c r="Z58" s="84"/>
      <c r="AA58" s="78"/>
      <c r="AB58" s="78"/>
      <c r="AC58" s="78"/>
      <c r="AD58" s="78"/>
      <c r="AE58" s="78"/>
    </row>
    <row r="59" spans="1:31" ht="12.75">
      <c r="A59"/>
      <c r="B59"/>
      <c r="C59"/>
      <c r="D59"/>
      <c r="E59"/>
      <c r="F59"/>
      <c r="G59"/>
      <c r="H59"/>
      <c r="I59"/>
      <c r="J59"/>
      <c r="K59" s="100">
        <f t="shared" si="7"/>
        <v>0</v>
      </c>
      <c r="L59" s="95"/>
      <c r="M59" s="90">
        <f t="shared" si="1"/>
        <v>0</v>
      </c>
      <c r="N59" s="56">
        <v>0</v>
      </c>
      <c r="O59" s="44">
        <f t="shared" si="2"/>
        <v>0</v>
      </c>
      <c r="P59" s="44"/>
      <c r="Q59" s="44"/>
      <c r="R59" s="44"/>
      <c r="S59" s="44">
        <f t="shared" si="8"/>
        <v>0</v>
      </c>
      <c r="T59" s="44">
        <f t="shared" si="3"/>
        <v>0</v>
      </c>
      <c r="U59">
        <v>0</v>
      </c>
      <c r="V59" s="43">
        <v>0</v>
      </c>
      <c r="W59" s="44">
        <f t="shared" si="4"/>
        <v>0</v>
      </c>
      <c r="X59" s="44">
        <f t="shared" si="5"/>
        <v>0</v>
      </c>
      <c r="Y59" s="44">
        <f t="shared" si="6"/>
        <v>0</v>
      </c>
      <c r="Z59" s="84"/>
      <c r="AA59" s="78"/>
      <c r="AB59" s="78"/>
      <c r="AC59" s="78"/>
      <c r="AD59" s="78"/>
      <c r="AE59" s="78"/>
    </row>
    <row r="60" spans="1:31" ht="12.75">
      <c r="A60"/>
      <c r="B60"/>
      <c r="C60"/>
      <c r="D60"/>
      <c r="E60"/>
      <c r="F60"/>
      <c r="G60"/>
      <c r="H60"/>
      <c r="I60"/>
      <c r="J60"/>
      <c r="K60" s="100">
        <f t="shared" si="7"/>
        <v>0</v>
      </c>
      <c r="L60" s="95"/>
      <c r="M60" s="90">
        <f t="shared" si="1"/>
        <v>0</v>
      </c>
      <c r="N60" s="56">
        <v>0</v>
      </c>
      <c r="O60" s="44">
        <f t="shared" si="2"/>
        <v>0</v>
      </c>
      <c r="P60" s="44"/>
      <c r="Q60" s="44"/>
      <c r="R60" s="44"/>
      <c r="S60" s="44">
        <f t="shared" si="8"/>
        <v>0</v>
      </c>
      <c r="T60" s="44">
        <f t="shared" si="3"/>
        <v>0</v>
      </c>
      <c r="U60">
        <v>0</v>
      </c>
      <c r="V60" s="43">
        <v>0</v>
      </c>
      <c r="W60" s="44">
        <f t="shared" si="4"/>
        <v>0</v>
      </c>
      <c r="X60" s="44">
        <f t="shared" si="5"/>
        <v>0</v>
      </c>
      <c r="Y60" s="44">
        <f t="shared" si="6"/>
        <v>0</v>
      </c>
      <c r="Z60" s="84"/>
      <c r="AA60" s="78"/>
      <c r="AB60" s="78"/>
      <c r="AC60" s="78"/>
      <c r="AD60" s="78"/>
      <c r="AE60" s="78"/>
    </row>
    <row r="61" spans="1:31" ht="12.75">
      <c r="A61"/>
      <c r="B61"/>
      <c r="C61"/>
      <c r="D61"/>
      <c r="E61"/>
      <c r="F61"/>
      <c r="G61"/>
      <c r="H61"/>
      <c r="I61"/>
      <c r="J61"/>
      <c r="K61" s="100">
        <f t="shared" si="7"/>
        <v>0</v>
      </c>
      <c r="L61" s="95"/>
      <c r="M61" s="90">
        <f t="shared" si="1"/>
        <v>0</v>
      </c>
      <c r="N61" s="56">
        <v>0</v>
      </c>
      <c r="O61" s="44">
        <f t="shared" si="2"/>
        <v>0</v>
      </c>
      <c r="P61" s="44"/>
      <c r="Q61" s="44"/>
      <c r="R61" s="44"/>
      <c r="S61" s="44">
        <f t="shared" si="8"/>
        <v>0</v>
      </c>
      <c r="T61" s="44">
        <f t="shared" si="3"/>
        <v>0</v>
      </c>
      <c r="U61">
        <v>0</v>
      </c>
      <c r="V61" s="43">
        <v>0</v>
      </c>
      <c r="W61" s="44">
        <f t="shared" si="4"/>
        <v>0</v>
      </c>
      <c r="X61" s="44">
        <f t="shared" si="5"/>
        <v>0</v>
      </c>
      <c r="Y61" s="44">
        <f t="shared" si="6"/>
        <v>0</v>
      </c>
      <c r="Z61" s="84"/>
      <c r="AA61" s="78"/>
      <c r="AB61" s="78"/>
      <c r="AC61" s="78"/>
      <c r="AD61" s="78"/>
      <c r="AE61" s="78"/>
    </row>
    <row r="62" spans="1:31" ht="12.75">
      <c r="A62"/>
      <c r="B62"/>
      <c r="C62"/>
      <c r="D62"/>
      <c r="E62"/>
      <c r="F62"/>
      <c r="G62"/>
      <c r="H62"/>
      <c r="I62"/>
      <c r="J62"/>
      <c r="K62" s="100">
        <f t="shared" si="7"/>
        <v>0</v>
      </c>
      <c r="L62" s="95"/>
      <c r="M62" s="90">
        <f t="shared" si="1"/>
        <v>0</v>
      </c>
      <c r="N62" s="56">
        <v>0</v>
      </c>
      <c r="O62" s="44">
        <f t="shared" si="2"/>
        <v>0</v>
      </c>
      <c r="P62" s="44"/>
      <c r="Q62" s="44"/>
      <c r="R62" s="44"/>
      <c r="S62" s="44">
        <f t="shared" si="8"/>
        <v>0</v>
      </c>
      <c r="T62" s="44">
        <f t="shared" si="3"/>
        <v>0</v>
      </c>
      <c r="U62">
        <v>0</v>
      </c>
      <c r="V62" s="43">
        <v>0</v>
      </c>
      <c r="W62" s="44">
        <f t="shared" si="4"/>
        <v>0</v>
      </c>
      <c r="X62" s="44">
        <f t="shared" si="5"/>
        <v>0</v>
      </c>
      <c r="Y62" s="44">
        <f t="shared" si="6"/>
        <v>0</v>
      </c>
      <c r="Z62" s="84"/>
      <c r="AA62" s="78"/>
      <c r="AB62" s="78"/>
      <c r="AC62" s="78"/>
      <c r="AD62" s="78"/>
      <c r="AE62" s="78"/>
    </row>
    <row r="63" spans="1:31" ht="12.75">
      <c r="A63"/>
      <c r="B63"/>
      <c r="C63"/>
      <c r="D63"/>
      <c r="E63"/>
      <c r="F63"/>
      <c r="G63"/>
      <c r="H63"/>
      <c r="I63"/>
      <c r="J63"/>
      <c r="K63" s="100">
        <f t="shared" si="7"/>
        <v>0</v>
      </c>
      <c r="L63" s="95"/>
      <c r="M63" s="90">
        <f t="shared" si="1"/>
        <v>0</v>
      </c>
      <c r="N63" s="56">
        <v>0</v>
      </c>
      <c r="O63" s="44">
        <f t="shared" si="2"/>
        <v>0</v>
      </c>
      <c r="P63" s="44"/>
      <c r="Q63" s="44"/>
      <c r="R63" s="44"/>
      <c r="S63" s="44">
        <f t="shared" si="8"/>
        <v>0</v>
      </c>
      <c r="T63" s="44">
        <f t="shared" si="3"/>
        <v>0</v>
      </c>
      <c r="U63">
        <v>0</v>
      </c>
      <c r="V63" s="43">
        <v>0</v>
      </c>
      <c r="W63" s="44">
        <f t="shared" si="4"/>
        <v>0</v>
      </c>
      <c r="X63" s="44">
        <f t="shared" si="5"/>
        <v>0</v>
      </c>
      <c r="Y63" s="44">
        <f t="shared" si="6"/>
        <v>0</v>
      </c>
      <c r="Z63" s="84"/>
      <c r="AA63" s="78"/>
      <c r="AB63" s="78"/>
      <c r="AC63" s="78"/>
      <c r="AD63" s="78"/>
      <c r="AE63" s="78"/>
    </row>
    <row r="64" spans="1:31" ht="12.75">
      <c r="A64"/>
      <c r="B64"/>
      <c r="C64"/>
      <c r="D64"/>
      <c r="E64"/>
      <c r="F64"/>
      <c r="G64"/>
      <c r="H64"/>
      <c r="I64"/>
      <c r="J64"/>
      <c r="K64" s="100">
        <f t="shared" si="7"/>
        <v>0</v>
      </c>
      <c r="L64" s="95"/>
      <c r="M64" s="90">
        <f t="shared" si="1"/>
        <v>0</v>
      </c>
      <c r="N64" s="56">
        <v>0</v>
      </c>
      <c r="O64" s="44">
        <f t="shared" si="2"/>
        <v>0</v>
      </c>
      <c r="P64" s="44"/>
      <c r="Q64" s="44"/>
      <c r="R64" s="44"/>
      <c r="S64" s="44">
        <f t="shared" si="8"/>
        <v>0</v>
      </c>
      <c r="T64" s="44">
        <f t="shared" si="3"/>
        <v>0</v>
      </c>
      <c r="U64">
        <v>0</v>
      </c>
      <c r="V64" s="43">
        <v>0</v>
      </c>
      <c r="W64" s="44">
        <f t="shared" si="4"/>
        <v>0</v>
      </c>
      <c r="X64" s="44">
        <f t="shared" si="5"/>
        <v>0</v>
      </c>
      <c r="Y64" s="44">
        <f t="shared" si="6"/>
        <v>0</v>
      </c>
      <c r="Z64" s="84"/>
      <c r="AA64" s="78"/>
      <c r="AB64" s="78"/>
      <c r="AC64" s="78"/>
      <c r="AD64" s="78"/>
      <c r="AE64" s="78"/>
    </row>
    <row r="65" spans="1:31" ht="12.75">
      <c r="A65"/>
      <c r="B65"/>
      <c r="C65"/>
      <c r="D65"/>
      <c r="E65"/>
      <c r="F65"/>
      <c r="G65"/>
      <c r="H65"/>
      <c r="I65"/>
      <c r="J65"/>
      <c r="K65" s="100">
        <f t="shared" si="7"/>
        <v>0</v>
      </c>
      <c r="L65" s="95"/>
      <c r="M65" s="90">
        <f t="shared" si="1"/>
        <v>0</v>
      </c>
      <c r="N65" s="56">
        <v>0</v>
      </c>
      <c r="O65" s="44">
        <f t="shared" si="2"/>
        <v>0</v>
      </c>
      <c r="P65" s="44"/>
      <c r="Q65" s="44"/>
      <c r="R65" s="44"/>
      <c r="S65" s="44">
        <f t="shared" si="8"/>
        <v>0</v>
      </c>
      <c r="T65" s="44">
        <f t="shared" si="3"/>
        <v>0</v>
      </c>
      <c r="U65">
        <v>0</v>
      </c>
      <c r="V65" s="43">
        <v>0</v>
      </c>
      <c r="W65" s="44">
        <f t="shared" si="4"/>
        <v>0</v>
      </c>
      <c r="X65" s="44">
        <f t="shared" si="5"/>
        <v>0</v>
      </c>
      <c r="Y65" s="44">
        <f t="shared" si="6"/>
        <v>0</v>
      </c>
      <c r="Z65" s="84"/>
      <c r="AA65" s="78"/>
      <c r="AB65" s="78"/>
      <c r="AC65" s="78"/>
      <c r="AD65" s="78"/>
      <c r="AE65" s="78"/>
    </row>
    <row r="66" spans="1:31" ht="12.75">
      <c r="A66"/>
      <c r="B66"/>
      <c r="C66"/>
      <c r="D66"/>
      <c r="E66"/>
      <c r="F66"/>
      <c r="G66"/>
      <c r="H66"/>
      <c r="I66"/>
      <c r="J66"/>
      <c r="K66" s="100">
        <f t="shared" si="7"/>
        <v>0</v>
      </c>
      <c r="L66" s="95"/>
      <c r="M66" s="90">
        <f t="shared" si="1"/>
        <v>0</v>
      </c>
      <c r="N66" s="56">
        <v>0</v>
      </c>
      <c r="O66" s="44">
        <f t="shared" si="2"/>
        <v>0</v>
      </c>
      <c r="P66" s="44"/>
      <c r="Q66" s="44"/>
      <c r="R66" s="44"/>
      <c r="S66" s="44">
        <f t="shared" si="8"/>
        <v>0</v>
      </c>
      <c r="T66" s="44">
        <f t="shared" si="3"/>
        <v>0</v>
      </c>
      <c r="U66">
        <v>0</v>
      </c>
      <c r="V66" s="43">
        <v>0</v>
      </c>
      <c r="W66" s="44">
        <f t="shared" si="4"/>
        <v>0</v>
      </c>
      <c r="X66" s="44">
        <f t="shared" si="5"/>
        <v>0</v>
      </c>
      <c r="Y66" s="44">
        <f t="shared" si="6"/>
        <v>0</v>
      </c>
      <c r="Z66" s="84"/>
      <c r="AA66" s="78"/>
      <c r="AB66" s="78"/>
      <c r="AC66" s="78"/>
      <c r="AD66" s="78"/>
      <c r="AE66" s="78"/>
    </row>
    <row r="67" spans="1:31" ht="12.75">
      <c r="A67"/>
      <c r="B67"/>
      <c r="C67"/>
      <c r="D67"/>
      <c r="E67"/>
      <c r="F67"/>
      <c r="G67"/>
      <c r="H67"/>
      <c r="I67"/>
      <c r="J67"/>
      <c r="K67" s="100">
        <f t="shared" si="7"/>
        <v>0</v>
      </c>
      <c r="L67" s="95"/>
      <c r="M67" s="90">
        <f t="shared" si="1"/>
        <v>0</v>
      </c>
      <c r="N67" s="56">
        <v>0</v>
      </c>
      <c r="O67" s="44">
        <f t="shared" si="2"/>
        <v>0</v>
      </c>
      <c r="P67" s="44"/>
      <c r="Q67" s="44"/>
      <c r="R67" s="44"/>
      <c r="S67" s="44">
        <f t="shared" si="8"/>
        <v>0</v>
      </c>
      <c r="T67" s="44">
        <f t="shared" si="3"/>
        <v>0</v>
      </c>
      <c r="U67">
        <v>0</v>
      </c>
      <c r="V67" s="43">
        <v>0</v>
      </c>
      <c r="W67" s="44">
        <f t="shared" si="4"/>
        <v>0</v>
      </c>
      <c r="X67" s="44">
        <f t="shared" si="5"/>
        <v>0</v>
      </c>
      <c r="Y67" s="44">
        <f t="shared" si="6"/>
        <v>0</v>
      </c>
      <c r="Z67" s="84"/>
      <c r="AA67" s="78"/>
      <c r="AB67" s="78"/>
      <c r="AC67" s="78"/>
      <c r="AD67" s="78"/>
      <c r="AE67" s="78"/>
    </row>
    <row r="68" spans="1:31" ht="12.75">
      <c r="A68"/>
      <c r="B68"/>
      <c r="C68"/>
      <c r="D68"/>
      <c r="E68"/>
      <c r="F68"/>
      <c r="G68"/>
      <c r="H68"/>
      <c r="I68"/>
      <c r="J68"/>
      <c r="K68" s="100">
        <f t="shared" si="7"/>
        <v>0</v>
      </c>
      <c r="L68" s="95"/>
      <c r="M68" s="90">
        <f t="shared" si="1"/>
        <v>0</v>
      </c>
      <c r="N68" s="56">
        <v>0</v>
      </c>
      <c r="O68" s="44">
        <f t="shared" si="2"/>
        <v>0</v>
      </c>
      <c r="P68" s="44"/>
      <c r="Q68" s="44"/>
      <c r="R68" s="44"/>
      <c r="S68" s="44">
        <f t="shared" si="8"/>
        <v>0</v>
      </c>
      <c r="T68" s="44">
        <f t="shared" si="3"/>
        <v>0</v>
      </c>
      <c r="U68">
        <v>0</v>
      </c>
      <c r="V68" s="43">
        <v>0</v>
      </c>
      <c r="W68" s="44">
        <f t="shared" si="4"/>
        <v>0</v>
      </c>
      <c r="X68" s="44">
        <f t="shared" si="5"/>
        <v>0</v>
      </c>
      <c r="Y68" s="44">
        <f t="shared" si="6"/>
        <v>0</v>
      </c>
      <c r="Z68" s="84"/>
      <c r="AA68" s="78"/>
      <c r="AB68" s="78"/>
      <c r="AC68" s="78"/>
      <c r="AD68" s="78"/>
      <c r="AE68" s="78"/>
    </row>
    <row r="69" spans="1:31" ht="12.75">
      <c r="A69"/>
      <c r="B69"/>
      <c r="C69"/>
      <c r="D69"/>
      <c r="E69"/>
      <c r="F69"/>
      <c r="G69"/>
      <c r="H69"/>
      <c r="I69"/>
      <c r="J69"/>
      <c r="K69" s="100">
        <f t="shared" si="7"/>
        <v>0</v>
      </c>
      <c r="L69" s="95"/>
      <c r="M69" s="90">
        <f t="shared" si="1"/>
        <v>0</v>
      </c>
      <c r="N69" s="56">
        <v>0</v>
      </c>
      <c r="O69" s="44">
        <f t="shared" si="2"/>
        <v>0</v>
      </c>
      <c r="P69" s="44"/>
      <c r="Q69" s="44"/>
      <c r="R69" s="44"/>
      <c r="S69" s="44">
        <f t="shared" si="8"/>
        <v>0</v>
      </c>
      <c r="T69" s="44">
        <f t="shared" si="3"/>
        <v>0</v>
      </c>
      <c r="U69">
        <v>0</v>
      </c>
      <c r="V69" s="43">
        <v>0</v>
      </c>
      <c r="W69" s="44">
        <f t="shared" si="4"/>
        <v>0</v>
      </c>
      <c r="X69" s="44">
        <f t="shared" si="5"/>
        <v>0</v>
      </c>
      <c r="Y69" s="44">
        <f t="shared" si="6"/>
        <v>0</v>
      </c>
      <c r="Z69" s="84"/>
      <c r="AA69" s="78"/>
      <c r="AB69" s="78"/>
      <c r="AC69" s="78"/>
      <c r="AD69" s="78"/>
      <c r="AE69" s="78"/>
    </row>
    <row r="70" spans="1:31" ht="12.75">
      <c r="A70"/>
      <c r="B70"/>
      <c r="C70"/>
      <c r="D70"/>
      <c r="E70"/>
      <c r="F70"/>
      <c r="G70"/>
      <c r="H70"/>
      <c r="I70"/>
      <c r="J70"/>
      <c r="K70" s="100">
        <f t="shared" si="7"/>
        <v>0</v>
      </c>
      <c r="L70" s="95"/>
      <c r="M70" s="90">
        <f t="shared" si="1"/>
        <v>0</v>
      </c>
      <c r="N70" s="56">
        <v>0</v>
      </c>
      <c r="O70" s="44">
        <f t="shared" si="2"/>
        <v>0</v>
      </c>
      <c r="P70" s="44"/>
      <c r="Q70" s="44"/>
      <c r="R70" s="44"/>
      <c r="S70" s="44">
        <f t="shared" si="8"/>
        <v>0</v>
      </c>
      <c r="T70" s="44">
        <f t="shared" si="3"/>
        <v>0</v>
      </c>
      <c r="U70">
        <v>0</v>
      </c>
      <c r="V70" s="43">
        <v>0</v>
      </c>
      <c r="W70" s="44">
        <f t="shared" si="4"/>
        <v>0</v>
      </c>
      <c r="X70" s="44">
        <f t="shared" si="5"/>
        <v>0</v>
      </c>
      <c r="Y70" s="44">
        <f t="shared" si="6"/>
        <v>0</v>
      </c>
      <c r="Z70" s="84"/>
      <c r="AA70" s="78"/>
      <c r="AB70" s="78"/>
      <c r="AC70" s="78"/>
      <c r="AD70" s="78"/>
      <c r="AE70" s="78"/>
    </row>
    <row r="71" spans="1:31" ht="12.75">
      <c r="A71"/>
      <c r="B71"/>
      <c r="C71"/>
      <c r="D71"/>
      <c r="E71"/>
      <c r="F71"/>
      <c r="G71"/>
      <c r="H71"/>
      <c r="I71"/>
      <c r="J71"/>
      <c r="K71" s="100">
        <f t="shared" si="7"/>
        <v>0</v>
      </c>
      <c r="L71" s="95"/>
      <c r="M71" s="90">
        <f t="shared" si="1"/>
        <v>0</v>
      </c>
      <c r="N71" s="56">
        <v>0</v>
      </c>
      <c r="O71" s="44">
        <f t="shared" si="2"/>
        <v>0</v>
      </c>
      <c r="P71" s="44"/>
      <c r="Q71" s="44"/>
      <c r="R71" s="44"/>
      <c r="S71" s="44">
        <f t="shared" si="8"/>
        <v>0</v>
      </c>
      <c r="T71" s="44">
        <f t="shared" si="3"/>
        <v>0</v>
      </c>
      <c r="U71">
        <v>0</v>
      </c>
      <c r="V71" s="43">
        <v>0</v>
      </c>
      <c r="W71" s="44">
        <f t="shared" si="4"/>
        <v>0</v>
      </c>
      <c r="X71" s="44">
        <f t="shared" si="5"/>
        <v>0</v>
      </c>
      <c r="Y71" s="44">
        <f t="shared" si="6"/>
        <v>0</v>
      </c>
      <c r="Z71" s="84"/>
      <c r="AA71" s="78"/>
      <c r="AB71" s="78"/>
      <c r="AC71" s="78"/>
      <c r="AD71" s="78"/>
      <c r="AE71" s="78"/>
    </row>
    <row r="72" spans="1:31" ht="12.75">
      <c r="A72"/>
      <c r="B72"/>
      <c r="C72"/>
      <c r="D72"/>
      <c r="E72"/>
      <c r="F72"/>
      <c r="G72"/>
      <c r="H72"/>
      <c r="I72"/>
      <c r="J72"/>
      <c r="K72" s="100">
        <f t="shared" si="7"/>
        <v>0</v>
      </c>
      <c r="L72" s="95"/>
      <c r="M72" s="90">
        <f t="shared" ref="M72:M135" si="9">ROUND(K72*L72,2)</f>
        <v>0</v>
      </c>
      <c r="N72" s="56">
        <v>0</v>
      </c>
      <c r="O72" s="44">
        <f t="shared" ref="O72:O135" si="10">+M72-(M72*N72)</f>
        <v>0</v>
      </c>
      <c r="P72" s="44"/>
      <c r="Q72" s="44"/>
      <c r="R72" s="44"/>
      <c r="S72" s="44">
        <f t="shared" si="8"/>
        <v>0</v>
      </c>
      <c r="T72" s="44">
        <f t="shared" ref="T72:T135" si="11">+O72+P72+Q72+R72</f>
        <v>0</v>
      </c>
      <c r="U72">
        <v>0</v>
      </c>
      <c r="V72" s="43">
        <v>0</v>
      </c>
      <c r="W72" s="44">
        <f t="shared" ref="W72:W135" si="12">+O72-U72-V72-Z72</f>
        <v>0</v>
      </c>
      <c r="X72" s="44">
        <f t="shared" ref="X72:X135" si="13">(+O72-U72-Z72)*$X$1</f>
        <v>0</v>
      </c>
      <c r="Y72" s="44">
        <f t="shared" ref="Y72:Y135" si="14">+W72-X72</f>
        <v>0</v>
      </c>
      <c r="Z72" s="84"/>
      <c r="AA72" s="78"/>
      <c r="AB72" s="78"/>
      <c r="AC72" s="78"/>
      <c r="AD72" s="78"/>
      <c r="AE72" s="78"/>
    </row>
    <row r="73" spans="1:31" ht="12.75">
      <c r="A73"/>
      <c r="B73"/>
      <c r="C73"/>
      <c r="D73"/>
      <c r="E73"/>
      <c r="F73"/>
      <c r="G73"/>
      <c r="H73"/>
      <c r="I73"/>
      <c r="J73"/>
      <c r="K73" s="100">
        <f t="shared" ref="K73:K136" si="15">+I73*J73</f>
        <v>0</v>
      </c>
      <c r="L73" s="95"/>
      <c r="M73" s="90">
        <f t="shared" si="9"/>
        <v>0</v>
      </c>
      <c r="N73" s="56">
        <v>0</v>
      </c>
      <c r="O73" s="44">
        <f t="shared" si="10"/>
        <v>0</v>
      </c>
      <c r="P73" s="44"/>
      <c r="Q73" s="44"/>
      <c r="R73" s="44"/>
      <c r="S73" s="44">
        <f t="shared" ref="S73:S136" si="16">IF(R73="y",+P73*0.01,0)</f>
        <v>0</v>
      </c>
      <c r="T73" s="44">
        <f t="shared" si="11"/>
        <v>0</v>
      </c>
      <c r="U73">
        <v>0</v>
      </c>
      <c r="V73" s="43">
        <v>0</v>
      </c>
      <c r="W73" s="44">
        <f t="shared" si="12"/>
        <v>0</v>
      </c>
      <c r="X73" s="44">
        <f t="shared" si="13"/>
        <v>0</v>
      </c>
      <c r="Y73" s="44">
        <f t="shared" si="14"/>
        <v>0</v>
      </c>
      <c r="Z73" s="84"/>
      <c r="AA73" s="78"/>
      <c r="AB73" s="78"/>
      <c r="AC73" s="78"/>
      <c r="AD73" s="78"/>
      <c r="AE73" s="78"/>
    </row>
    <row r="74" spans="1:31" ht="12.75">
      <c r="A74"/>
      <c r="B74"/>
      <c r="C74"/>
      <c r="D74"/>
      <c r="E74"/>
      <c r="F74"/>
      <c r="G74"/>
      <c r="H74"/>
      <c r="I74"/>
      <c r="J74"/>
      <c r="K74" s="100">
        <f t="shared" si="15"/>
        <v>0</v>
      </c>
      <c r="L74" s="95"/>
      <c r="M74" s="90">
        <f t="shared" si="9"/>
        <v>0</v>
      </c>
      <c r="N74" s="56">
        <v>0</v>
      </c>
      <c r="O74" s="44">
        <f t="shared" si="10"/>
        <v>0</v>
      </c>
      <c r="P74" s="44"/>
      <c r="Q74" s="44"/>
      <c r="R74" s="44"/>
      <c r="S74" s="44">
        <f t="shared" si="16"/>
        <v>0</v>
      </c>
      <c r="T74" s="44">
        <f t="shared" si="11"/>
        <v>0</v>
      </c>
      <c r="U74">
        <v>0</v>
      </c>
      <c r="V74" s="43">
        <v>0</v>
      </c>
      <c r="W74" s="44">
        <f t="shared" si="12"/>
        <v>0</v>
      </c>
      <c r="X74" s="44">
        <f t="shared" si="13"/>
        <v>0</v>
      </c>
      <c r="Y74" s="44">
        <f t="shared" si="14"/>
        <v>0</v>
      </c>
      <c r="Z74" s="84"/>
      <c r="AA74" s="78"/>
      <c r="AB74" s="78"/>
      <c r="AC74" s="78"/>
      <c r="AD74" s="78"/>
      <c r="AE74" s="78"/>
    </row>
    <row r="75" spans="1:31" ht="12.75">
      <c r="A75"/>
      <c r="B75"/>
      <c r="C75"/>
      <c r="D75"/>
      <c r="E75"/>
      <c r="F75"/>
      <c r="G75"/>
      <c r="H75"/>
      <c r="I75"/>
      <c r="J75"/>
      <c r="K75" s="100">
        <f t="shared" si="15"/>
        <v>0</v>
      </c>
      <c r="L75" s="95"/>
      <c r="M75" s="90">
        <f t="shared" si="9"/>
        <v>0</v>
      </c>
      <c r="N75" s="56">
        <v>0</v>
      </c>
      <c r="O75" s="44">
        <f t="shared" si="10"/>
        <v>0</v>
      </c>
      <c r="P75" s="44"/>
      <c r="Q75" s="44"/>
      <c r="R75" s="44"/>
      <c r="S75" s="44">
        <f t="shared" si="16"/>
        <v>0</v>
      </c>
      <c r="T75" s="44">
        <f t="shared" si="11"/>
        <v>0</v>
      </c>
      <c r="U75">
        <v>0</v>
      </c>
      <c r="V75" s="43">
        <v>0</v>
      </c>
      <c r="W75" s="44">
        <f t="shared" si="12"/>
        <v>0</v>
      </c>
      <c r="X75" s="44">
        <f t="shared" si="13"/>
        <v>0</v>
      </c>
      <c r="Y75" s="44">
        <f t="shared" si="14"/>
        <v>0</v>
      </c>
      <c r="Z75" s="84"/>
      <c r="AA75" s="78"/>
      <c r="AB75" s="78"/>
      <c r="AC75" s="78"/>
      <c r="AD75" s="78"/>
      <c r="AE75" s="78"/>
    </row>
    <row r="76" spans="1:31" ht="12.75">
      <c r="A76"/>
      <c r="B76"/>
      <c r="C76"/>
      <c r="D76"/>
      <c r="E76"/>
      <c r="F76"/>
      <c r="G76"/>
      <c r="H76"/>
      <c r="I76"/>
      <c r="J76"/>
      <c r="K76" s="100">
        <f t="shared" si="15"/>
        <v>0</v>
      </c>
      <c r="L76" s="95"/>
      <c r="M76" s="90">
        <f t="shared" si="9"/>
        <v>0</v>
      </c>
      <c r="N76" s="56">
        <v>0</v>
      </c>
      <c r="O76" s="44">
        <f t="shared" si="10"/>
        <v>0</v>
      </c>
      <c r="P76" s="44"/>
      <c r="Q76" s="44"/>
      <c r="R76" s="44"/>
      <c r="S76" s="44">
        <f t="shared" si="16"/>
        <v>0</v>
      </c>
      <c r="T76" s="44">
        <f t="shared" si="11"/>
        <v>0</v>
      </c>
      <c r="U76">
        <v>0</v>
      </c>
      <c r="V76" s="43">
        <v>0</v>
      </c>
      <c r="W76" s="44">
        <f t="shared" si="12"/>
        <v>0</v>
      </c>
      <c r="X76" s="44">
        <f t="shared" si="13"/>
        <v>0</v>
      </c>
      <c r="Y76" s="44">
        <f t="shared" si="14"/>
        <v>0</v>
      </c>
      <c r="Z76" s="84"/>
      <c r="AA76" s="78"/>
      <c r="AB76" s="78"/>
      <c r="AC76" s="78"/>
      <c r="AD76" s="78"/>
      <c r="AE76" s="78"/>
    </row>
    <row r="77" spans="1:31" ht="12.75">
      <c r="A77"/>
      <c r="B77"/>
      <c r="C77"/>
      <c r="D77"/>
      <c r="E77"/>
      <c r="F77"/>
      <c r="G77"/>
      <c r="H77"/>
      <c r="I77"/>
      <c r="J77"/>
      <c r="K77" s="100">
        <f t="shared" si="15"/>
        <v>0</v>
      </c>
      <c r="L77" s="95"/>
      <c r="M77" s="90">
        <f t="shared" si="9"/>
        <v>0</v>
      </c>
      <c r="N77" s="56">
        <v>0</v>
      </c>
      <c r="O77" s="44">
        <f t="shared" si="10"/>
        <v>0</v>
      </c>
      <c r="P77" s="44"/>
      <c r="Q77" s="44"/>
      <c r="R77" s="44"/>
      <c r="S77" s="44">
        <f t="shared" si="16"/>
        <v>0</v>
      </c>
      <c r="T77" s="44">
        <f t="shared" si="11"/>
        <v>0</v>
      </c>
      <c r="U77">
        <v>0</v>
      </c>
      <c r="V77" s="43">
        <v>0</v>
      </c>
      <c r="W77" s="44">
        <f t="shared" si="12"/>
        <v>0</v>
      </c>
      <c r="X77" s="44">
        <f t="shared" si="13"/>
        <v>0</v>
      </c>
      <c r="Y77" s="44">
        <f t="shared" si="14"/>
        <v>0</v>
      </c>
      <c r="Z77" s="84"/>
      <c r="AA77" s="78"/>
      <c r="AB77" s="78"/>
      <c r="AC77" s="78"/>
      <c r="AD77" s="78"/>
      <c r="AE77" s="78"/>
    </row>
    <row r="78" spans="1:31" ht="12.75">
      <c r="A78"/>
      <c r="B78"/>
      <c r="C78"/>
      <c r="D78"/>
      <c r="E78"/>
      <c r="F78"/>
      <c r="G78"/>
      <c r="H78"/>
      <c r="I78"/>
      <c r="J78"/>
      <c r="K78" s="100">
        <f t="shared" si="15"/>
        <v>0</v>
      </c>
      <c r="L78" s="95"/>
      <c r="M78" s="90">
        <f t="shared" si="9"/>
        <v>0</v>
      </c>
      <c r="N78" s="56">
        <v>0</v>
      </c>
      <c r="O78" s="44">
        <f t="shared" si="10"/>
        <v>0</v>
      </c>
      <c r="P78" s="44"/>
      <c r="Q78" s="44"/>
      <c r="R78" s="44"/>
      <c r="S78" s="44">
        <f t="shared" si="16"/>
        <v>0</v>
      </c>
      <c r="T78" s="44">
        <f t="shared" si="11"/>
        <v>0</v>
      </c>
      <c r="U78">
        <v>0</v>
      </c>
      <c r="V78" s="43">
        <v>0</v>
      </c>
      <c r="W78" s="44">
        <f t="shared" si="12"/>
        <v>0</v>
      </c>
      <c r="X78" s="44">
        <f t="shared" si="13"/>
        <v>0</v>
      </c>
      <c r="Y78" s="44">
        <f t="shared" si="14"/>
        <v>0</v>
      </c>
      <c r="Z78" s="84"/>
      <c r="AA78" s="78"/>
      <c r="AB78" s="78"/>
      <c r="AC78" s="78"/>
      <c r="AD78" s="78"/>
      <c r="AE78" s="78"/>
    </row>
    <row r="79" spans="1:31" ht="12.75">
      <c r="A79"/>
      <c r="B79"/>
      <c r="C79"/>
      <c r="D79"/>
      <c r="E79"/>
      <c r="F79"/>
      <c r="G79"/>
      <c r="H79"/>
      <c r="I79"/>
      <c r="J79"/>
      <c r="K79" s="100">
        <f t="shared" si="15"/>
        <v>0</v>
      </c>
      <c r="L79" s="95"/>
      <c r="M79" s="90">
        <f t="shared" si="9"/>
        <v>0</v>
      </c>
      <c r="N79" s="56">
        <v>0</v>
      </c>
      <c r="O79" s="44">
        <f t="shared" si="10"/>
        <v>0</v>
      </c>
      <c r="P79" s="44"/>
      <c r="Q79" s="44"/>
      <c r="R79" s="44"/>
      <c r="S79" s="44">
        <f t="shared" si="16"/>
        <v>0</v>
      </c>
      <c r="T79" s="44">
        <f t="shared" si="11"/>
        <v>0</v>
      </c>
      <c r="U79">
        <v>0</v>
      </c>
      <c r="V79" s="43">
        <v>0</v>
      </c>
      <c r="W79" s="44">
        <f t="shared" si="12"/>
        <v>0</v>
      </c>
      <c r="X79" s="44">
        <f t="shared" si="13"/>
        <v>0</v>
      </c>
      <c r="Y79" s="44">
        <f t="shared" si="14"/>
        <v>0</v>
      </c>
      <c r="Z79" s="84"/>
      <c r="AA79" s="78"/>
      <c r="AB79" s="78"/>
      <c r="AC79" s="78"/>
      <c r="AD79" s="78"/>
      <c r="AE79" s="78"/>
    </row>
    <row r="80" spans="1:31" ht="12.75">
      <c r="A80"/>
      <c r="B80"/>
      <c r="C80"/>
      <c r="D80"/>
      <c r="E80"/>
      <c r="F80"/>
      <c r="G80"/>
      <c r="H80"/>
      <c r="I80"/>
      <c r="J80"/>
      <c r="K80" s="100">
        <f t="shared" si="15"/>
        <v>0</v>
      </c>
      <c r="L80" s="95"/>
      <c r="M80" s="90">
        <f t="shared" si="9"/>
        <v>0</v>
      </c>
      <c r="N80" s="56">
        <v>0</v>
      </c>
      <c r="O80" s="44">
        <f t="shared" si="10"/>
        <v>0</v>
      </c>
      <c r="P80" s="44"/>
      <c r="Q80" s="44"/>
      <c r="R80" s="44"/>
      <c r="S80" s="44">
        <f t="shared" si="16"/>
        <v>0</v>
      </c>
      <c r="T80" s="44">
        <f t="shared" si="11"/>
        <v>0</v>
      </c>
      <c r="U80">
        <v>0</v>
      </c>
      <c r="V80" s="43">
        <v>0</v>
      </c>
      <c r="W80" s="44">
        <f t="shared" si="12"/>
        <v>0</v>
      </c>
      <c r="X80" s="44">
        <f t="shared" si="13"/>
        <v>0</v>
      </c>
      <c r="Y80" s="44">
        <f t="shared" si="14"/>
        <v>0</v>
      </c>
      <c r="Z80" s="84"/>
      <c r="AA80" s="78"/>
      <c r="AB80" s="78"/>
      <c r="AC80" s="78"/>
      <c r="AD80" s="78"/>
      <c r="AE80" s="78"/>
    </row>
    <row r="81" spans="1:31" ht="12.75">
      <c r="A81"/>
      <c r="B81"/>
      <c r="C81"/>
      <c r="D81"/>
      <c r="E81"/>
      <c r="F81"/>
      <c r="G81"/>
      <c r="H81"/>
      <c r="I81"/>
      <c r="J81"/>
      <c r="K81" s="100">
        <f t="shared" si="15"/>
        <v>0</v>
      </c>
      <c r="L81" s="95"/>
      <c r="M81" s="90">
        <f t="shared" si="9"/>
        <v>0</v>
      </c>
      <c r="N81" s="56">
        <v>0</v>
      </c>
      <c r="O81" s="44">
        <f t="shared" si="10"/>
        <v>0</v>
      </c>
      <c r="P81" s="44"/>
      <c r="Q81" s="44"/>
      <c r="R81" s="44"/>
      <c r="S81" s="44">
        <f t="shared" si="16"/>
        <v>0</v>
      </c>
      <c r="T81" s="44">
        <f t="shared" si="11"/>
        <v>0</v>
      </c>
      <c r="U81">
        <v>0</v>
      </c>
      <c r="V81" s="43">
        <v>0</v>
      </c>
      <c r="W81" s="44">
        <f t="shared" si="12"/>
        <v>0</v>
      </c>
      <c r="X81" s="44">
        <f t="shared" si="13"/>
        <v>0</v>
      </c>
      <c r="Y81" s="44">
        <f t="shared" si="14"/>
        <v>0</v>
      </c>
      <c r="Z81" s="84"/>
      <c r="AA81" s="78"/>
      <c r="AB81" s="78"/>
      <c r="AC81" s="78"/>
      <c r="AD81" s="78"/>
      <c r="AE81" s="78"/>
    </row>
    <row r="82" spans="1:31" ht="12.75">
      <c r="A82"/>
      <c r="B82"/>
      <c r="C82"/>
      <c r="D82"/>
      <c r="E82"/>
      <c r="F82"/>
      <c r="G82"/>
      <c r="H82"/>
      <c r="I82"/>
      <c r="J82"/>
      <c r="K82" s="100">
        <f t="shared" si="15"/>
        <v>0</v>
      </c>
      <c r="L82" s="95"/>
      <c r="M82" s="90">
        <f t="shared" si="9"/>
        <v>0</v>
      </c>
      <c r="N82" s="56">
        <v>0</v>
      </c>
      <c r="O82" s="44">
        <f t="shared" si="10"/>
        <v>0</v>
      </c>
      <c r="P82" s="44"/>
      <c r="Q82" s="44"/>
      <c r="R82" s="44"/>
      <c r="S82" s="44">
        <f t="shared" si="16"/>
        <v>0</v>
      </c>
      <c r="T82" s="44">
        <f t="shared" si="11"/>
        <v>0</v>
      </c>
      <c r="U82">
        <v>0</v>
      </c>
      <c r="V82" s="43">
        <v>0</v>
      </c>
      <c r="W82" s="44">
        <f t="shared" si="12"/>
        <v>0</v>
      </c>
      <c r="X82" s="44">
        <f t="shared" si="13"/>
        <v>0</v>
      </c>
      <c r="Y82" s="44">
        <f t="shared" si="14"/>
        <v>0</v>
      </c>
      <c r="Z82" s="84"/>
      <c r="AA82" s="78"/>
      <c r="AB82" s="78"/>
      <c r="AC82" s="78"/>
      <c r="AD82" s="78"/>
      <c r="AE82" s="78"/>
    </row>
    <row r="83" spans="1:31" ht="12.75">
      <c r="A83"/>
      <c r="B83"/>
      <c r="C83"/>
      <c r="D83"/>
      <c r="E83"/>
      <c r="F83"/>
      <c r="G83"/>
      <c r="H83"/>
      <c r="I83"/>
      <c r="J83"/>
      <c r="K83" s="100">
        <f t="shared" si="15"/>
        <v>0</v>
      </c>
      <c r="L83" s="95"/>
      <c r="M83" s="90">
        <f t="shared" si="9"/>
        <v>0</v>
      </c>
      <c r="N83" s="56">
        <v>0</v>
      </c>
      <c r="O83" s="44">
        <f t="shared" si="10"/>
        <v>0</v>
      </c>
      <c r="P83" s="44"/>
      <c r="Q83" s="44"/>
      <c r="R83" s="44"/>
      <c r="S83" s="44">
        <f t="shared" si="16"/>
        <v>0</v>
      </c>
      <c r="T83" s="44">
        <f t="shared" si="11"/>
        <v>0</v>
      </c>
      <c r="U83">
        <v>0</v>
      </c>
      <c r="V83" s="43">
        <v>0</v>
      </c>
      <c r="W83" s="44">
        <f t="shared" si="12"/>
        <v>0</v>
      </c>
      <c r="X83" s="44">
        <f t="shared" si="13"/>
        <v>0</v>
      </c>
      <c r="Y83" s="44">
        <f t="shared" si="14"/>
        <v>0</v>
      </c>
      <c r="Z83" s="84"/>
      <c r="AA83" s="78"/>
      <c r="AB83" s="78"/>
      <c r="AC83" s="78"/>
      <c r="AD83" s="78"/>
      <c r="AE83" s="78"/>
    </row>
    <row r="84" spans="1:31" ht="12.75">
      <c r="A84"/>
      <c r="B84"/>
      <c r="C84"/>
      <c r="D84"/>
      <c r="E84"/>
      <c r="F84"/>
      <c r="G84"/>
      <c r="H84"/>
      <c r="I84"/>
      <c r="J84"/>
      <c r="K84" s="100">
        <f t="shared" si="15"/>
        <v>0</v>
      </c>
      <c r="L84" s="95"/>
      <c r="M84" s="90">
        <f t="shared" si="9"/>
        <v>0</v>
      </c>
      <c r="N84" s="56">
        <v>0</v>
      </c>
      <c r="O84" s="44">
        <f t="shared" si="10"/>
        <v>0</v>
      </c>
      <c r="P84" s="44"/>
      <c r="Q84" s="44"/>
      <c r="R84" s="44"/>
      <c r="S84" s="44">
        <f t="shared" si="16"/>
        <v>0</v>
      </c>
      <c r="T84" s="44">
        <f t="shared" si="11"/>
        <v>0</v>
      </c>
      <c r="U84">
        <v>0</v>
      </c>
      <c r="V84" s="43">
        <v>0</v>
      </c>
      <c r="W84" s="44">
        <f t="shared" si="12"/>
        <v>0</v>
      </c>
      <c r="X84" s="44">
        <f t="shared" si="13"/>
        <v>0</v>
      </c>
      <c r="Y84" s="44">
        <f t="shared" si="14"/>
        <v>0</v>
      </c>
      <c r="Z84" s="84"/>
      <c r="AA84" s="78"/>
      <c r="AB84" s="78"/>
      <c r="AC84" s="78"/>
      <c r="AD84" s="78"/>
      <c r="AE84" s="78"/>
    </row>
    <row r="85" spans="1:31" ht="12.75">
      <c r="A85"/>
      <c r="B85"/>
      <c r="C85"/>
      <c r="D85"/>
      <c r="E85"/>
      <c r="F85"/>
      <c r="G85"/>
      <c r="H85"/>
      <c r="I85"/>
      <c r="J85"/>
      <c r="K85" s="100">
        <f t="shared" si="15"/>
        <v>0</v>
      </c>
      <c r="L85" s="95"/>
      <c r="M85" s="90">
        <f t="shared" si="9"/>
        <v>0</v>
      </c>
      <c r="N85" s="56">
        <v>0</v>
      </c>
      <c r="O85" s="44">
        <f t="shared" si="10"/>
        <v>0</v>
      </c>
      <c r="P85" s="44"/>
      <c r="Q85" s="44"/>
      <c r="R85" s="44"/>
      <c r="S85" s="44">
        <f t="shared" si="16"/>
        <v>0</v>
      </c>
      <c r="T85" s="44">
        <f t="shared" si="11"/>
        <v>0</v>
      </c>
      <c r="U85">
        <v>0</v>
      </c>
      <c r="V85" s="43">
        <v>0</v>
      </c>
      <c r="W85" s="44">
        <f t="shared" si="12"/>
        <v>0</v>
      </c>
      <c r="X85" s="44">
        <f t="shared" si="13"/>
        <v>0</v>
      </c>
      <c r="Y85" s="44">
        <f t="shared" si="14"/>
        <v>0</v>
      </c>
      <c r="Z85" s="84"/>
      <c r="AA85" s="78"/>
      <c r="AB85" s="78"/>
      <c r="AC85" s="78"/>
      <c r="AD85" s="78"/>
      <c r="AE85" s="78"/>
    </row>
    <row r="86" spans="1:31" ht="12.75">
      <c r="A86"/>
      <c r="B86"/>
      <c r="C86"/>
      <c r="D86"/>
      <c r="E86"/>
      <c r="F86"/>
      <c r="G86"/>
      <c r="H86"/>
      <c r="I86"/>
      <c r="J86"/>
      <c r="K86" s="100">
        <f t="shared" si="15"/>
        <v>0</v>
      </c>
      <c r="L86" s="95"/>
      <c r="M86" s="90">
        <f t="shared" si="9"/>
        <v>0</v>
      </c>
      <c r="N86" s="56">
        <v>0</v>
      </c>
      <c r="O86" s="44">
        <f t="shared" si="10"/>
        <v>0</v>
      </c>
      <c r="P86" s="44"/>
      <c r="Q86" s="44"/>
      <c r="R86" s="44"/>
      <c r="S86" s="44">
        <f t="shared" si="16"/>
        <v>0</v>
      </c>
      <c r="T86" s="44">
        <f t="shared" si="11"/>
        <v>0</v>
      </c>
      <c r="U86">
        <v>0</v>
      </c>
      <c r="V86" s="43">
        <v>0</v>
      </c>
      <c r="W86" s="44">
        <f t="shared" si="12"/>
        <v>0</v>
      </c>
      <c r="X86" s="44">
        <f t="shared" si="13"/>
        <v>0</v>
      </c>
      <c r="Y86" s="44">
        <f t="shared" si="14"/>
        <v>0</v>
      </c>
      <c r="Z86" s="84"/>
      <c r="AA86" s="78"/>
      <c r="AB86" s="78"/>
      <c r="AC86" s="78"/>
      <c r="AD86" s="78"/>
      <c r="AE86" s="78"/>
    </row>
    <row r="87" spans="1:31" ht="12.75">
      <c r="A87"/>
      <c r="B87"/>
      <c r="C87"/>
      <c r="D87"/>
      <c r="E87"/>
      <c r="F87"/>
      <c r="G87"/>
      <c r="H87"/>
      <c r="I87"/>
      <c r="J87"/>
      <c r="K87" s="100">
        <f t="shared" si="15"/>
        <v>0</v>
      </c>
      <c r="L87" s="95"/>
      <c r="M87" s="90">
        <f t="shared" si="9"/>
        <v>0</v>
      </c>
      <c r="N87" s="56">
        <v>0</v>
      </c>
      <c r="O87" s="44">
        <f t="shared" si="10"/>
        <v>0</v>
      </c>
      <c r="P87" s="44"/>
      <c r="Q87" s="44"/>
      <c r="R87" s="44"/>
      <c r="S87" s="44">
        <f t="shared" si="16"/>
        <v>0</v>
      </c>
      <c r="T87" s="44">
        <f t="shared" si="11"/>
        <v>0</v>
      </c>
      <c r="U87">
        <v>0</v>
      </c>
      <c r="V87" s="43">
        <v>0</v>
      </c>
      <c r="W87" s="44">
        <f t="shared" si="12"/>
        <v>0</v>
      </c>
      <c r="X87" s="44">
        <f t="shared" si="13"/>
        <v>0</v>
      </c>
      <c r="Y87" s="44">
        <f t="shared" si="14"/>
        <v>0</v>
      </c>
      <c r="Z87" s="84"/>
      <c r="AA87" s="78"/>
      <c r="AB87" s="78"/>
      <c r="AC87" s="78"/>
      <c r="AD87" s="78"/>
      <c r="AE87" s="78"/>
    </row>
    <row r="88" spans="1:31" ht="12.75">
      <c r="A88"/>
      <c r="B88"/>
      <c r="C88"/>
      <c r="D88"/>
      <c r="E88"/>
      <c r="F88"/>
      <c r="G88"/>
      <c r="H88"/>
      <c r="I88"/>
      <c r="J88"/>
      <c r="K88" s="100">
        <f t="shared" si="15"/>
        <v>0</v>
      </c>
      <c r="L88" s="95"/>
      <c r="M88" s="90">
        <f t="shared" si="9"/>
        <v>0</v>
      </c>
      <c r="N88" s="56">
        <v>0</v>
      </c>
      <c r="O88" s="44">
        <f t="shared" si="10"/>
        <v>0</v>
      </c>
      <c r="P88" s="44"/>
      <c r="Q88" s="44"/>
      <c r="R88" s="44"/>
      <c r="S88" s="44">
        <f t="shared" si="16"/>
        <v>0</v>
      </c>
      <c r="T88" s="44">
        <f t="shared" si="11"/>
        <v>0</v>
      </c>
      <c r="U88">
        <v>0</v>
      </c>
      <c r="V88" s="43">
        <v>0</v>
      </c>
      <c r="W88" s="44">
        <f t="shared" si="12"/>
        <v>0</v>
      </c>
      <c r="X88" s="44">
        <f t="shared" si="13"/>
        <v>0</v>
      </c>
      <c r="Y88" s="44">
        <f t="shared" si="14"/>
        <v>0</v>
      </c>
      <c r="Z88" s="84"/>
      <c r="AA88" s="78"/>
      <c r="AB88" s="78"/>
      <c r="AC88" s="78"/>
      <c r="AD88" s="78"/>
      <c r="AE88" s="78"/>
    </row>
    <row r="89" spans="1:31" ht="12.75">
      <c r="A89"/>
      <c r="B89"/>
      <c r="C89"/>
      <c r="D89"/>
      <c r="E89"/>
      <c r="F89"/>
      <c r="G89"/>
      <c r="H89"/>
      <c r="I89"/>
      <c r="J89"/>
      <c r="K89" s="100">
        <f t="shared" si="15"/>
        <v>0</v>
      </c>
      <c r="L89" s="95"/>
      <c r="M89" s="90">
        <f t="shared" si="9"/>
        <v>0</v>
      </c>
      <c r="N89" s="56">
        <v>0</v>
      </c>
      <c r="O89" s="44">
        <f t="shared" si="10"/>
        <v>0</v>
      </c>
      <c r="P89" s="44"/>
      <c r="Q89" s="44"/>
      <c r="R89" s="44"/>
      <c r="S89" s="44">
        <f t="shared" si="16"/>
        <v>0</v>
      </c>
      <c r="T89" s="44">
        <f t="shared" si="11"/>
        <v>0</v>
      </c>
      <c r="U89">
        <v>0</v>
      </c>
      <c r="V89" s="43">
        <v>0</v>
      </c>
      <c r="W89" s="44">
        <f t="shared" si="12"/>
        <v>0</v>
      </c>
      <c r="X89" s="44">
        <f t="shared" si="13"/>
        <v>0</v>
      </c>
      <c r="Y89" s="44">
        <f t="shared" si="14"/>
        <v>0</v>
      </c>
      <c r="Z89" s="84"/>
      <c r="AA89" s="78"/>
      <c r="AB89" s="78"/>
      <c r="AC89" s="78"/>
      <c r="AD89" s="78"/>
      <c r="AE89" s="78"/>
    </row>
    <row r="90" spans="1:31" ht="12.75">
      <c r="A90"/>
      <c r="B90"/>
      <c r="C90"/>
      <c r="D90"/>
      <c r="E90"/>
      <c r="F90"/>
      <c r="G90"/>
      <c r="H90"/>
      <c r="I90"/>
      <c r="J90"/>
      <c r="K90" s="100">
        <f t="shared" si="15"/>
        <v>0</v>
      </c>
      <c r="L90" s="95"/>
      <c r="M90" s="90">
        <f t="shared" si="9"/>
        <v>0</v>
      </c>
      <c r="N90" s="56">
        <v>0</v>
      </c>
      <c r="O90" s="44">
        <f t="shared" si="10"/>
        <v>0</v>
      </c>
      <c r="P90" s="44"/>
      <c r="Q90" s="44"/>
      <c r="R90" s="44"/>
      <c r="S90" s="44">
        <f t="shared" si="16"/>
        <v>0</v>
      </c>
      <c r="T90" s="44">
        <f t="shared" si="11"/>
        <v>0</v>
      </c>
      <c r="U90">
        <v>0</v>
      </c>
      <c r="V90" s="43">
        <v>0</v>
      </c>
      <c r="W90" s="44">
        <f t="shared" si="12"/>
        <v>0</v>
      </c>
      <c r="X90" s="44">
        <f t="shared" si="13"/>
        <v>0</v>
      </c>
      <c r="Y90" s="44">
        <f t="shared" si="14"/>
        <v>0</v>
      </c>
      <c r="Z90" s="84"/>
      <c r="AA90" s="78"/>
      <c r="AB90" s="78"/>
      <c r="AC90" s="78"/>
      <c r="AD90" s="78"/>
      <c r="AE90" s="78"/>
    </row>
    <row r="91" spans="1:31" ht="12.75">
      <c r="A91"/>
      <c r="B91"/>
      <c r="C91"/>
      <c r="D91"/>
      <c r="E91"/>
      <c r="F91"/>
      <c r="G91"/>
      <c r="H91"/>
      <c r="I91"/>
      <c r="J91"/>
      <c r="K91" s="100">
        <f t="shared" si="15"/>
        <v>0</v>
      </c>
      <c r="L91" s="95"/>
      <c r="M91" s="90">
        <f t="shared" si="9"/>
        <v>0</v>
      </c>
      <c r="N91" s="56">
        <v>0</v>
      </c>
      <c r="O91" s="44">
        <f t="shared" si="10"/>
        <v>0</v>
      </c>
      <c r="P91" s="44"/>
      <c r="Q91" s="44"/>
      <c r="R91" s="44"/>
      <c r="S91" s="44">
        <f t="shared" si="16"/>
        <v>0</v>
      </c>
      <c r="T91" s="44">
        <f t="shared" si="11"/>
        <v>0</v>
      </c>
      <c r="U91">
        <v>0</v>
      </c>
      <c r="V91" s="43">
        <v>0</v>
      </c>
      <c r="W91" s="44">
        <f t="shared" si="12"/>
        <v>0</v>
      </c>
      <c r="X91" s="44">
        <f t="shared" si="13"/>
        <v>0</v>
      </c>
      <c r="Y91" s="44">
        <f t="shared" si="14"/>
        <v>0</v>
      </c>
      <c r="Z91" s="84"/>
      <c r="AA91" s="78"/>
      <c r="AB91" s="78"/>
      <c r="AC91" s="78"/>
      <c r="AD91" s="78"/>
      <c r="AE91" s="78"/>
    </row>
    <row r="92" spans="1:31" ht="12.75">
      <c r="A92"/>
      <c r="B92"/>
      <c r="C92"/>
      <c r="D92"/>
      <c r="E92"/>
      <c r="F92"/>
      <c r="G92"/>
      <c r="H92"/>
      <c r="I92"/>
      <c r="J92"/>
      <c r="K92" s="100">
        <f t="shared" si="15"/>
        <v>0</v>
      </c>
      <c r="L92" s="95"/>
      <c r="M92" s="90">
        <f t="shared" si="9"/>
        <v>0</v>
      </c>
      <c r="N92" s="56">
        <v>0</v>
      </c>
      <c r="O92" s="44">
        <f t="shared" si="10"/>
        <v>0</v>
      </c>
      <c r="P92" s="44"/>
      <c r="Q92" s="44"/>
      <c r="R92" s="44"/>
      <c r="S92" s="44">
        <f t="shared" si="16"/>
        <v>0</v>
      </c>
      <c r="T92" s="44">
        <f t="shared" si="11"/>
        <v>0</v>
      </c>
      <c r="U92">
        <v>0</v>
      </c>
      <c r="V92" s="43">
        <v>0</v>
      </c>
      <c r="W92" s="44">
        <f t="shared" si="12"/>
        <v>0</v>
      </c>
      <c r="X92" s="44">
        <f t="shared" si="13"/>
        <v>0</v>
      </c>
      <c r="Y92" s="44">
        <f t="shared" si="14"/>
        <v>0</v>
      </c>
      <c r="Z92" s="84"/>
      <c r="AA92" s="78"/>
      <c r="AB92" s="78"/>
      <c r="AC92" s="78"/>
      <c r="AD92" s="78"/>
      <c r="AE92" s="78"/>
    </row>
    <row r="93" spans="1:31" ht="12.75">
      <c r="A93"/>
      <c r="B93"/>
      <c r="C93"/>
      <c r="D93"/>
      <c r="E93"/>
      <c r="F93"/>
      <c r="G93"/>
      <c r="H93"/>
      <c r="I93"/>
      <c r="J93"/>
      <c r="K93" s="100">
        <f t="shared" si="15"/>
        <v>0</v>
      </c>
      <c r="L93" s="95"/>
      <c r="M93" s="90">
        <f t="shared" si="9"/>
        <v>0</v>
      </c>
      <c r="N93" s="56">
        <v>0</v>
      </c>
      <c r="O93" s="44">
        <f t="shared" si="10"/>
        <v>0</v>
      </c>
      <c r="P93" s="44"/>
      <c r="Q93" s="44"/>
      <c r="R93" s="44"/>
      <c r="S93" s="44">
        <f t="shared" si="16"/>
        <v>0</v>
      </c>
      <c r="T93" s="44">
        <f t="shared" si="11"/>
        <v>0</v>
      </c>
      <c r="U93">
        <v>0</v>
      </c>
      <c r="V93" s="43">
        <v>0</v>
      </c>
      <c r="W93" s="44">
        <f t="shared" si="12"/>
        <v>0</v>
      </c>
      <c r="X93" s="44">
        <f t="shared" si="13"/>
        <v>0</v>
      </c>
      <c r="Y93" s="44">
        <f t="shared" si="14"/>
        <v>0</v>
      </c>
      <c r="Z93" s="84"/>
      <c r="AA93" s="78"/>
      <c r="AB93" s="78"/>
      <c r="AC93" s="78"/>
      <c r="AD93" s="78"/>
      <c r="AE93" s="78"/>
    </row>
    <row r="94" spans="1:31" ht="12.75">
      <c r="A94"/>
      <c r="B94"/>
      <c r="C94"/>
      <c r="D94"/>
      <c r="E94"/>
      <c r="F94"/>
      <c r="G94"/>
      <c r="H94"/>
      <c r="I94"/>
      <c r="J94"/>
      <c r="K94" s="100">
        <f t="shared" si="15"/>
        <v>0</v>
      </c>
      <c r="L94" s="95"/>
      <c r="M94" s="90">
        <f t="shared" si="9"/>
        <v>0</v>
      </c>
      <c r="N94" s="56">
        <v>0</v>
      </c>
      <c r="O94" s="44">
        <f t="shared" si="10"/>
        <v>0</v>
      </c>
      <c r="P94" s="44"/>
      <c r="Q94" s="44"/>
      <c r="R94" s="44"/>
      <c r="S94" s="44">
        <f t="shared" si="16"/>
        <v>0</v>
      </c>
      <c r="T94" s="44">
        <f t="shared" si="11"/>
        <v>0</v>
      </c>
      <c r="U94">
        <v>0</v>
      </c>
      <c r="V94" s="43">
        <v>0</v>
      </c>
      <c r="W94" s="44">
        <f t="shared" si="12"/>
        <v>0</v>
      </c>
      <c r="X94" s="44">
        <f t="shared" si="13"/>
        <v>0</v>
      </c>
      <c r="Y94" s="44">
        <f t="shared" si="14"/>
        <v>0</v>
      </c>
      <c r="Z94" s="84"/>
      <c r="AA94" s="78"/>
      <c r="AB94" s="78"/>
      <c r="AC94" s="78"/>
      <c r="AD94" s="78"/>
      <c r="AE94" s="78"/>
    </row>
    <row r="95" spans="1:31" ht="12.75">
      <c r="A95"/>
      <c r="B95"/>
      <c r="C95"/>
      <c r="D95"/>
      <c r="E95"/>
      <c r="F95"/>
      <c r="G95"/>
      <c r="H95"/>
      <c r="I95"/>
      <c r="J95"/>
      <c r="K95" s="100">
        <f t="shared" si="15"/>
        <v>0</v>
      </c>
      <c r="L95" s="95"/>
      <c r="M95" s="90">
        <f t="shared" si="9"/>
        <v>0</v>
      </c>
      <c r="N95" s="56">
        <v>0</v>
      </c>
      <c r="O95" s="44">
        <f t="shared" si="10"/>
        <v>0</v>
      </c>
      <c r="P95" s="44"/>
      <c r="Q95" s="44"/>
      <c r="R95" s="44"/>
      <c r="S95" s="44">
        <f t="shared" si="16"/>
        <v>0</v>
      </c>
      <c r="T95" s="44">
        <f t="shared" si="11"/>
        <v>0</v>
      </c>
      <c r="U95">
        <v>0</v>
      </c>
      <c r="V95" s="43">
        <v>0</v>
      </c>
      <c r="W95" s="44">
        <f t="shared" si="12"/>
        <v>0</v>
      </c>
      <c r="X95" s="44">
        <f t="shared" si="13"/>
        <v>0</v>
      </c>
      <c r="Y95" s="44">
        <f t="shared" si="14"/>
        <v>0</v>
      </c>
      <c r="Z95" s="84"/>
      <c r="AA95" s="78"/>
      <c r="AB95" s="78"/>
      <c r="AC95" s="78"/>
      <c r="AD95" s="78"/>
      <c r="AE95" s="78"/>
    </row>
    <row r="96" spans="1:31" ht="12.75">
      <c r="A96"/>
      <c r="B96"/>
      <c r="C96"/>
      <c r="D96"/>
      <c r="E96"/>
      <c r="F96"/>
      <c r="G96"/>
      <c r="H96"/>
      <c r="I96"/>
      <c r="J96"/>
      <c r="K96" s="100">
        <f t="shared" si="15"/>
        <v>0</v>
      </c>
      <c r="L96" s="95"/>
      <c r="M96" s="90">
        <f t="shared" si="9"/>
        <v>0</v>
      </c>
      <c r="N96" s="56">
        <v>0</v>
      </c>
      <c r="O96" s="44">
        <f t="shared" si="10"/>
        <v>0</v>
      </c>
      <c r="P96" s="44"/>
      <c r="Q96" s="44"/>
      <c r="R96" s="44"/>
      <c r="S96" s="44">
        <f t="shared" si="16"/>
        <v>0</v>
      </c>
      <c r="T96" s="44">
        <f t="shared" si="11"/>
        <v>0</v>
      </c>
      <c r="U96">
        <v>0</v>
      </c>
      <c r="V96" s="43">
        <v>0</v>
      </c>
      <c r="W96" s="44">
        <f t="shared" si="12"/>
        <v>0</v>
      </c>
      <c r="X96" s="44">
        <f t="shared" si="13"/>
        <v>0</v>
      </c>
      <c r="Y96" s="44">
        <f t="shared" si="14"/>
        <v>0</v>
      </c>
      <c r="Z96" s="84"/>
      <c r="AA96" s="78"/>
      <c r="AB96" s="78"/>
      <c r="AC96" s="78"/>
      <c r="AD96" s="78"/>
      <c r="AE96" s="78"/>
    </row>
    <row r="97" spans="1:31" ht="12.75">
      <c r="A97"/>
      <c r="B97"/>
      <c r="C97"/>
      <c r="D97"/>
      <c r="E97"/>
      <c r="F97"/>
      <c r="G97"/>
      <c r="H97"/>
      <c r="I97"/>
      <c r="J97"/>
      <c r="K97" s="100">
        <f t="shared" si="15"/>
        <v>0</v>
      </c>
      <c r="L97" s="95"/>
      <c r="M97" s="90">
        <f t="shared" si="9"/>
        <v>0</v>
      </c>
      <c r="N97" s="56">
        <v>0</v>
      </c>
      <c r="O97" s="44">
        <f t="shared" si="10"/>
        <v>0</v>
      </c>
      <c r="P97" s="44"/>
      <c r="Q97" s="44"/>
      <c r="R97" s="44"/>
      <c r="S97" s="44">
        <f t="shared" si="16"/>
        <v>0</v>
      </c>
      <c r="T97" s="44">
        <f t="shared" si="11"/>
        <v>0</v>
      </c>
      <c r="U97">
        <v>0</v>
      </c>
      <c r="V97" s="43">
        <v>0</v>
      </c>
      <c r="W97" s="44">
        <f t="shared" si="12"/>
        <v>0</v>
      </c>
      <c r="X97" s="44">
        <f t="shared" si="13"/>
        <v>0</v>
      </c>
      <c r="Y97" s="44">
        <f t="shared" si="14"/>
        <v>0</v>
      </c>
      <c r="Z97" s="84"/>
      <c r="AA97" s="78"/>
      <c r="AB97" s="78"/>
      <c r="AC97" s="78"/>
      <c r="AD97" s="78"/>
      <c r="AE97" s="78"/>
    </row>
    <row r="98" spans="1:31" ht="12.75">
      <c r="A98"/>
      <c r="B98"/>
      <c r="C98"/>
      <c r="D98"/>
      <c r="E98"/>
      <c r="F98"/>
      <c r="G98"/>
      <c r="H98"/>
      <c r="I98"/>
      <c r="J98"/>
      <c r="K98" s="100">
        <f t="shared" si="15"/>
        <v>0</v>
      </c>
      <c r="L98" s="95"/>
      <c r="M98" s="90">
        <f t="shared" si="9"/>
        <v>0</v>
      </c>
      <c r="N98" s="56">
        <v>0</v>
      </c>
      <c r="O98" s="44">
        <f t="shared" si="10"/>
        <v>0</v>
      </c>
      <c r="P98" s="44"/>
      <c r="Q98" s="44"/>
      <c r="R98" s="44"/>
      <c r="S98" s="44">
        <f t="shared" si="16"/>
        <v>0</v>
      </c>
      <c r="T98" s="44">
        <f t="shared" si="11"/>
        <v>0</v>
      </c>
      <c r="U98">
        <v>0</v>
      </c>
      <c r="V98" s="43">
        <v>0</v>
      </c>
      <c r="W98" s="44">
        <f t="shared" si="12"/>
        <v>0</v>
      </c>
      <c r="X98" s="44">
        <f t="shared" si="13"/>
        <v>0</v>
      </c>
      <c r="Y98" s="44">
        <f t="shared" si="14"/>
        <v>0</v>
      </c>
      <c r="Z98" s="84"/>
      <c r="AA98" s="78"/>
      <c r="AB98" s="78"/>
      <c r="AC98" s="78"/>
      <c r="AD98" s="78"/>
      <c r="AE98" s="78"/>
    </row>
    <row r="99" spans="1:31" ht="12.75">
      <c r="A99"/>
      <c r="B99"/>
      <c r="C99"/>
      <c r="D99"/>
      <c r="E99"/>
      <c r="F99"/>
      <c r="G99"/>
      <c r="H99"/>
      <c r="I99"/>
      <c r="J99"/>
      <c r="K99" s="100">
        <f t="shared" si="15"/>
        <v>0</v>
      </c>
      <c r="L99" s="95"/>
      <c r="M99" s="90">
        <f t="shared" si="9"/>
        <v>0</v>
      </c>
      <c r="N99" s="56">
        <v>0</v>
      </c>
      <c r="O99" s="44">
        <f t="shared" si="10"/>
        <v>0</v>
      </c>
      <c r="P99" s="44"/>
      <c r="Q99" s="44"/>
      <c r="R99" s="44"/>
      <c r="S99" s="44">
        <f t="shared" si="16"/>
        <v>0</v>
      </c>
      <c r="T99" s="44">
        <f t="shared" si="11"/>
        <v>0</v>
      </c>
      <c r="U99">
        <v>0</v>
      </c>
      <c r="V99" s="43">
        <v>0</v>
      </c>
      <c r="W99" s="44">
        <f t="shared" si="12"/>
        <v>0</v>
      </c>
      <c r="X99" s="44">
        <f t="shared" si="13"/>
        <v>0</v>
      </c>
      <c r="Y99" s="44">
        <f t="shared" si="14"/>
        <v>0</v>
      </c>
      <c r="Z99" s="84"/>
      <c r="AA99" s="78"/>
      <c r="AB99" s="78"/>
      <c r="AC99" s="78"/>
      <c r="AD99" s="78"/>
      <c r="AE99" s="78"/>
    </row>
    <row r="100" spans="1:31" ht="12.75">
      <c r="A100"/>
      <c r="B100"/>
      <c r="C100"/>
      <c r="D100"/>
      <c r="E100"/>
      <c r="F100"/>
      <c r="G100"/>
      <c r="H100"/>
      <c r="I100"/>
      <c r="J100"/>
      <c r="K100" s="100">
        <f t="shared" si="15"/>
        <v>0</v>
      </c>
      <c r="L100" s="95"/>
      <c r="M100" s="90">
        <f t="shared" si="9"/>
        <v>0</v>
      </c>
      <c r="N100" s="56">
        <v>0</v>
      </c>
      <c r="O100" s="44">
        <f t="shared" si="10"/>
        <v>0</v>
      </c>
      <c r="P100" s="44"/>
      <c r="Q100" s="44"/>
      <c r="R100" s="44"/>
      <c r="S100" s="44">
        <f t="shared" si="16"/>
        <v>0</v>
      </c>
      <c r="T100" s="44">
        <f t="shared" si="11"/>
        <v>0</v>
      </c>
      <c r="U100">
        <v>0</v>
      </c>
      <c r="V100" s="43">
        <v>0</v>
      </c>
      <c r="W100" s="44">
        <f t="shared" si="12"/>
        <v>0</v>
      </c>
      <c r="X100" s="44">
        <f t="shared" si="13"/>
        <v>0</v>
      </c>
      <c r="Y100" s="44">
        <f t="shared" si="14"/>
        <v>0</v>
      </c>
      <c r="Z100" s="84"/>
      <c r="AA100" s="78"/>
      <c r="AB100" s="78"/>
      <c r="AC100" s="78"/>
      <c r="AD100" s="78"/>
      <c r="AE100" s="78"/>
    </row>
    <row r="101" spans="1:31" ht="12.75">
      <c r="A101"/>
      <c r="B101"/>
      <c r="C101"/>
      <c r="D101"/>
      <c r="E101"/>
      <c r="F101"/>
      <c r="G101"/>
      <c r="H101"/>
      <c r="I101"/>
      <c r="J101"/>
      <c r="K101" s="100">
        <f t="shared" si="15"/>
        <v>0</v>
      </c>
      <c r="L101" s="95"/>
      <c r="M101" s="90">
        <f t="shared" si="9"/>
        <v>0</v>
      </c>
      <c r="N101" s="56">
        <v>0</v>
      </c>
      <c r="O101" s="44">
        <f t="shared" si="10"/>
        <v>0</v>
      </c>
      <c r="P101" s="44"/>
      <c r="Q101" s="44"/>
      <c r="R101" s="44"/>
      <c r="S101" s="44">
        <f t="shared" si="16"/>
        <v>0</v>
      </c>
      <c r="T101" s="44">
        <f t="shared" si="11"/>
        <v>0</v>
      </c>
      <c r="U101">
        <v>0</v>
      </c>
      <c r="V101" s="43">
        <v>0</v>
      </c>
      <c r="W101" s="44">
        <f t="shared" si="12"/>
        <v>0</v>
      </c>
      <c r="X101" s="44">
        <f t="shared" si="13"/>
        <v>0</v>
      </c>
      <c r="Y101" s="44">
        <f t="shared" si="14"/>
        <v>0</v>
      </c>
      <c r="Z101" s="84"/>
      <c r="AA101" s="78"/>
      <c r="AB101" s="78"/>
      <c r="AC101" s="78"/>
      <c r="AD101" s="78"/>
      <c r="AE101" s="78"/>
    </row>
    <row r="102" spans="1:31" ht="12.75">
      <c r="A102"/>
      <c r="B102"/>
      <c r="C102"/>
      <c r="D102"/>
      <c r="E102"/>
      <c r="F102"/>
      <c r="G102"/>
      <c r="H102"/>
      <c r="I102"/>
      <c r="J102"/>
      <c r="K102" s="100">
        <f t="shared" si="15"/>
        <v>0</v>
      </c>
      <c r="L102" s="95"/>
      <c r="M102" s="90">
        <f t="shared" si="9"/>
        <v>0</v>
      </c>
      <c r="N102" s="56">
        <v>0</v>
      </c>
      <c r="O102" s="44">
        <f t="shared" si="10"/>
        <v>0</v>
      </c>
      <c r="P102" s="44"/>
      <c r="Q102" s="44"/>
      <c r="R102" s="44"/>
      <c r="S102" s="44">
        <f t="shared" si="16"/>
        <v>0</v>
      </c>
      <c r="T102" s="44">
        <f t="shared" si="11"/>
        <v>0</v>
      </c>
      <c r="U102">
        <v>0</v>
      </c>
      <c r="V102" s="43">
        <v>0</v>
      </c>
      <c r="W102" s="44">
        <f t="shared" si="12"/>
        <v>0</v>
      </c>
      <c r="X102" s="44">
        <f t="shared" si="13"/>
        <v>0</v>
      </c>
      <c r="Y102" s="44">
        <f t="shared" si="14"/>
        <v>0</v>
      </c>
      <c r="Z102" s="84"/>
      <c r="AA102" s="78"/>
      <c r="AB102" s="78"/>
      <c r="AC102" s="78"/>
      <c r="AD102" s="78"/>
      <c r="AE102" s="78"/>
    </row>
    <row r="103" spans="1:31" ht="12.75">
      <c r="A103"/>
      <c r="B103"/>
      <c r="C103"/>
      <c r="D103"/>
      <c r="E103"/>
      <c r="F103"/>
      <c r="G103"/>
      <c r="H103"/>
      <c r="I103"/>
      <c r="J103"/>
      <c r="K103" s="100">
        <f t="shared" si="15"/>
        <v>0</v>
      </c>
      <c r="L103" s="95"/>
      <c r="M103" s="90">
        <f t="shared" si="9"/>
        <v>0</v>
      </c>
      <c r="N103" s="56">
        <v>0</v>
      </c>
      <c r="O103" s="44">
        <f t="shared" si="10"/>
        <v>0</v>
      </c>
      <c r="P103" s="44"/>
      <c r="Q103" s="44"/>
      <c r="R103" s="44"/>
      <c r="S103" s="44">
        <f t="shared" si="16"/>
        <v>0</v>
      </c>
      <c r="T103" s="44">
        <f t="shared" si="11"/>
        <v>0</v>
      </c>
      <c r="U103">
        <v>0</v>
      </c>
      <c r="V103" s="43">
        <v>0</v>
      </c>
      <c r="W103" s="44">
        <f t="shared" si="12"/>
        <v>0</v>
      </c>
      <c r="X103" s="44">
        <f t="shared" si="13"/>
        <v>0</v>
      </c>
      <c r="Y103" s="44">
        <f t="shared" si="14"/>
        <v>0</v>
      </c>
      <c r="Z103" s="84"/>
      <c r="AA103" s="78"/>
      <c r="AB103" s="78"/>
      <c r="AC103" s="78"/>
      <c r="AD103" s="78"/>
      <c r="AE103" s="78"/>
    </row>
    <row r="104" spans="1:31" ht="12.75">
      <c r="A104"/>
      <c r="B104"/>
      <c r="C104"/>
      <c r="D104"/>
      <c r="E104"/>
      <c r="F104"/>
      <c r="G104"/>
      <c r="H104"/>
      <c r="I104"/>
      <c r="J104"/>
      <c r="K104" s="100">
        <f t="shared" si="15"/>
        <v>0</v>
      </c>
      <c r="L104" s="95"/>
      <c r="M104" s="90">
        <f t="shared" si="9"/>
        <v>0</v>
      </c>
      <c r="N104" s="56">
        <v>0</v>
      </c>
      <c r="O104" s="44">
        <f t="shared" si="10"/>
        <v>0</v>
      </c>
      <c r="P104" s="44"/>
      <c r="Q104" s="44"/>
      <c r="R104" s="44"/>
      <c r="S104" s="44">
        <f t="shared" si="16"/>
        <v>0</v>
      </c>
      <c r="T104" s="44">
        <f t="shared" si="11"/>
        <v>0</v>
      </c>
      <c r="U104">
        <v>0</v>
      </c>
      <c r="V104" s="43">
        <v>0</v>
      </c>
      <c r="W104" s="44">
        <f t="shared" si="12"/>
        <v>0</v>
      </c>
      <c r="X104" s="44">
        <f t="shared" si="13"/>
        <v>0</v>
      </c>
      <c r="Y104" s="44">
        <f t="shared" si="14"/>
        <v>0</v>
      </c>
      <c r="Z104" s="84"/>
      <c r="AA104" s="78"/>
      <c r="AB104" s="78"/>
      <c r="AC104" s="78"/>
      <c r="AD104" s="78"/>
      <c r="AE104" s="78"/>
    </row>
    <row r="105" spans="1:31" ht="12.75">
      <c r="A105"/>
      <c r="B105"/>
      <c r="C105"/>
      <c r="D105"/>
      <c r="E105"/>
      <c r="F105"/>
      <c r="G105"/>
      <c r="H105"/>
      <c r="I105"/>
      <c r="J105"/>
      <c r="K105" s="100">
        <f t="shared" si="15"/>
        <v>0</v>
      </c>
      <c r="L105" s="95"/>
      <c r="M105" s="90">
        <f t="shared" si="9"/>
        <v>0</v>
      </c>
      <c r="N105" s="56">
        <v>0</v>
      </c>
      <c r="O105" s="44">
        <f t="shared" si="10"/>
        <v>0</v>
      </c>
      <c r="P105" s="44"/>
      <c r="Q105" s="44"/>
      <c r="R105" s="44"/>
      <c r="S105" s="44">
        <f t="shared" si="16"/>
        <v>0</v>
      </c>
      <c r="T105" s="44">
        <f t="shared" si="11"/>
        <v>0</v>
      </c>
      <c r="U105">
        <v>0</v>
      </c>
      <c r="V105" s="43">
        <v>0</v>
      </c>
      <c r="W105" s="44">
        <f t="shared" si="12"/>
        <v>0</v>
      </c>
      <c r="X105" s="44">
        <f t="shared" si="13"/>
        <v>0</v>
      </c>
      <c r="Y105" s="44">
        <f t="shared" si="14"/>
        <v>0</v>
      </c>
      <c r="Z105" s="84"/>
      <c r="AA105" s="78"/>
      <c r="AB105" s="78"/>
      <c r="AC105" s="78"/>
      <c r="AD105" s="78"/>
      <c r="AE105" s="78"/>
    </row>
    <row r="106" spans="1:31" ht="12.75">
      <c r="A106"/>
      <c r="B106"/>
      <c r="C106"/>
      <c r="D106"/>
      <c r="E106"/>
      <c r="F106"/>
      <c r="G106"/>
      <c r="H106"/>
      <c r="I106"/>
      <c r="J106"/>
      <c r="K106" s="100">
        <f t="shared" si="15"/>
        <v>0</v>
      </c>
      <c r="L106" s="95"/>
      <c r="M106" s="90">
        <f t="shared" si="9"/>
        <v>0</v>
      </c>
      <c r="N106" s="56">
        <v>0</v>
      </c>
      <c r="O106" s="44">
        <f t="shared" si="10"/>
        <v>0</v>
      </c>
      <c r="P106" s="44"/>
      <c r="Q106" s="44"/>
      <c r="R106" s="44"/>
      <c r="S106" s="44">
        <f t="shared" si="16"/>
        <v>0</v>
      </c>
      <c r="T106" s="44">
        <f t="shared" si="11"/>
        <v>0</v>
      </c>
      <c r="U106">
        <v>0</v>
      </c>
      <c r="V106" s="43">
        <v>0</v>
      </c>
      <c r="W106" s="44">
        <f t="shared" si="12"/>
        <v>0</v>
      </c>
      <c r="X106" s="44">
        <f t="shared" si="13"/>
        <v>0</v>
      </c>
      <c r="Y106" s="44">
        <f t="shared" si="14"/>
        <v>0</v>
      </c>
      <c r="Z106" s="84"/>
      <c r="AA106" s="78"/>
      <c r="AB106" s="78"/>
      <c r="AC106" s="78"/>
      <c r="AD106" s="78"/>
      <c r="AE106" s="78"/>
    </row>
    <row r="107" spans="1:31" ht="12.75">
      <c r="A107"/>
      <c r="B107"/>
      <c r="C107"/>
      <c r="D107"/>
      <c r="E107"/>
      <c r="F107"/>
      <c r="G107"/>
      <c r="H107"/>
      <c r="I107"/>
      <c r="J107"/>
      <c r="K107" s="100">
        <f t="shared" si="15"/>
        <v>0</v>
      </c>
      <c r="L107" s="95"/>
      <c r="M107" s="90">
        <f t="shared" si="9"/>
        <v>0</v>
      </c>
      <c r="N107" s="56">
        <v>0</v>
      </c>
      <c r="O107" s="44">
        <f t="shared" si="10"/>
        <v>0</v>
      </c>
      <c r="P107" s="44"/>
      <c r="Q107" s="44"/>
      <c r="R107" s="44"/>
      <c r="S107" s="44">
        <f t="shared" si="16"/>
        <v>0</v>
      </c>
      <c r="T107" s="44">
        <f t="shared" si="11"/>
        <v>0</v>
      </c>
      <c r="U107">
        <v>0</v>
      </c>
      <c r="V107" s="43">
        <v>0</v>
      </c>
      <c r="W107" s="44">
        <f t="shared" si="12"/>
        <v>0</v>
      </c>
      <c r="X107" s="44">
        <f t="shared" si="13"/>
        <v>0</v>
      </c>
      <c r="Y107" s="44">
        <f t="shared" si="14"/>
        <v>0</v>
      </c>
      <c r="Z107" s="84"/>
      <c r="AA107" s="78"/>
      <c r="AB107" s="78"/>
      <c r="AC107" s="78"/>
      <c r="AD107" s="78"/>
      <c r="AE107" s="78"/>
    </row>
    <row r="108" spans="1:31" ht="12.75">
      <c r="A108"/>
      <c r="B108"/>
      <c r="C108"/>
      <c r="D108"/>
      <c r="E108"/>
      <c r="F108"/>
      <c r="G108"/>
      <c r="H108"/>
      <c r="I108"/>
      <c r="J108"/>
      <c r="K108" s="100">
        <f t="shared" si="15"/>
        <v>0</v>
      </c>
      <c r="L108" s="95"/>
      <c r="M108" s="90">
        <f t="shared" si="9"/>
        <v>0</v>
      </c>
      <c r="N108" s="56">
        <v>0</v>
      </c>
      <c r="O108" s="44">
        <f t="shared" si="10"/>
        <v>0</v>
      </c>
      <c r="P108" s="44"/>
      <c r="Q108" s="44"/>
      <c r="R108" s="44"/>
      <c r="S108" s="44">
        <f t="shared" si="16"/>
        <v>0</v>
      </c>
      <c r="T108" s="44">
        <f t="shared" si="11"/>
        <v>0</v>
      </c>
      <c r="U108">
        <v>0</v>
      </c>
      <c r="V108" s="43">
        <v>0</v>
      </c>
      <c r="W108" s="44">
        <f t="shared" si="12"/>
        <v>0</v>
      </c>
      <c r="X108" s="44">
        <f t="shared" si="13"/>
        <v>0</v>
      </c>
      <c r="Y108" s="44">
        <f t="shared" si="14"/>
        <v>0</v>
      </c>
      <c r="Z108" s="84"/>
      <c r="AA108" s="78"/>
      <c r="AB108" s="78"/>
      <c r="AC108" s="78"/>
      <c r="AD108" s="78"/>
      <c r="AE108" s="78"/>
    </row>
    <row r="109" spans="1:31" ht="12.75">
      <c r="A109"/>
      <c r="B109"/>
      <c r="C109"/>
      <c r="D109"/>
      <c r="E109"/>
      <c r="F109"/>
      <c r="G109"/>
      <c r="H109"/>
      <c r="I109"/>
      <c r="J109"/>
      <c r="K109" s="100">
        <f t="shared" si="15"/>
        <v>0</v>
      </c>
      <c r="L109" s="95"/>
      <c r="M109" s="90">
        <f t="shared" si="9"/>
        <v>0</v>
      </c>
      <c r="N109" s="56">
        <v>0</v>
      </c>
      <c r="O109" s="44">
        <f t="shared" si="10"/>
        <v>0</v>
      </c>
      <c r="P109" s="44"/>
      <c r="Q109" s="44"/>
      <c r="R109" s="44"/>
      <c r="S109" s="44">
        <f t="shared" si="16"/>
        <v>0</v>
      </c>
      <c r="T109" s="44">
        <f t="shared" si="11"/>
        <v>0</v>
      </c>
      <c r="U109">
        <v>0</v>
      </c>
      <c r="V109" s="43">
        <v>0</v>
      </c>
      <c r="W109" s="44">
        <f t="shared" si="12"/>
        <v>0</v>
      </c>
      <c r="X109" s="44">
        <f t="shared" si="13"/>
        <v>0</v>
      </c>
      <c r="Y109" s="44">
        <f t="shared" si="14"/>
        <v>0</v>
      </c>
      <c r="Z109" s="84"/>
      <c r="AA109" s="78"/>
      <c r="AB109" s="78"/>
      <c r="AC109" s="78"/>
      <c r="AD109" s="78"/>
      <c r="AE109" s="78"/>
    </row>
    <row r="110" spans="1:31" ht="12.75">
      <c r="A110"/>
      <c r="B110"/>
      <c r="C110"/>
      <c r="D110"/>
      <c r="E110"/>
      <c r="F110"/>
      <c r="G110"/>
      <c r="H110"/>
      <c r="I110"/>
      <c r="J110"/>
      <c r="K110" s="100">
        <f t="shared" si="15"/>
        <v>0</v>
      </c>
      <c r="L110" s="95"/>
      <c r="M110" s="90">
        <f t="shared" si="9"/>
        <v>0</v>
      </c>
      <c r="N110" s="56">
        <v>0</v>
      </c>
      <c r="O110" s="44">
        <f t="shared" si="10"/>
        <v>0</v>
      </c>
      <c r="P110" s="44"/>
      <c r="Q110" s="44"/>
      <c r="R110" s="44"/>
      <c r="S110" s="44">
        <f t="shared" si="16"/>
        <v>0</v>
      </c>
      <c r="T110" s="44">
        <f t="shared" si="11"/>
        <v>0</v>
      </c>
      <c r="U110">
        <v>0</v>
      </c>
      <c r="V110" s="43">
        <v>0</v>
      </c>
      <c r="W110" s="44">
        <f t="shared" si="12"/>
        <v>0</v>
      </c>
      <c r="X110" s="44">
        <f t="shared" si="13"/>
        <v>0</v>
      </c>
      <c r="Y110" s="44">
        <f t="shared" si="14"/>
        <v>0</v>
      </c>
      <c r="Z110" s="84"/>
      <c r="AA110" s="78"/>
      <c r="AB110" s="78"/>
      <c r="AC110" s="78"/>
      <c r="AD110" s="78"/>
      <c r="AE110" s="78"/>
    </row>
    <row r="111" spans="1:31" ht="12.75">
      <c r="A111"/>
      <c r="B111"/>
      <c r="C111"/>
      <c r="D111"/>
      <c r="E111"/>
      <c r="F111"/>
      <c r="G111"/>
      <c r="H111"/>
      <c r="I111"/>
      <c r="J111"/>
      <c r="K111" s="100">
        <f t="shared" si="15"/>
        <v>0</v>
      </c>
      <c r="L111" s="95"/>
      <c r="M111" s="90">
        <f t="shared" si="9"/>
        <v>0</v>
      </c>
      <c r="N111" s="56">
        <v>0</v>
      </c>
      <c r="O111" s="44">
        <f t="shared" si="10"/>
        <v>0</v>
      </c>
      <c r="P111" s="44"/>
      <c r="Q111" s="44"/>
      <c r="R111" s="44"/>
      <c r="S111" s="44">
        <f t="shared" si="16"/>
        <v>0</v>
      </c>
      <c r="T111" s="44">
        <f t="shared" si="11"/>
        <v>0</v>
      </c>
      <c r="U111">
        <v>0</v>
      </c>
      <c r="V111" s="43">
        <v>0</v>
      </c>
      <c r="W111" s="44">
        <f t="shared" si="12"/>
        <v>0</v>
      </c>
      <c r="X111" s="44">
        <f t="shared" si="13"/>
        <v>0</v>
      </c>
      <c r="Y111" s="44">
        <f t="shared" si="14"/>
        <v>0</v>
      </c>
      <c r="Z111" s="84"/>
      <c r="AA111" s="78"/>
      <c r="AB111" s="78"/>
      <c r="AC111" s="78"/>
      <c r="AD111" s="78"/>
      <c r="AE111" s="78"/>
    </row>
    <row r="112" spans="1:31" ht="12.75">
      <c r="A112"/>
      <c r="B112"/>
      <c r="C112"/>
      <c r="D112"/>
      <c r="E112"/>
      <c r="F112"/>
      <c r="G112"/>
      <c r="H112"/>
      <c r="I112"/>
      <c r="J112"/>
      <c r="K112" s="100">
        <f t="shared" si="15"/>
        <v>0</v>
      </c>
      <c r="L112" s="95"/>
      <c r="M112" s="90">
        <f t="shared" si="9"/>
        <v>0</v>
      </c>
      <c r="N112" s="56">
        <v>0</v>
      </c>
      <c r="O112" s="44">
        <f t="shared" si="10"/>
        <v>0</v>
      </c>
      <c r="P112" s="44"/>
      <c r="Q112" s="44"/>
      <c r="R112" s="44"/>
      <c r="S112" s="44">
        <f t="shared" si="16"/>
        <v>0</v>
      </c>
      <c r="T112" s="44">
        <f t="shared" si="11"/>
        <v>0</v>
      </c>
      <c r="U112">
        <v>0</v>
      </c>
      <c r="V112" s="43">
        <v>0</v>
      </c>
      <c r="W112" s="44">
        <f t="shared" si="12"/>
        <v>0</v>
      </c>
      <c r="X112" s="44">
        <f t="shared" si="13"/>
        <v>0</v>
      </c>
      <c r="Y112" s="44">
        <f t="shared" si="14"/>
        <v>0</v>
      </c>
      <c r="Z112" s="84"/>
      <c r="AA112" s="78"/>
      <c r="AB112" s="78"/>
      <c r="AC112" s="78"/>
      <c r="AD112" s="78"/>
      <c r="AE112" s="78"/>
    </row>
    <row r="113" spans="1:31" ht="12.75">
      <c r="A113"/>
      <c r="B113"/>
      <c r="C113"/>
      <c r="D113"/>
      <c r="E113"/>
      <c r="F113"/>
      <c r="G113"/>
      <c r="H113"/>
      <c r="I113"/>
      <c r="J113"/>
      <c r="K113" s="100">
        <f t="shared" si="15"/>
        <v>0</v>
      </c>
      <c r="L113" s="95"/>
      <c r="M113" s="90">
        <f t="shared" si="9"/>
        <v>0</v>
      </c>
      <c r="N113" s="56">
        <v>0</v>
      </c>
      <c r="O113" s="44">
        <f t="shared" si="10"/>
        <v>0</v>
      </c>
      <c r="P113" s="44"/>
      <c r="Q113" s="44"/>
      <c r="R113" s="44"/>
      <c r="S113" s="44">
        <f t="shared" si="16"/>
        <v>0</v>
      </c>
      <c r="T113" s="44">
        <f t="shared" si="11"/>
        <v>0</v>
      </c>
      <c r="U113">
        <v>0</v>
      </c>
      <c r="V113" s="43">
        <v>0</v>
      </c>
      <c r="W113" s="44">
        <f t="shared" si="12"/>
        <v>0</v>
      </c>
      <c r="X113" s="44">
        <f t="shared" si="13"/>
        <v>0</v>
      </c>
      <c r="Y113" s="44">
        <f t="shared" si="14"/>
        <v>0</v>
      </c>
      <c r="Z113" s="84"/>
      <c r="AA113" s="78"/>
      <c r="AB113" s="78"/>
      <c r="AC113" s="78"/>
      <c r="AD113" s="78"/>
      <c r="AE113" s="78"/>
    </row>
    <row r="114" spans="1:31" ht="12.75">
      <c r="A114"/>
      <c r="B114"/>
      <c r="C114"/>
      <c r="D114"/>
      <c r="E114"/>
      <c r="F114"/>
      <c r="G114"/>
      <c r="H114"/>
      <c r="I114"/>
      <c r="J114"/>
      <c r="K114" s="100">
        <f t="shared" si="15"/>
        <v>0</v>
      </c>
      <c r="L114" s="95"/>
      <c r="M114" s="90">
        <f t="shared" si="9"/>
        <v>0</v>
      </c>
      <c r="N114" s="56">
        <v>0</v>
      </c>
      <c r="O114" s="44">
        <f t="shared" si="10"/>
        <v>0</v>
      </c>
      <c r="P114" s="44"/>
      <c r="Q114" s="44"/>
      <c r="R114" s="44"/>
      <c r="S114" s="44">
        <f t="shared" si="16"/>
        <v>0</v>
      </c>
      <c r="T114" s="44">
        <f t="shared" si="11"/>
        <v>0</v>
      </c>
      <c r="U114">
        <v>0</v>
      </c>
      <c r="V114" s="43">
        <v>0</v>
      </c>
      <c r="W114" s="44">
        <f t="shared" si="12"/>
        <v>0</v>
      </c>
      <c r="X114" s="44">
        <f t="shared" si="13"/>
        <v>0</v>
      </c>
      <c r="Y114" s="44">
        <f t="shared" si="14"/>
        <v>0</v>
      </c>
      <c r="Z114" s="84"/>
      <c r="AA114" s="78"/>
      <c r="AB114" s="78"/>
      <c r="AC114" s="78"/>
      <c r="AD114" s="78"/>
      <c r="AE114" s="78"/>
    </row>
    <row r="115" spans="1:31" ht="12.75">
      <c r="A115"/>
      <c r="B115"/>
      <c r="C115"/>
      <c r="D115"/>
      <c r="E115"/>
      <c r="F115"/>
      <c r="G115"/>
      <c r="H115"/>
      <c r="I115"/>
      <c r="J115"/>
      <c r="K115" s="100">
        <f t="shared" si="15"/>
        <v>0</v>
      </c>
      <c r="L115" s="95"/>
      <c r="M115" s="90">
        <f t="shared" si="9"/>
        <v>0</v>
      </c>
      <c r="N115" s="56">
        <v>0</v>
      </c>
      <c r="O115" s="44">
        <f t="shared" si="10"/>
        <v>0</v>
      </c>
      <c r="P115" s="44"/>
      <c r="Q115" s="44"/>
      <c r="R115" s="44"/>
      <c r="S115" s="44">
        <f t="shared" si="16"/>
        <v>0</v>
      </c>
      <c r="T115" s="44">
        <f t="shared" si="11"/>
        <v>0</v>
      </c>
      <c r="U115">
        <v>0</v>
      </c>
      <c r="V115" s="43">
        <v>0</v>
      </c>
      <c r="W115" s="44">
        <f t="shared" si="12"/>
        <v>0</v>
      </c>
      <c r="X115" s="44">
        <f t="shared" si="13"/>
        <v>0</v>
      </c>
      <c r="Y115" s="44">
        <f t="shared" si="14"/>
        <v>0</v>
      </c>
      <c r="Z115" s="84"/>
      <c r="AA115" s="78"/>
      <c r="AB115" s="78"/>
      <c r="AC115" s="78"/>
      <c r="AD115" s="78"/>
      <c r="AE115" s="78"/>
    </row>
    <row r="116" spans="1:31" ht="12.75">
      <c r="A116"/>
      <c r="B116"/>
      <c r="C116"/>
      <c r="D116"/>
      <c r="E116"/>
      <c r="F116"/>
      <c r="G116"/>
      <c r="H116"/>
      <c r="I116"/>
      <c r="J116"/>
      <c r="K116" s="100">
        <f t="shared" si="15"/>
        <v>0</v>
      </c>
      <c r="L116" s="95"/>
      <c r="M116" s="90">
        <f t="shared" si="9"/>
        <v>0</v>
      </c>
      <c r="N116" s="56">
        <v>0</v>
      </c>
      <c r="O116" s="44">
        <f t="shared" si="10"/>
        <v>0</v>
      </c>
      <c r="P116" s="44"/>
      <c r="Q116" s="44"/>
      <c r="R116" s="44"/>
      <c r="S116" s="44">
        <f t="shared" si="16"/>
        <v>0</v>
      </c>
      <c r="T116" s="44">
        <f t="shared" si="11"/>
        <v>0</v>
      </c>
      <c r="U116">
        <v>0</v>
      </c>
      <c r="V116" s="43">
        <v>0</v>
      </c>
      <c r="W116" s="44">
        <f t="shared" si="12"/>
        <v>0</v>
      </c>
      <c r="X116" s="44">
        <f t="shared" si="13"/>
        <v>0</v>
      </c>
      <c r="Y116" s="44">
        <f t="shared" si="14"/>
        <v>0</v>
      </c>
      <c r="Z116" s="84"/>
      <c r="AA116" s="78"/>
      <c r="AB116" s="78"/>
      <c r="AC116" s="78"/>
      <c r="AD116" s="78"/>
      <c r="AE116" s="78"/>
    </row>
    <row r="117" spans="1:31" ht="12.75">
      <c r="A117"/>
      <c r="B117"/>
      <c r="C117"/>
      <c r="D117"/>
      <c r="E117"/>
      <c r="F117"/>
      <c r="G117"/>
      <c r="H117"/>
      <c r="I117"/>
      <c r="J117"/>
      <c r="K117" s="100">
        <f t="shared" si="15"/>
        <v>0</v>
      </c>
      <c r="L117" s="95"/>
      <c r="M117" s="90">
        <f t="shared" si="9"/>
        <v>0</v>
      </c>
      <c r="N117" s="56">
        <v>0</v>
      </c>
      <c r="O117" s="44">
        <f t="shared" si="10"/>
        <v>0</v>
      </c>
      <c r="P117" s="44"/>
      <c r="Q117" s="44"/>
      <c r="R117" s="44"/>
      <c r="S117" s="44">
        <f t="shared" si="16"/>
        <v>0</v>
      </c>
      <c r="T117" s="44">
        <f t="shared" si="11"/>
        <v>0</v>
      </c>
      <c r="U117">
        <v>0</v>
      </c>
      <c r="V117" s="43">
        <v>0</v>
      </c>
      <c r="W117" s="44">
        <f t="shared" si="12"/>
        <v>0</v>
      </c>
      <c r="X117" s="44">
        <f t="shared" si="13"/>
        <v>0</v>
      </c>
      <c r="Y117" s="44">
        <f t="shared" si="14"/>
        <v>0</v>
      </c>
      <c r="Z117" s="84"/>
      <c r="AA117" s="78"/>
      <c r="AB117" s="78"/>
      <c r="AC117" s="78"/>
      <c r="AD117" s="78"/>
      <c r="AE117" s="78"/>
    </row>
    <row r="118" spans="1:31" ht="12.75">
      <c r="A118"/>
      <c r="B118"/>
      <c r="C118"/>
      <c r="D118"/>
      <c r="E118"/>
      <c r="F118"/>
      <c r="G118"/>
      <c r="H118"/>
      <c r="I118"/>
      <c r="J118"/>
      <c r="K118" s="100">
        <f t="shared" si="15"/>
        <v>0</v>
      </c>
      <c r="L118" s="95"/>
      <c r="M118" s="90">
        <f t="shared" si="9"/>
        <v>0</v>
      </c>
      <c r="N118" s="56">
        <v>0</v>
      </c>
      <c r="O118" s="44">
        <f t="shared" si="10"/>
        <v>0</v>
      </c>
      <c r="P118" s="44"/>
      <c r="Q118" s="44"/>
      <c r="R118" s="44"/>
      <c r="S118" s="44">
        <f t="shared" si="16"/>
        <v>0</v>
      </c>
      <c r="T118" s="44">
        <f t="shared" si="11"/>
        <v>0</v>
      </c>
      <c r="U118">
        <v>0</v>
      </c>
      <c r="V118" s="43">
        <v>0</v>
      </c>
      <c r="W118" s="44">
        <f t="shared" si="12"/>
        <v>0</v>
      </c>
      <c r="X118" s="44">
        <f t="shared" si="13"/>
        <v>0</v>
      </c>
      <c r="Y118" s="44">
        <f t="shared" si="14"/>
        <v>0</v>
      </c>
      <c r="Z118" s="84"/>
      <c r="AA118" s="78"/>
      <c r="AB118" s="78"/>
      <c r="AC118" s="78"/>
      <c r="AD118" s="78"/>
      <c r="AE118" s="78"/>
    </row>
    <row r="119" spans="1:31" ht="12.75">
      <c r="A119"/>
      <c r="B119"/>
      <c r="C119"/>
      <c r="D119"/>
      <c r="E119"/>
      <c r="F119"/>
      <c r="G119"/>
      <c r="H119"/>
      <c r="I119"/>
      <c r="J119"/>
      <c r="K119" s="100">
        <f t="shared" si="15"/>
        <v>0</v>
      </c>
      <c r="L119" s="95"/>
      <c r="M119" s="90">
        <f t="shared" si="9"/>
        <v>0</v>
      </c>
      <c r="N119" s="56">
        <v>0</v>
      </c>
      <c r="O119" s="44">
        <f t="shared" si="10"/>
        <v>0</v>
      </c>
      <c r="P119" s="44"/>
      <c r="Q119" s="44"/>
      <c r="R119" s="44"/>
      <c r="S119" s="44">
        <f t="shared" si="16"/>
        <v>0</v>
      </c>
      <c r="T119" s="44">
        <f t="shared" si="11"/>
        <v>0</v>
      </c>
      <c r="U119">
        <v>0</v>
      </c>
      <c r="V119" s="43">
        <v>0</v>
      </c>
      <c r="W119" s="44">
        <f t="shared" si="12"/>
        <v>0</v>
      </c>
      <c r="X119" s="44">
        <f t="shared" si="13"/>
        <v>0</v>
      </c>
      <c r="Y119" s="44">
        <f t="shared" si="14"/>
        <v>0</v>
      </c>
      <c r="Z119" s="84"/>
      <c r="AA119" s="78"/>
      <c r="AB119" s="78"/>
      <c r="AC119" s="78"/>
      <c r="AD119" s="78"/>
      <c r="AE119" s="78"/>
    </row>
    <row r="120" spans="1:31" ht="12.75">
      <c r="A120"/>
      <c r="B120"/>
      <c r="C120"/>
      <c r="D120"/>
      <c r="E120"/>
      <c r="F120"/>
      <c r="G120"/>
      <c r="H120"/>
      <c r="I120"/>
      <c r="J120"/>
      <c r="K120" s="100">
        <f t="shared" si="15"/>
        <v>0</v>
      </c>
      <c r="L120" s="95"/>
      <c r="M120" s="90">
        <f t="shared" si="9"/>
        <v>0</v>
      </c>
      <c r="N120" s="56">
        <v>0</v>
      </c>
      <c r="O120" s="44">
        <f t="shared" si="10"/>
        <v>0</v>
      </c>
      <c r="P120" s="44"/>
      <c r="Q120" s="44"/>
      <c r="R120" s="44"/>
      <c r="S120" s="44">
        <f t="shared" si="16"/>
        <v>0</v>
      </c>
      <c r="T120" s="44">
        <f t="shared" si="11"/>
        <v>0</v>
      </c>
      <c r="U120">
        <v>0</v>
      </c>
      <c r="V120" s="43">
        <v>0</v>
      </c>
      <c r="W120" s="44">
        <f t="shared" si="12"/>
        <v>0</v>
      </c>
      <c r="X120" s="44">
        <f t="shared" si="13"/>
        <v>0</v>
      </c>
      <c r="Y120" s="44">
        <f t="shared" si="14"/>
        <v>0</v>
      </c>
      <c r="Z120" s="84"/>
      <c r="AA120" s="78"/>
      <c r="AB120" s="78"/>
      <c r="AC120" s="78"/>
      <c r="AD120" s="78"/>
      <c r="AE120" s="78"/>
    </row>
    <row r="121" spans="1:31" ht="12.75">
      <c r="A121"/>
      <c r="B121"/>
      <c r="C121"/>
      <c r="D121"/>
      <c r="E121"/>
      <c r="F121"/>
      <c r="G121"/>
      <c r="H121"/>
      <c r="I121"/>
      <c r="J121"/>
      <c r="K121" s="100">
        <f t="shared" si="15"/>
        <v>0</v>
      </c>
      <c r="L121" s="95"/>
      <c r="M121" s="90">
        <f t="shared" si="9"/>
        <v>0</v>
      </c>
      <c r="N121" s="56">
        <v>0</v>
      </c>
      <c r="O121" s="44">
        <f t="shared" si="10"/>
        <v>0</v>
      </c>
      <c r="P121" s="44"/>
      <c r="Q121" s="44"/>
      <c r="R121" s="44"/>
      <c r="S121" s="44">
        <f t="shared" si="16"/>
        <v>0</v>
      </c>
      <c r="T121" s="44">
        <f t="shared" si="11"/>
        <v>0</v>
      </c>
      <c r="U121">
        <v>0</v>
      </c>
      <c r="V121" s="43">
        <v>0</v>
      </c>
      <c r="W121" s="44">
        <f t="shared" si="12"/>
        <v>0</v>
      </c>
      <c r="X121" s="44">
        <f t="shared" si="13"/>
        <v>0</v>
      </c>
      <c r="Y121" s="44">
        <f t="shared" si="14"/>
        <v>0</v>
      </c>
      <c r="Z121" s="84"/>
      <c r="AA121" s="78"/>
      <c r="AB121" s="78"/>
      <c r="AC121" s="78"/>
      <c r="AD121" s="78"/>
      <c r="AE121" s="78"/>
    </row>
    <row r="122" spans="1:31" ht="12.75">
      <c r="A122"/>
      <c r="B122"/>
      <c r="C122"/>
      <c r="D122"/>
      <c r="E122"/>
      <c r="F122"/>
      <c r="G122"/>
      <c r="H122"/>
      <c r="I122"/>
      <c r="J122"/>
      <c r="K122" s="100">
        <f t="shared" si="15"/>
        <v>0</v>
      </c>
      <c r="L122" s="95"/>
      <c r="M122" s="90">
        <f t="shared" si="9"/>
        <v>0</v>
      </c>
      <c r="N122" s="56">
        <v>0</v>
      </c>
      <c r="O122" s="44">
        <f t="shared" si="10"/>
        <v>0</v>
      </c>
      <c r="P122" s="44"/>
      <c r="Q122" s="44"/>
      <c r="R122" s="44"/>
      <c r="S122" s="44">
        <f t="shared" si="16"/>
        <v>0</v>
      </c>
      <c r="T122" s="44">
        <f t="shared" si="11"/>
        <v>0</v>
      </c>
      <c r="U122">
        <v>0</v>
      </c>
      <c r="V122" s="43">
        <v>0</v>
      </c>
      <c r="W122" s="44">
        <f t="shared" si="12"/>
        <v>0</v>
      </c>
      <c r="X122" s="44">
        <f t="shared" si="13"/>
        <v>0</v>
      </c>
      <c r="Y122" s="44">
        <f t="shared" si="14"/>
        <v>0</v>
      </c>
      <c r="Z122" s="84"/>
      <c r="AA122" s="78"/>
      <c r="AB122" s="78"/>
      <c r="AC122" s="78"/>
      <c r="AD122" s="78"/>
      <c r="AE122" s="78"/>
    </row>
    <row r="123" spans="1:31" ht="12.75">
      <c r="A123"/>
      <c r="B123"/>
      <c r="C123"/>
      <c r="D123"/>
      <c r="E123"/>
      <c r="F123"/>
      <c r="G123"/>
      <c r="H123"/>
      <c r="I123"/>
      <c r="J123"/>
      <c r="K123" s="100">
        <f t="shared" si="15"/>
        <v>0</v>
      </c>
      <c r="L123" s="95"/>
      <c r="M123" s="90">
        <f t="shared" si="9"/>
        <v>0</v>
      </c>
      <c r="N123" s="56">
        <v>0</v>
      </c>
      <c r="O123" s="44">
        <f t="shared" si="10"/>
        <v>0</v>
      </c>
      <c r="P123" s="44"/>
      <c r="Q123" s="44"/>
      <c r="R123" s="44"/>
      <c r="S123" s="44">
        <f t="shared" si="16"/>
        <v>0</v>
      </c>
      <c r="T123" s="44">
        <f t="shared" si="11"/>
        <v>0</v>
      </c>
      <c r="U123">
        <v>0</v>
      </c>
      <c r="V123" s="43">
        <v>0</v>
      </c>
      <c r="W123" s="44">
        <f t="shared" si="12"/>
        <v>0</v>
      </c>
      <c r="X123" s="44">
        <f t="shared" si="13"/>
        <v>0</v>
      </c>
      <c r="Y123" s="44">
        <f t="shared" si="14"/>
        <v>0</v>
      </c>
      <c r="Z123" s="84"/>
      <c r="AA123" s="78"/>
      <c r="AB123" s="78"/>
      <c r="AC123" s="78"/>
      <c r="AD123" s="78"/>
      <c r="AE123" s="78"/>
    </row>
    <row r="124" spans="1:31" ht="12.75">
      <c r="A124"/>
      <c r="B124"/>
      <c r="C124"/>
      <c r="D124"/>
      <c r="E124"/>
      <c r="F124"/>
      <c r="G124"/>
      <c r="H124"/>
      <c r="I124"/>
      <c r="J124"/>
      <c r="K124" s="100">
        <f t="shared" si="15"/>
        <v>0</v>
      </c>
      <c r="L124" s="95"/>
      <c r="M124" s="90">
        <f t="shared" si="9"/>
        <v>0</v>
      </c>
      <c r="N124" s="56">
        <v>0</v>
      </c>
      <c r="O124" s="44">
        <f t="shared" si="10"/>
        <v>0</v>
      </c>
      <c r="P124" s="44"/>
      <c r="Q124" s="44"/>
      <c r="R124" s="44"/>
      <c r="S124" s="44">
        <f t="shared" si="16"/>
        <v>0</v>
      </c>
      <c r="T124" s="44">
        <f t="shared" si="11"/>
        <v>0</v>
      </c>
      <c r="U124">
        <v>0</v>
      </c>
      <c r="V124" s="43">
        <v>0</v>
      </c>
      <c r="W124" s="44">
        <f t="shared" si="12"/>
        <v>0</v>
      </c>
      <c r="X124" s="44">
        <f t="shared" si="13"/>
        <v>0</v>
      </c>
      <c r="Y124" s="44">
        <f t="shared" si="14"/>
        <v>0</v>
      </c>
      <c r="Z124" s="84"/>
      <c r="AA124" s="78"/>
      <c r="AB124" s="78"/>
      <c r="AC124" s="78"/>
      <c r="AD124" s="78"/>
      <c r="AE124" s="78"/>
    </row>
    <row r="125" spans="1:31" ht="12.75">
      <c r="A125"/>
      <c r="B125"/>
      <c r="C125"/>
      <c r="D125"/>
      <c r="E125"/>
      <c r="F125"/>
      <c r="G125"/>
      <c r="H125"/>
      <c r="I125"/>
      <c r="J125"/>
      <c r="K125" s="100">
        <f t="shared" si="15"/>
        <v>0</v>
      </c>
      <c r="L125" s="95"/>
      <c r="M125" s="90">
        <f t="shared" si="9"/>
        <v>0</v>
      </c>
      <c r="N125" s="56">
        <v>0</v>
      </c>
      <c r="O125" s="44">
        <f t="shared" si="10"/>
        <v>0</v>
      </c>
      <c r="P125" s="44"/>
      <c r="Q125" s="44"/>
      <c r="R125" s="44"/>
      <c r="S125" s="44">
        <f t="shared" si="16"/>
        <v>0</v>
      </c>
      <c r="T125" s="44">
        <f t="shared" si="11"/>
        <v>0</v>
      </c>
      <c r="U125">
        <v>0</v>
      </c>
      <c r="V125" s="43">
        <v>0</v>
      </c>
      <c r="W125" s="44">
        <f t="shared" si="12"/>
        <v>0</v>
      </c>
      <c r="X125" s="44">
        <f t="shared" si="13"/>
        <v>0</v>
      </c>
      <c r="Y125" s="44">
        <f t="shared" si="14"/>
        <v>0</v>
      </c>
      <c r="Z125" s="84"/>
      <c r="AA125" s="78"/>
      <c r="AB125" s="78"/>
      <c r="AC125" s="78"/>
      <c r="AD125" s="78"/>
      <c r="AE125" s="78"/>
    </row>
    <row r="126" spans="1:31" ht="12.75">
      <c r="A126"/>
      <c r="B126"/>
      <c r="C126"/>
      <c r="D126"/>
      <c r="E126"/>
      <c r="F126"/>
      <c r="G126"/>
      <c r="H126"/>
      <c r="I126"/>
      <c r="J126"/>
      <c r="K126" s="100">
        <f t="shared" si="15"/>
        <v>0</v>
      </c>
      <c r="L126" s="95"/>
      <c r="M126" s="90">
        <f t="shared" si="9"/>
        <v>0</v>
      </c>
      <c r="N126" s="56">
        <v>0</v>
      </c>
      <c r="O126" s="44">
        <f t="shared" si="10"/>
        <v>0</v>
      </c>
      <c r="P126" s="44"/>
      <c r="Q126" s="44"/>
      <c r="R126" s="44"/>
      <c r="S126" s="44">
        <f t="shared" si="16"/>
        <v>0</v>
      </c>
      <c r="T126" s="44">
        <f t="shared" si="11"/>
        <v>0</v>
      </c>
      <c r="U126">
        <v>0</v>
      </c>
      <c r="V126" s="43">
        <v>0</v>
      </c>
      <c r="W126" s="44">
        <f t="shared" si="12"/>
        <v>0</v>
      </c>
      <c r="X126" s="44">
        <f t="shared" si="13"/>
        <v>0</v>
      </c>
      <c r="Y126" s="44">
        <f t="shared" si="14"/>
        <v>0</v>
      </c>
      <c r="Z126" s="84"/>
      <c r="AA126" s="78"/>
      <c r="AB126" s="78"/>
      <c r="AC126" s="78"/>
      <c r="AD126" s="78"/>
      <c r="AE126" s="78"/>
    </row>
    <row r="127" spans="1:31" ht="12.75">
      <c r="A127"/>
      <c r="B127"/>
      <c r="C127"/>
      <c r="D127"/>
      <c r="E127"/>
      <c r="F127"/>
      <c r="G127"/>
      <c r="H127"/>
      <c r="I127"/>
      <c r="J127"/>
      <c r="K127" s="100">
        <f t="shared" si="15"/>
        <v>0</v>
      </c>
      <c r="L127" s="95"/>
      <c r="M127" s="90">
        <f t="shared" si="9"/>
        <v>0</v>
      </c>
      <c r="N127" s="56">
        <v>0</v>
      </c>
      <c r="O127" s="44">
        <f t="shared" si="10"/>
        <v>0</v>
      </c>
      <c r="P127" s="44"/>
      <c r="Q127" s="44"/>
      <c r="R127" s="44"/>
      <c r="S127" s="44">
        <f t="shared" si="16"/>
        <v>0</v>
      </c>
      <c r="T127" s="44">
        <f t="shared" si="11"/>
        <v>0</v>
      </c>
      <c r="U127">
        <v>0</v>
      </c>
      <c r="V127" s="43">
        <v>0</v>
      </c>
      <c r="W127" s="44">
        <f t="shared" si="12"/>
        <v>0</v>
      </c>
      <c r="X127" s="44">
        <f t="shared" si="13"/>
        <v>0</v>
      </c>
      <c r="Y127" s="44">
        <f t="shared" si="14"/>
        <v>0</v>
      </c>
      <c r="Z127" s="84"/>
      <c r="AA127" s="78"/>
      <c r="AB127" s="78"/>
      <c r="AC127" s="78"/>
      <c r="AD127" s="78"/>
      <c r="AE127" s="78"/>
    </row>
    <row r="128" spans="1:31" ht="12.75">
      <c r="A128"/>
      <c r="B128"/>
      <c r="C128"/>
      <c r="D128"/>
      <c r="E128"/>
      <c r="F128"/>
      <c r="G128"/>
      <c r="H128"/>
      <c r="I128"/>
      <c r="J128"/>
      <c r="K128" s="100">
        <f t="shared" si="15"/>
        <v>0</v>
      </c>
      <c r="L128" s="95"/>
      <c r="M128" s="90">
        <f t="shared" si="9"/>
        <v>0</v>
      </c>
      <c r="N128" s="56">
        <v>0</v>
      </c>
      <c r="O128" s="44">
        <f t="shared" si="10"/>
        <v>0</v>
      </c>
      <c r="P128" s="44"/>
      <c r="Q128" s="44"/>
      <c r="R128" s="44"/>
      <c r="S128" s="44">
        <f t="shared" si="16"/>
        <v>0</v>
      </c>
      <c r="T128" s="44">
        <f t="shared" si="11"/>
        <v>0</v>
      </c>
      <c r="U128">
        <v>0</v>
      </c>
      <c r="V128" s="43">
        <v>0</v>
      </c>
      <c r="W128" s="44">
        <f t="shared" si="12"/>
        <v>0</v>
      </c>
      <c r="X128" s="44">
        <f t="shared" si="13"/>
        <v>0</v>
      </c>
      <c r="Y128" s="44">
        <f t="shared" si="14"/>
        <v>0</v>
      </c>
      <c r="Z128" s="84"/>
      <c r="AA128" s="78"/>
      <c r="AB128" s="78"/>
      <c r="AC128" s="78"/>
      <c r="AD128" s="78"/>
      <c r="AE128" s="78"/>
    </row>
    <row r="129" spans="1:31" ht="12.75">
      <c r="A129"/>
      <c r="B129"/>
      <c r="C129"/>
      <c r="D129"/>
      <c r="E129"/>
      <c r="F129"/>
      <c r="G129"/>
      <c r="H129"/>
      <c r="I129"/>
      <c r="J129"/>
      <c r="K129" s="100">
        <f t="shared" si="15"/>
        <v>0</v>
      </c>
      <c r="L129" s="95"/>
      <c r="M129" s="90">
        <f t="shared" si="9"/>
        <v>0</v>
      </c>
      <c r="N129" s="56">
        <v>0</v>
      </c>
      <c r="O129" s="44">
        <f t="shared" si="10"/>
        <v>0</v>
      </c>
      <c r="P129" s="44"/>
      <c r="Q129" s="44"/>
      <c r="R129" s="44"/>
      <c r="S129" s="44">
        <f t="shared" si="16"/>
        <v>0</v>
      </c>
      <c r="T129" s="44">
        <f t="shared" si="11"/>
        <v>0</v>
      </c>
      <c r="U129">
        <v>0</v>
      </c>
      <c r="V129" s="43">
        <v>0</v>
      </c>
      <c r="W129" s="44">
        <f t="shared" si="12"/>
        <v>0</v>
      </c>
      <c r="X129" s="44">
        <f t="shared" si="13"/>
        <v>0</v>
      </c>
      <c r="Y129" s="44">
        <f t="shared" si="14"/>
        <v>0</v>
      </c>
      <c r="Z129" s="84"/>
      <c r="AA129" s="78"/>
      <c r="AB129" s="78"/>
      <c r="AC129" s="78"/>
      <c r="AD129" s="78"/>
      <c r="AE129" s="78"/>
    </row>
    <row r="130" spans="1:31" ht="12.75">
      <c r="A130"/>
      <c r="B130"/>
      <c r="C130"/>
      <c r="D130"/>
      <c r="E130"/>
      <c r="F130"/>
      <c r="G130"/>
      <c r="H130"/>
      <c r="I130"/>
      <c r="J130"/>
      <c r="K130" s="100">
        <f t="shared" si="15"/>
        <v>0</v>
      </c>
      <c r="L130" s="95"/>
      <c r="M130" s="90">
        <f t="shared" si="9"/>
        <v>0</v>
      </c>
      <c r="N130" s="56">
        <v>0</v>
      </c>
      <c r="O130" s="44">
        <f t="shared" si="10"/>
        <v>0</v>
      </c>
      <c r="P130" s="44"/>
      <c r="Q130" s="44"/>
      <c r="R130" s="44"/>
      <c r="S130" s="44">
        <f t="shared" si="16"/>
        <v>0</v>
      </c>
      <c r="T130" s="44">
        <f t="shared" si="11"/>
        <v>0</v>
      </c>
      <c r="U130">
        <v>0</v>
      </c>
      <c r="V130" s="43">
        <v>0</v>
      </c>
      <c r="W130" s="44">
        <f t="shared" si="12"/>
        <v>0</v>
      </c>
      <c r="X130" s="44">
        <f t="shared" si="13"/>
        <v>0</v>
      </c>
      <c r="Y130" s="44">
        <f t="shared" si="14"/>
        <v>0</v>
      </c>
      <c r="Z130" s="84"/>
      <c r="AA130" s="78"/>
      <c r="AB130" s="78"/>
      <c r="AC130" s="78"/>
      <c r="AD130" s="78"/>
      <c r="AE130" s="78"/>
    </row>
    <row r="131" spans="1:31" ht="12.75">
      <c r="A131"/>
      <c r="B131"/>
      <c r="C131"/>
      <c r="D131"/>
      <c r="E131"/>
      <c r="F131"/>
      <c r="G131"/>
      <c r="H131"/>
      <c r="I131"/>
      <c r="J131"/>
      <c r="K131" s="100">
        <f t="shared" si="15"/>
        <v>0</v>
      </c>
      <c r="L131" s="95"/>
      <c r="M131" s="90">
        <f t="shared" si="9"/>
        <v>0</v>
      </c>
      <c r="N131" s="56">
        <v>0</v>
      </c>
      <c r="O131" s="44">
        <f t="shared" si="10"/>
        <v>0</v>
      </c>
      <c r="P131" s="44"/>
      <c r="Q131" s="44"/>
      <c r="R131" s="44"/>
      <c r="S131" s="44">
        <f t="shared" si="16"/>
        <v>0</v>
      </c>
      <c r="T131" s="44">
        <f t="shared" si="11"/>
        <v>0</v>
      </c>
      <c r="U131">
        <v>0</v>
      </c>
      <c r="V131" s="43">
        <v>0</v>
      </c>
      <c r="W131" s="44">
        <f t="shared" si="12"/>
        <v>0</v>
      </c>
      <c r="X131" s="44">
        <f t="shared" si="13"/>
        <v>0</v>
      </c>
      <c r="Y131" s="44">
        <f t="shared" si="14"/>
        <v>0</v>
      </c>
      <c r="Z131" s="84"/>
      <c r="AA131" s="78"/>
      <c r="AB131" s="78"/>
      <c r="AC131" s="78"/>
      <c r="AD131" s="78"/>
      <c r="AE131" s="78"/>
    </row>
    <row r="132" spans="1:31" ht="12.75">
      <c r="A132"/>
      <c r="B132"/>
      <c r="C132"/>
      <c r="D132"/>
      <c r="E132"/>
      <c r="F132"/>
      <c r="G132"/>
      <c r="H132"/>
      <c r="I132"/>
      <c r="J132"/>
      <c r="K132" s="100">
        <f t="shared" si="15"/>
        <v>0</v>
      </c>
      <c r="L132" s="95"/>
      <c r="M132" s="90">
        <f t="shared" si="9"/>
        <v>0</v>
      </c>
      <c r="N132" s="56">
        <v>0</v>
      </c>
      <c r="O132" s="44">
        <f t="shared" si="10"/>
        <v>0</v>
      </c>
      <c r="P132" s="44"/>
      <c r="Q132" s="44"/>
      <c r="R132" s="44"/>
      <c r="S132" s="44">
        <f t="shared" si="16"/>
        <v>0</v>
      </c>
      <c r="T132" s="44">
        <f t="shared" si="11"/>
        <v>0</v>
      </c>
      <c r="U132">
        <v>0</v>
      </c>
      <c r="V132" s="43">
        <v>0</v>
      </c>
      <c r="W132" s="44">
        <f t="shared" si="12"/>
        <v>0</v>
      </c>
      <c r="X132" s="44">
        <f t="shared" si="13"/>
        <v>0</v>
      </c>
      <c r="Y132" s="44">
        <f t="shared" si="14"/>
        <v>0</v>
      </c>
      <c r="Z132" s="84"/>
      <c r="AA132" s="78"/>
      <c r="AB132" s="78"/>
      <c r="AC132" s="78"/>
      <c r="AD132" s="78"/>
      <c r="AE132" s="78"/>
    </row>
    <row r="133" spans="1:31" ht="12.75">
      <c r="A133"/>
      <c r="B133"/>
      <c r="C133"/>
      <c r="D133"/>
      <c r="E133"/>
      <c r="F133"/>
      <c r="G133"/>
      <c r="H133"/>
      <c r="I133"/>
      <c r="J133"/>
      <c r="K133" s="100">
        <f t="shared" si="15"/>
        <v>0</v>
      </c>
      <c r="L133" s="95"/>
      <c r="M133" s="90">
        <f t="shared" si="9"/>
        <v>0</v>
      </c>
      <c r="N133" s="56">
        <v>0</v>
      </c>
      <c r="O133" s="44">
        <f t="shared" si="10"/>
        <v>0</v>
      </c>
      <c r="P133" s="44"/>
      <c r="Q133" s="44"/>
      <c r="R133" s="44"/>
      <c r="S133" s="44">
        <f t="shared" si="16"/>
        <v>0</v>
      </c>
      <c r="T133" s="44">
        <f t="shared" si="11"/>
        <v>0</v>
      </c>
      <c r="U133">
        <v>0</v>
      </c>
      <c r="V133" s="43">
        <v>0</v>
      </c>
      <c r="W133" s="44">
        <f t="shared" si="12"/>
        <v>0</v>
      </c>
      <c r="X133" s="44">
        <f t="shared" si="13"/>
        <v>0</v>
      </c>
      <c r="Y133" s="44">
        <f t="shared" si="14"/>
        <v>0</v>
      </c>
      <c r="Z133" s="84"/>
      <c r="AA133" s="78"/>
      <c r="AB133" s="78"/>
      <c r="AC133" s="78"/>
      <c r="AD133" s="78"/>
      <c r="AE133" s="78"/>
    </row>
    <row r="134" spans="1:31" ht="12.75">
      <c r="A134"/>
      <c r="B134"/>
      <c r="C134"/>
      <c r="D134"/>
      <c r="E134"/>
      <c r="F134"/>
      <c r="G134"/>
      <c r="H134"/>
      <c r="I134"/>
      <c r="J134"/>
      <c r="K134" s="100">
        <f t="shared" si="15"/>
        <v>0</v>
      </c>
      <c r="L134" s="95"/>
      <c r="M134" s="90">
        <f t="shared" si="9"/>
        <v>0</v>
      </c>
      <c r="N134" s="56">
        <v>0</v>
      </c>
      <c r="O134" s="44">
        <f t="shared" si="10"/>
        <v>0</v>
      </c>
      <c r="P134" s="44"/>
      <c r="Q134" s="44"/>
      <c r="R134" s="44"/>
      <c r="S134" s="44">
        <f t="shared" si="16"/>
        <v>0</v>
      </c>
      <c r="T134" s="44">
        <f t="shared" si="11"/>
        <v>0</v>
      </c>
      <c r="U134">
        <v>0</v>
      </c>
      <c r="V134" s="43">
        <v>0</v>
      </c>
      <c r="W134" s="44">
        <f t="shared" si="12"/>
        <v>0</v>
      </c>
      <c r="X134" s="44">
        <f t="shared" si="13"/>
        <v>0</v>
      </c>
      <c r="Y134" s="44">
        <f t="shared" si="14"/>
        <v>0</v>
      </c>
      <c r="Z134" s="84"/>
      <c r="AA134" s="78"/>
      <c r="AB134" s="78"/>
      <c r="AC134" s="78"/>
      <c r="AD134" s="78"/>
      <c r="AE134" s="78"/>
    </row>
    <row r="135" spans="1:31" ht="12.75">
      <c r="A135"/>
      <c r="B135"/>
      <c r="C135"/>
      <c r="D135"/>
      <c r="E135"/>
      <c r="F135"/>
      <c r="G135"/>
      <c r="H135"/>
      <c r="I135"/>
      <c r="J135"/>
      <c r="K135" s="100">
        <f t="shared" si="15"/>
        <v>0</v>
      </c>
      <c r="L135" s="95"/>
      <c r="M135" s="90">
        <f t="shared" si="9"/>
        <v>0</v>
      </c>
      <c r="N135" s="56">
        <v>0</v>
      </c>
      <c r="O135" s="44">
        <f t="shared" si="10"/>
        <v>0</v>
      </c>
      <c r="P135" s="44"/>
      <c r="Q135" s="44"/>
      <c r="R135" s="44"/>
      <c r="S135" s="44">
        <f t="shared" si="16"/>
        <v>0</v>
      </c>
      <c r="T135" s="44">
        <f t="shared" si="11"/>
        <v>0</v>
      </c>
      <c r="U135">
        <v>0</v>
      </c>
      <c r="V135" s="43">
        <v>0</v>
      </c>
      <c r="W135" s="44">
        <f t="shared" si="12"/>
        <v>0</v>
      </c>
      <c r="X135" s="44">
        <f t="shared" si="13"/>
        <v>0</v>
      </c>
      <c r="Y135" s="44">
        <f t="shared" si="14"/>
        <v>0</v>
      </c>
      <c r="Z135" s="84"/>
      <c r="AA135" s="78"/>
      <c r="AB135" s="78"/>
      <c r="AC135" s="78"/>
      <c r="AD135" s="78"/>
      <c r="AE135" s="78"/>
    </row>
    <row r="136" spans="1:31" ht="12.75">
      <c r="A136"/>
      <c r="B136"/>
      <c r="C136"/>
      <c r="D136"/>
      <c r="E136"/>
      <c r="F136"/>
      <c r="G136"/>
      <c r="H136"/>
      <c r="I136"/>
      <c r="J136"/>
      <c r="K136" s="100">
        <f t="shared" si="15"/>
        <v>0</v>
      </c>
      <c r="L136" s="95"/>
      <c r="M136" s="90">
        <f t="shared" ref="M136:M199" si="17">ROUND(K136*L136,2)</f>
        <v>0</v>
      </c>
      <c r="N136" s="56">
        <v>0</v>
      </c>
      <c r="O136" s="44">
        <f t="shared" ref="O136:O199" si="18">+M136-(M136*N136)</f>
        <v>0</v>
      </c>
      <c r="P136" s="44"/>
      <c r="Q136" s="44"/>
      <c r="R136" s="44"/>
      <c r="S136" s="44">
        <f t="shared" si="16"/>
        <v>0</v>
      </c>
      <c r="T136" s="44">
        <f t="shared" ref="T136:T199" si="19">+O136+P136+Q136+R136</f>
        <v>0</v>
      </c>
      <c r="U136">
        <v>0</v>
      </c>
      <c r="V136" s="43">
        <v>0</v>
      </c>
      <c r="W136" s="44">
        <f t="shared" ref="W136:W199" si="20">+O136-U136-V136-Z136</f>
        <v>0</v>
      </c>
      <c r="X136" s="44">
        <f t="shared" ref="X136:X199" si="21">(+O136-U136-Z136)*$X$1</f>
        <v>0</v>
      </c>
      <c r="Y136" s="44">
        <f t="shared" ref="Y136:Y199" si="22">+W136-X136</f>
        <v>0</v>
      </c>
      <c r="Z136" s="84"/>
      <c r="AA136" s="78"/>
      <c r="AB136" s="78"/>
      <c r="AC136" s="78"/>
      <c r="AD136" s="78"/>
      <c r="AE136" s="78"/>
    </row>
    <row r="137" spans="1:31" ht="12.75">
      <c r="A137"/>
      <c r="B137"/>
      <c r="C137"/>
      <c r="D137"/>
      <c r="E137"/>
      <c r="F137"/>
      <c r="G137"/>
      <c r="H137"/>
      <c r="I137"/>
      <c r="J137"/>
      <c r="K137" s="100">
        <f t="shared" ref="K137:K200" si="23">+I137*J137</f>
        <v>0</v>
      </c>
      <c r="L137" s="95"/>
      <c r="M137" s="90">
        <f t="shared" si="17"/>
        <v>0</v>
      </c>
      <c r="N137" s="56">
        <v>0</v>
      </c>
      <c r="O137" s="44">
        <f t="shared" si="18"/>
        <v>0</v>
      </c>
      <c r="P137" s="44"/>
      <c r="Q137" s="44"/>
      <c r="R137" s="44"/>
      <c r="S137" s="44">
        <f t="shared" ref="S137:S200" si="24">IF(R137="y",+P137*0.01,0)</f>
        <v>0</v>
      </c>
      <c r="T137" s="44">
        <f t="shared" si="19"/>
        <v>0</v>
      </c>
      <c r="U137">
        <v>0</v>
      </c>
      <c r="V137" s="43">
        <v>0</v>
      </c>
      <c r="W137" s="44">
        <f t="shared" si="20"/>
        <v>0</v>
      </c>
      <c r="X137" s="44">
        <f t="shared" si="21"/>
        <v>0</v>
      </c>
      <c r="Y137" s="44">
        <f t="shared" si="22"/>
        <v>0</v>
      </c>
      <c r="Z137" s="84"/>
      <c r="AA137" s="78"/>
      <c r="AB137" s="78"/>
      <c r="AC137" s="78"/>
      <c r="AD137" s="78"/>
      <c r="AE137" s="78"/>
    </row>
    <row r="138" spans="1:31" ht="12.75">
      <c r="A138"/>
      <c r="B138"/>
      <c r="C138"/>
      <c r="D138"/>
      <c r="E138"/>
      <c r="F138"/>
      <c r="G138"/>
      <c r="H138"/>
      <c r="I138"/>
      <c r="J138"/>
      <c r="K138" s="100">
        <f t="shared" si="23"/>
        <v>0</v>
      </c>
      <c r="L138" s="95"/>
      <c r="M138" s="90">
        <f t="shared" si="17"/>
        <v>0</v>
      </c>
      <c r="N138" s="56">
        <v>0</v>
      </c>
      <c r="O138" s="44">
        <f t="shared" si="18"/>
        <v>0</v>
      </c>
      <c r="P138" s="44"/>
      <c r="Q138" s="44"/>
      <c r="R138" s="44"/>
      <c r="S138" s="44">
        <f t="shared" si="24"/>
        <v>0</v>
      </c>
      <c r="T138" s="44">
        <f t="shared" si="19"/>
        <v>0</v>
      </c>
      <c r="U138">
        <v>0</v>
      </c>
      <c r="V138" s="43">
        <v>0</v>
      </c>
      <c r="W138" s="44">
        <f t="shared" si="20"/>
        <v>0</v>
      </c>
      <c r="X138" s="44">
        <f t="shared" si="21"/>
        <v>0</v>
      </c>
      <c r="Y138" s="44">
        <f t="shared" si="22"/>
        <v>0</v>
      </c>
      <c r="Z138" s="84"/>
      <c r="AA138" s="78"/>
      <c r="AB138" s="78"/>
      <c r="AC138" s="78"/>
      <c r="AD138" s="78"/>
      <c r="AE138" s="78"/>
    </row>
    <row r="139" spans="1:31" ht="12.75">
      <c r="A139"/>
      <c r="B139"/>
      <c r="C139"/>
      <c r="D139"/>
      <c r="E139"/>
      <c r="F139"/>
      <c r="G139"/>
      <c r="H139"/>
      <c r="I139"/>
      <c r="J139"/>
      <c r="K139" s="100">
        <f t="shared" si="23"/>
        <v>0</v>
      </c>
      <c r="L139" s="95"/>
      <c r="M139" s="90">
        <f t="shared" si="17"/>
        <v>0</v>
      </c>
      <c r="N139" s="56">
        <v>0</v>
      </c>
      <c r="O139" s="44">
        <f t="shared" si="18"/>
        <v>0</v>
      </c>
      <c r="P139" s="44"/>
      <c r="Q139" s="44"/>
      <c r="R139" s="44"/>
      <c r="S139" s="44">
        <f t="shared" si="24"/>
        <v>0</v>
      </c>
      <c r="T139" s="44">
        <f t="shared" si="19"/>
        <v>0</v>
      </c>
      <c r="U139">
        <v>0</v>
      </c>
      <c r="V139" s="43">
        <v>0</v>
      </c>
      <c r="W139" s="44">
        <f t="shared" si="20"/>
        <v>0</v>
      </c>
      <c r="X139" s="44">
        <f t="shared" si="21"/>
        <v>0</v>
      </c>
      <c r="Y139" s="44">
        <f t="shared" si="22"/>
        <v>0</v>
      </c>
      <c r="Z139" s="84"/>
      <c r="AA139" s="78"/>
      <c r="AB139" s="78"/>
      <c r="AC139" s="78"/>
      <c r="AD139" s="78"/>
      <c r="AE139" s="78"/>
    </row>
    <row r="140" spans="1:31" ht="12.75">
      <c r="A140"/>
      <c r="B140"/>
      <c r="C140"/>
      <c r="D140"/>
      <c r="E140"/>
      <c r="F140"/>
      <c r="G140"/>
      <c r="H140"/>
      <c r="I140"/>
      <c r="J140"/>
      <c r="K140" s="100">
        <f t="shared" si="23"/>
        <v>0</v>
      </c>
      <c r="L140" s="95"/>
      <c r="M140" s="90">
        <f t="shared" si="17"/>
        <v>0</v>
      </c>
      <c r="N140" s="56">
        <v>0</v>
      </c>
      <c r="O140" s="44">
        <f t="shared" si="18"/>
        <v>0</v>
      </c>
      <c r="P140" s="44"/>
      <c r="Q140" s="44"/>
      <c r="R140" s="44"/>
      <c r="S140" s="44">
        <f t="shared" si="24"/>
        <v>0</v>
      </c>
      <c r="T140" s="44">
        <f t="shared" si="19"/>
        <v>0</v>
      </c>
      <c r="U140">
        <v>0</v>
      </c>
      <c r="V140" s="43">
        <v>0</v>
      </c>
      <c r="W140" s="44">
        <f t="shared" si="20"/>
        <v>0</v>
      </c>
      <c r="X140" s="44">
        <f t="shared" si="21"/>
        <v>0</v>
      </c>
      <c r="Y140" s="44">
        <f t="shared" si="22"/>
        <v>0</v>
      </c>
      <c r="Z140" s="84"/>
      <c r="AA140" s="78"/>
      <c r="AB140" s="78"/>
      <c r="AC140" s="78"/>
      <c r="AD140" s="78"/>
      <c r="AE140" s="78"/>
    </row>
    <row r="141" spans="1:31" ht="12.75">
      <c r="A141"/>
      <c r="B141"/>
      <c r="C141"/>
      <c r="D141"/>
      <c r="E141"/>
      <c r="F141"/>
      <c r="G141"/>
      <c r="H141"/>
      <c r="I141"/>
      <c r="J141"/>
      <c r="K141" s="100">
        <f t="shared" si="23"/>
        <v>0</v>
      </c>
      <c r="L141" s="95"/>
      <c r="M141" s="90">
        <f t="shared" si="17"/>
        <v>0</v>
      </c>
      <c r="N141" s="56">
        <v>0</v>
      </c>
      <c r="O141" s="44">
        <f t="shared" si="18"/>
        <v>0</v>
      </c>
      <c r="P141" s="44"/>
      <c r="Q141" s="44"/>
      <c r="R141" s="44"/>
      <c r="S141" s="44">
        <f t="shared" si="24"/>
        <v>0</v>
      </c>
      <c r="T141" s="44">
        <f t="shared" si="19"/>
        <v>0</v>
      </c>
      <c r="U141">
        <v>0</v>
      </c>
      <c r="V141" s="43">
        <v>0</v>
      </c>
      <c r="W141" s="44">
        <f t="shared" si="20"/>
        <v>0</v>
      </c>
      <c r="X141" s="44">
        <f t="shared" si="21"/>
        <v>0</v>
      </c>
      <c r="Y141" s="44">
        <f t="shared" si="22"/>
        <v>0</v>
      </c>
      <c r="Z141" s="84"/>
      <c r="AA141" s="78"/>
      <c r="AB141" s="78"/>
      <c r="AC141" s="78"/>
      <c r="AD141" s="78"/>
      <c r="AE141" s="78"/>
    </row>
    <row r="142" spans="1:31" ht="12.75">
      <c r="A142"/>
      <c r="B142"/>
      <c r="C142"/>
      <c r="D142"/>
      <c r="E142"/>
      <c r="F142"/>
      <c r="G142"/>
      <c r="H142"/>
      <c r="I142"/>
      <c r="J142"/>
      <c r="K142" s="100">
        <f t="shared" si="23"/>
        <v>0</v>
      </c>
      <c r="L142" s="95"/>
      <c r="M142" s="90">
        <f t="shared" si="17"/>
        <v>0</v>
      </c>
      <c r="N142" s="56">
        <v>0</v>
      </c>
      <c r="O142" s="44">
        <f t="shared" si="18"/>
        <v>0</v>
      </c>
      <c r="P142" s="44"/>
      <c r="Q142" s="44"/>
      <c r="R142" s="44"/>
      <c r="S142" s="44">
        <f t="shared" si="24"/>
        <v>0</v>
      </c>
      <c r="T142" s="44">
        <f t="shared" si="19"/>
        <v>0</v>
      </c>
      <c r="U142">
        <v>0</v>
      </c>
      <c r="V142" s="43">
        <v>0</v>
      </c>
      <c r="W142" s="44">
        <f t="shared" si="20"/>
        <v>0</v>
      </c>
      <c r="X142" s="44">
        <f t="shared" si="21"/>
        <v>0</v>
      </c>
      <c r="Y142" s="44">
        <f t="shared" si="22"/>
        <v>0</v>
      </c>
      <c r="Z142" s="84"/>
      <c r="AA142" s="78"/>
      <c r="AB142" s="78"/>
      <c r="AC142" s="78"/>
      <c r="AD142" s="78"/>
      <c r="AE142" s="78"/>
    </row>
    <row r="143" spans="1:31" ht="12.75">
      <c r="A143"/>
      <c r="B143"/>
      <c r="C143"/>
      <c r="D143"/>
      <c r="E143"/>
      <c r="F143"/>
      <c r="G143"/>
      <c r="H143"/>
      <c r="I143"/>
      <c r="J143"/>
      <c r="K143" s="100">
        <f t="shared" si="23"/>
        <v>0</v>
      </c>
      <c r="L143" s="95"/>
      <c r="M143" s="90">
        <f t="shared" si="17"/>
        <v>0</v>
      </c>
      <c r="N143" s="56">
        <v>0</v>
      </c>
      <c r="O143" s="44">
        <f t="shared" si="18"/>
        <v>0</v>
      </c>
      <c r="P143" s="44"/>
      <c r="Q143" s="44"/>
      <c r="R143" s="44"/>
      <c r="S143" s="44">
        <f t="shared" si="24"/>
        <v>0</v>
      </c>
      <c r="T143" s="44">
        <f t="shared" si="19"/>
        <v>0</v>
      </c>
      <c r="U143">
        <v>0</v>
      </c>
      <c r="V143" s="43">
        <v>0</v>
      </c>
      <c r="W143" s="44">
        <f t="shared" si="20"/>
        <v>0</v>
      </c>
      <c r="X143" s="44">
        <f t="shared" si="21"/>
        <v>0</v>
      </c>
      <c r="Y143" s="44">
        <f t="shared" si="22"/>
        <v>0</v>
      </c>
      <c r="Z143" s="84"/>
      <c r="AA143" s="78"/>
      <c r="AB143" s="78"/>
      <c r="AC143" s="78"/>
      <c r="AD143" s="78"/>
      <c r="AE143" s="78"/>
    </row>
    <row r="144" spans="1:31" ht="12.75">
      <c r="A144"/>
      <c r="B144"/>
      <c r="C144"/>
      <c r="D144"/>
      <c r="E144"/>
      <c r="F144"/>
      <c r="G144"/>
      <c r="H144"/>
      <c r="I144"/>
      <c r="J144"/>
      <c r="K144" s="100">
        <f t="shared" si="23"/>
        <v>0</v>
      </c>
      <c r="L144" s="95"/>
      <c r="M144" s="90">
        <f t="shared" si="17"/>
        <v>0</v>
      </c>
      <c r="N144" s="56">
        <v>0</v>
      </c>
      <c r="O144" s="44">
        <f t="shared" si="18"/>
        <v>0</v>
      </c>
      <c r="P144" s="44"/>
      <c r="Q144" s="44"/>
      <c r="R144" s="44"/>
      <c r="S144" s="44">
        <f t="shared" si="24"/>
        <v>0</v>
      </c>
      <c r="T144" s="44">
        <f t="shared" si="19"/>
        <v>0</v>
      </c>
      <c r="U144">
        <v>0</v>
      </c>
      <c r="V144" s="43">
        <v>0</v>
      </c>
      <c r="W144" s="44">
        <f t="shared" si="20"/>
        <v>0</v>
      </c>
      <c r="X144" s="44">
        <f t="shared" si="21"/>
        <v>0</v>
      </c>
      <c r="Y144" s="44">
        <f t="shared" si="22"/>
        <v>0</v>
      </c>
      <c r="Z144" s="84"/>
      <c r="AA144" s="78"/>
      <c r="AB144" s="78"/>
      <c r="AC144" s="78"/>
      <c r="AD144" s="78"/>
      <c r="AE144" s="78"/>
    </row>
    <row r="145" spans="1:31" ht="12.75">
      <c r="A145"/>
      <c r="B145"/>
      <c r="C145"/>
      <c r="D145"/>
      <c r="E145"/>
      <c r="F145"/>
      <c r="G145"/>
      <c r="H145"/>
      <c r="I145"/>
      <c r="J145"/>
      <c r="K145" s="100">
        <f t="shared" si="23"/>
        <v>0</v>
      </c>
      <c r="L145" s="95"/>
      <c r="M145" s="90">
        <f t="shared" si="17"/>
        <v>0</v>
      </c>
      <c r="N145" s="56">
        <v>0</v>
      </c>
      <c r="O145" s="44">
        <f t="shared" si="18"/>
        <v>0</v>
      </c>
      <c r="P145" s="44"/>
      <c r="Q145" s="44"/>
      <c r="R145" s="44"/>
      <c r="S145" s="44">
        <f t="shared" si="24"/>
        <v>0</v>
      </c>
      <c r="T145" s="44">
        <f t="shared" si="19"/>
        <v>0</v>
      </c>
      <c r="U145">
        <v>0</v>
      </c>
      <c r="V145" s="43">
        <v>0</v>
      </c>
      <c r="W145" s="44">
        <f t="shared" si="20"/>
        <v>0</v>
      </c>
      <c r="X145" s="44">
        <f t="shared" si="21"/>
        <v>0</v>
      </c>
      <c r="Y145" s="44">
        <f t="shared" si="22"/>
        <v>0</v>
      </c>
      <c r="Z145" s="84"/>
      <c r="AA145" s="78"/>
      <c r="AB145" s="78"/>
      <c r="AC145" s="78"/>
      <c r="AD145" s="78"/>
      <c r="AE145" s="78"/>
    </row>
    <row r="146" spans="1:31" ht="12.75">
      <c r="A146"/>
      <c r="B146"/>
      <c r="C146"/>
      <c r="D146"/>
      <c r="E146"/>
      <c r="F146"/>
      <c r="G146"/>
      <c r="H146"/>
      <c r="I146"/>
      <c r="J146"/>
      <c r="K146" s="100">
        <f t="shared" si="23"/>
        <v>0</v>
      </c>
      <c r="L146" s="95"/>
      <c r="M146" s="90">
        <f t="shared" si="17"/>
        <v>0</v>
      </c>
      <c r="N146" s="56">
        <v>0</v>
      </c>
      <c r="O146" s="44">
        <f t="shared" si="18"/>
        <v>0</v>
      </c>
      <c r="P146" s="44"/>
      <c r="Q146" s="44"/>
      <c r="R146" s="44"/>
      <c r="S146" s="44">
        <f t="shared" si="24"/>
        <v>0</v>
      </c>
      <c r="T146" s="44">
        <f t="shared" si="19"/>
        <v>0</v>
      </c>
      <c r="U146">
        <v>0</v>
      </c>
      <c r="V146" s="43">
        <v>0</v>
      </c>
      <c r="W146" s="44">
        <f t="shared" si="20"/>
        <v>0</v>
      </c>
      <c r="X146" s="44">
        <f t="shared" si="21"/>
        <v>0</v>
      </c>
      <c r="Y146" s="44">
        <f t="shared" si="22"/>
        <v>0</v>
      </c>
      <c r="Z146" s="84"/>
      <c r="AA146" s="78"/>
      <c r="AB146" s="78"/>
      <c r="AC146" s="78"/>
      <c r="AD146" s="78"/>
      <c r="AE146" s="78"/>
    </row>
    <row r="147" spans="1:31" ht="12.75">
      <c r="A147"/>
      <c r="B147"/>
      <c r="C147"/>
      <c r="D147"/>
      <c r="E147"/>
      <c r="F147"/>
      <c r="G147"/>
      <c r="H147"/>
      <c r="I147"/>
      <c r="J147"/>
      <c r="K147" s="100">
        <f t="shared" si="23"/>
        <v>0</v>
      </c>
      <c r="L147" s="95"/>
      <c r="M147" s="90">
        <f t="shared" si="17"/>
        <v>0</v>
      </c>
      <c r="N147" s="56">
        <v>0</v>
      </c>
      <c r="O147" s="44">
        <f t="shared" si="18"/>
        <v>0</v>
      </c>
      <c r="P147" s="44"/>
      <c r="Q147" s="44"/>
      <c r="R147" s="44"/>
      <c r="S147" s="44">
        <f t="shared" si="24"/>
        <v>0</v>
      </c>
      <c r="T147" s="44">
        <f t="shared" si="19"/>
        <v>0</v>
      </c>
      <c r="U147">
        <v>0</v>
      </c>
      <c r="V147" s="43">
        <v>0</v>
      </c>
      <c r="W147" s="44">
        <f t="shared" si="20"/>
        <v>0</v>
      </c>
      <c r="X147" s="44">
        <f t="shared" si="21"/>
        <v>0</v>
      </c>
      <c r="Y147" s="44">
        <f t="shared" si="22"/>
        <v>0</v>
      </c>
      <c r="Z147" s="84"/>
      <c r="AA147" s="78"/>
      <c r="AB147" s="78"/>
      <c r="AC147" s="78"/>
      <c r="AD147" s="78"/>
      <c r="AE147" s="78"/>
    </row>
    <row r="148" spans="1:31" ht="12.75">
      <c r="A148"/>
      <c r="B148"/>
      <c r="C148"/>
      <c r="D148"/>
      <c r="E148"/>
      <c r="F148"/>
      <c r="G148"/>
      <c r="H148"/>
      <c r="I148"/>
      <c r="J148"/>
      <c r="K148" s="100">
        <f t="shared" si="23"/>
        <v>0</v>
      </c>
      <c r="L148" s="95"/>
      <c r="M148" s="90">
        <f t="shared" si="17"/>
        <v>0</v>
      </c>
      <c r="N148" s="56">
        <v>0</v>
      </c>
      <c r="O148" s="44">
        <f t="shared" si="18"/>
        <v>0</v>
      </c>
      <c r="P148" s="44"/>
      <c r="Q148" s="44"/>
      <c r="R148" s="44"/>
      <c r="S148" s="44">
        <f t="shared" si="24"/>
        <v>0</v>
      </c>
      <c r="T148" s="44">
        <f t="shared" si="19"/>
        <v>0</v>
      </c>
      <c r="U148">
        <v>0</v>
      </c>
      <c r="V148" s="43">
        <v>0</v>
      </c>
      <c r="W148" s="44">
        <f t="shared" si="20"/>
        <v>0</v>
      </c>
      <c r="X148" s="44">
        <f t="shared" si="21"/>
        <v>0</v>
      </c>
      <c r="Y148" s="44">
        <f t="shared" si="22"/>
        <v>0</v>
      </c>
      <c r="Z148" s="84"/>
      <c r="AA148" s="78"/>
      <c r="AB148" s="78"/>
      <c r="AC148" s="78"/>
      <c r="AD148" s="78"/>
      <c r="AE148" s="78"/>
    </row>
    <row r="149" spans="1:31" ht="12.75">
      <c r="A149"/>
      <c r="B149"/>
      <c r="C149"/>
      <c r="D149"/>
      <c r="E149"/>
      <c r="F149"/>
      <c r="G149"/>
      <c r="H149"/>
      <c r="I149"/>
      <c r="J149"/>
      <c r="K149" s="100">
        <f t="shared" si="23"/>
        <v>0</v>
      </c>
      <c r="L149" s="95"/>
      <c r="M149" s="90">
        <f t="shared" si="17"/>
        <v>0</v>
      </c>
      <c r="N149" s="56">
        <v>0</v>
      </c>
      <c r="O149" s="44">
        <f t="shared" si="18"/>
        <v>0</v>
      </c>
      <c r="P149" s="44"/>
      <c r="Q149" s="44"/>
      <c r="R149" s="44"/>
      <c r="S149" s="44">
        <f t="shared" si="24"/>
        <v>0</v>
      </c>
      <c r="T149" s="44">
        <f t="shared" si="19"/>
        <v>0</v>
      </c>
      <c r="U149">
        <v>0</v>
      </c>
      <c r="V149" s="43">
        <v>0</v>
      </c>
      <c r="W149" s="44">
        <f t="shared" si="20"/>
        <v>0</v>
      </c>
      <c r="X149" s="44">
        <f t="shared" si="21"/>
        <v>0</v>
      </c>
      <c r="Y149" s="44">
        <f t="shared" si="22"/>
        <v>0</v>
      </c>
      <c r="Z149" s="84"/>
      <c r="AA149" s="78"/>
      <c r="AB149" s="78"/>
      <c r="AC149" s="78"/>
      <c r="AD149" s="78"/>
      <c r="AE149" s="78"/>
    </row>
    <row r="150" spans="1:31" ht="12.75">
      <c r="A150"/>
      <c r="B150"/>
      <c r="C150"/>
      <c r="D150"/>
      <c r="E150"/>
      <c r="F150"/>
      <c r="G150"/>
      <c r="H150"/>
      <c r="I150"/>
      <c r="J150"/>
      <c r="K150" s="100">
        <f t="shared" si="23"/>
        <v>0</v>
      </c>
      <c r="L150" s="95"/>
      <c r="M150" s="90">
        <f t="shared" si="17"/>
        <v>0</v>
      </c>
      <c r="N150" s="56">
        <v>0</v>
      </c>
      <c r="O150" s="44">
        <f t="shared" si="18"/>
        <v>0</v>
      </c>
      <c r="P150" s="44"/>
      <c r="Q150" s="44"/>
      <c r="R150" s="44"/>
      <c r="S150" s="44">
        <f t="shared" si="24"/>
        <v>0</v>
      </c>
      <c r="T150" s="44">
        <f t="shared" si="19"/>
        <v>0</v>
      </c>
      <c r="U150">
        <v>0</v>
      </c>
      <c r="V150" s="43">
        <v>0</v>
      </c>
      <c r="W150" s="44">
        <f t="shared" si="20"/>
        <v>0</v>
      </c>
      <c r="X150" s="44">
        <f t="shared" si="21"/>
        <v>0</v>
      </c>
      <c r="Y150" s="44">
        <f t="shared" si="22"/>
        <v>0</v>
      </c>
      <c r="Z150" s="84"/>
      <c r="AA150" s="78"/>
      <c r="AB150" s="78"/>
      <c r="AC150" s="78"/>
      <c r="AD150" s="78"/>
      <c r="AE150" s="78"/>
    </row>
    <row r="151" spans="1:31" ht="12.75">
      <c r="A151"/>
      <c r="B151"/>
      <c r="C151"/>
      <c r="D151"/>
      <c r="E151"/>
      <c r="F151"/>
      <c r="G151"/>
      <c r="H151"/>
      <c r="I151"/>
      <c r="J151"/>
      <c r="K151" s="100">
        <f t="shared" si="23"/>
        <v>0</v>
      </c>
      <c r="L151" s="95"/>
      <c r="M151" s="90">
        <f t="shared" si="17"/>
        <v>0</v>
      </c>
      <c r="N151" s="56">
        <v>0</v>
      </c>
      <c r="O151" s="44">
        <f t="shared" si="18"/>
        <v>0</v>
      </c>
      <c r="P151" s="44"/>
      <c r="Q151" s="44"/>
      <c r="R151" s="44"/>
      <c r="S151" s="44">
        <f t="shared" si="24"/>
        <v>0</v>
      </c>
      <c r="T151" s="44">
        <f t="shared" si="19"/>
        <v>0</v>
      </c>
      <c r="U151">
        <v>0</v>
      </c>
      <c r="V151" s="43">
        <v>0</v>
      </c>
      <c r="W151" s="44">
        <f t="shared" si="20"/>
        <v>0</v>
      </c>
      <c r="X151" s="44">
        <f t="shared" si="21"/>
        <v>0</v>
      </c>
      <c r="Y151" s="44">
        <f t="shared" si="22"/>
        <v>0</v>
      </c>
      <c r="Z151" s="84"/>
      <c r="AA151" s="78"/>
      <c r="AB151" s="78"/>
      <c r="AC151" s="78"/>
      <c r="AD151" s="78"/>
      <c r="AE151" s="78"/>
    </row>
    <row r="152" spans="1:31" ht="12.75">
      <c r="A152"/>
      <c r="B152"/>
      <c r="C152"/>
      <c r="D152"/>
      <c r="E152"/>
      <c r="F152"/>
      <c r="G152"/>
      <c r="H152"/>
      <c r="I152"/>
      <c r="J152"/>
      <c r="K152" s="100">
        <f t="shared" si="23"/>
        <v>0</v>
      </c>
      <c r="L152" s="95"/>
      <c r="M152" s="90">
        <f t="shared" si="17"/>
        <v>0</v>
      </c>
      <c r="N152" s="56">
        <v>0</v>
      </c>
      <c r="O152" s="44">
        <f t="shared" si="18"/>
        <v>0</v>
      </c>
      <c r="P152" s="44"/>
      <c r="Q152" s="44"/>
      <c r="R152" s="44"/>
      <c r="S152" s="44">
        <f t="shared" si="24"/>
        <v>0</v>
      </c>
      <c r="T152" s="44">
        <f t="shared" si="19"/>
        <v>0</v>
      </c>
      <c r="U152">
        <v>0</v>
      </c>
      <c r="V152" s="43">
        <v>0</v>
      </c>
      <c r="W152" s="44">
        <f t="shared" si="20"/>
        <v>0</v>
      </c>
      <c r="X152" s="44">
        <f t="shared" si="21"/>
        <v>0</v>
      </c>
      <c r="Y152" s="44">
        <f t="shared" si="22"/>
        <v>0</v>
      </c>
      <c r="Z152" s="84"/>
      <c r="AA152" s="78"/>
      <c r="AB152" s="78"/>
      <c r="AC152" s="78"/>
      <c r="AD152" s="78"/>
      <c r="AE152" s="78"/>
    </row>
    <row r="153" spans="1:31" ht="12.75">
      <c r="A153"/>
      <c r="B153"/>
      <c r="C153"/>
      <c r="D153"/>
      <c r="E153"/>
      <c r="F153"/>
      <c r="G153"/>
      <c r="H153"/>
      <c r="I153"/>
      <c r="J153"/>
      <c r="K153" s="100">
        <f t="shared" si="23"/>
        <v>0</v>
      </c>
      <c r="L153" s="95"/>
      <c r="M153" s="90">
        <f t="shared" si="17"/>
        <v>0</v>
      </c>
      <c r="N153" s="56">
        <v>0</v>
      </c>
      <c r="O153" s="44">
        <f t="shared" si="18"/>
        <v>0</v>
      </c>
      <c r="P153" s="44"/>
      <c r="Q153" s="44"/>
      <c r="R153" s="44"/>
      <c r="S153" s="44">
        <f t="shared" si="24"/>
        <v>0</v>
      </c>
      <c r="T153" s="44">
        <f t="shared" si="19"/>
        <v>0</v>
      </c>
      <c r="U153">
        <v>0</v>
      </c>
      <c r="V153" s="43">
        <v>0</v>
      </c>
      <c r="W153" s="44">
        <f t="shared" si="20"/>
        <v>0</v>
      </c>
      <c r="X153" s="44">
        <f t="shared" si="21"/>
        <v>0</v>
      </c>
      <c r="Y153" s="44">
        <f t="shared" si="22"/>
        <v>0</v>
      </c>
      <c r="Z153" s="84"/>
      <c r="AA153" s="78"/>
      <c r="AB153" s="78"/>
      <c r="AC153" s="78"/>
      <c r="AD153" s="78"/>
      <c r="AE153" s="78"/>
    </row>
    <row r="154" spans="1:31" ht="12.75">
      <c r="A154"/>
      <c r="B154"/>
      <c r="C154"/>
      <c r="D154"/>
      <c r="E154"/>
      <c r="F154"/>
      <c r="G154"/>
      <c r="H154"/>
      <c r="I154"/>
      <c r="J154"/>
      <c r="K154" s="100">
        <f t="shared" si="23"/>
        <v>0</v>
      </c>
      <c r="L154" s="95"/>
      <c r="M154" s="90">
        <f t="shared" si="17"/>
        <v>0</v>
      </c>
      <c r="N154" s="56">
        <v>0</v>
      </c>
      <c r="O154" s="44">
        <f t="shared" si="18"/>
        <v>0</v>
      </c>
      <c r="P154" s="44"/>
      <c r="Q154" s="44"/>
      <c r="R154" s="44"/>
      <c r="S154" s="44">
        <f t="shared" si="24"/>
        <v>0</v>
      </c>
      <c r="T154" s="44">
        <f t="shared" si="19"/>
        <v>0</v>
      </c>
      <c r="U154">
        <v>0</v>
      </c>
      <c r="V154" s="43">
        <v>0</v>
      </c>
      <c r="W154" s="44">
        <f t="shared" si="20"/>
        <v>0</v>
      </c>
      <c r="X154" s="44">
        <f t="shared" si="21"/>
        <v>0</v>
      </c>
      <c r="Y154" s="44">
        <f t="shared" si="22"/>
        <v>0</v>
      </c>
      <c r="Z154" s="84"/>
      <c r="AA154" s="78"/>
      <c r="AB154" s="78"/>
      <c r="AC154" s="78"/>
      <c r="AD154" s="78"/>
      <c r="AE154" s="78"/>
    </row>
    <row r="155" spans="1:31" ht="12.75">
      <c r="A155"/>
      <c r="B155"/>
      <c r="C155"/>
      <c r="D155"/>
      <c r="E155"/>
      <c r="F155"/>
      <c r="G155"/>
      <c r="H155"/>
      <c r="I155"/>
      <c r="J155"/>
      <c r="K155" s="100">
        <f t="shared" si="23"/>
        <v>0</v>
      </c>
      <c r="L155" s="95"/>
      <c r="M155" s="90">
        <f t="shared" si="17"/>
        <v>0</v>
      </c>
      <c r="N155" s="56">
        <v>0</v>
      </c>
      <c r="O155" s="44">
        <f t="shared" si="18"/>
        <v>0</v>
      </c>
      <c r="P155" s="44"/>
      <c r="Q155" s="44"/>
      <c r="R155" s="44"/>
      <c r="S155" s="44">
        <f t="shared" si="24"/>
        <v>0</v>
      </c>
      <c r="T155" s="44">
        <f t="shared" si="19"/>
        <v>0</v>
      </c>
      <c r="U155">
        <v>0</v>
      </c>
      <c r="V155" s="43">
        <v>0</v>
      </c>
      <c r="W155" s="44">
        <f t="shared" si="20"/>
        <v>0</v>
      </c>
      <c r="X155" s="44">
        <f t="shared" si="21"/>
        <v>0</v>
      </c>
      <c r="Y155" s="44">
        <f t="shared" si="22"/>
        <v>0</v>
      </c>
      <c r="Z155" s="84"/>
      <c r="AA155" s="78"/>
      <c r="AB155" s="78"/>
      <c r="AC155" s="78"/>
      <c r="AD155" s="78"/>
      <c r="AE155" s="78"/>
    </row>
    <row r="156" spans="1:31" ht="12.75">
      <c r="A156"/>
      <c r="B156"/>
      <c r="C156"/>
      <c r="D156"/>
      <c r="E156"/>
      <c r="F156"/>
      <c r="G156"/>
      <c r="H156"/>
      <c r="I156"/>
      <c r="J156"/>
      <c r="K156" s="100">
        <f t="shared" si="23"/>
        <v>0</v>
      </c>
      <c r="L156" s="95"/>
      <c r="M156" s="90">
        <f t="shared" si="17"/>
        <v>0</v>
      </c>
      <c r="N156" s="56">
        <v>0</v>
      </c>
      <c r="O156" s="44">
        <f t="shared" si="18"/>
        <v>0</v>
      </c>
      <c r="P156" s="44"/>
      <c r="Q156" s="44"/>
      <c r="R156" s="44"/>
      <c r="S156" s="44">
        <f t="shared" si="24"/>
        <v>0</v>
      </c>
      <c r="T156" s="44">
        <f t="shared" si="19"/>
        <v>0</v>
      </c>
      <c r="U156">
        <v>0</v>
      </c>
      <c r="V156" s="43">
        <v>0</v>
      </c>
      <c r="W156" s="44">
        <f t="shared" si="20"/>
        <v>0</v>
      </c>
      <c r="X156" s="44">
        <f t="shared" si="21"/>
        <v>0</v>
      </c>
      <c r="Y156" s="44">
        <f t="shared" si="22"/>
        <v>0</v>
      </c>
      <c r="Z156" s="84"/>
      <c r="AA156" s="78"/>
      <c r="AB156" s="78"/>
      <c r="AC156" s="78"/>
      <c r="AD156" s="78"/>
      <c r="AE156" s="78"/>
    </row>
    <row r="157" spans="1:31" ht="12.75">
      <c r="A157"/>
      <c r="B157"/>
      <c r="C157"/>
      <c r="D157"/>
      <c r="E157"/>
      <c r="F157"/>
      <c r="G157"/>
      <c r="H157"/>
      <c r="I157"/>
      <c r="J157"/>
      <c r="K157" s="100">
        <f t="shared" si="23"/>
        <v>0</v>
      </c>
      <c r="L157" s="95"/>
      <c r="M157" s="90">
        <f t="shared" si="17"/>
        <v>0</v>
      </c>
      <c r="N157" s="56">
        <v>0</v>
      </c>
      <c r="O157" s="44">
        <f t="shared" si="18"/>
        <v>0</v>
      </c>
      <c r="P157" s="44"/>
      <c r="Q157" s="44"/>
      <c r="R157" s="44"/>
      <c r="S157" s="44">
        <f t="shared" si="24"/>
        <v>0</v>
      </c>
      <c r="T157" s="44">
        <f t="shared" si="19"/>
        <v>0</v>
      </c>
      <c r="U157">
        <v>0</v>
      </c>
      <c r="V157" s="43">
        <v>0</v>
      </c>
      <c r="W157" s="44">
        <f t="shared" si="20"/>
        <v>0</v>
      </c>
      <c r="X157" s="44">
        <f t="shared" si="21"/>
        <v>0</v>
      </c>
      <c r="Y157" s="44">
        <f t="shared" si="22"/>
        <v>0</v>
      </c>
      <c r="Z157" s="84"/>
      <c r="AA157" s="78"/>
      <c r="AB157" s="78"/>
      <c r="AC157" s="78"/>
      <c r="AD157" s="78"/>
      <c r="AE157" s="78"/>
    </row>
    <row r="158" spans="1:31" ht="12.75">
      <c r="A158"/>
      <c r="B158"/>
      <c r="C158"/>
      <c r="D158"/>
      <c r="E158"/>
      <c r="F158"/>
      <c r="G158"/>
      <c r="H158"/>
      <c r="I158"/>
      <c r="J158"/>
      <c r="K158" s="100">
        <f t="shared" si="23"/>
        <v>0</v>
      </c>
      <c r="L158" s="95"/>
      <c r="M158" s="90">
        <f t="shared" si="17"/>
        <v>0</v>
      </c>
      <c r="N158" s="56">
        <v>0</v>
      </c>
      <c r="O158" s="44">
        <f t="shared" si="18"/>
        <v>0</v>
      </c>
      <c r="P158" s="44"/>
      <c r="Q158" s="44"/>
      <c r="R158" s="44"/>
      <c r="S158" s="44">
        <f t="shared" si="24"/>
        <v>0</v>
      </c>
      <c r="T158" s="44">
        <f t="shared" si="19"/>
        <v>0</v>
      </c>
      <c r="U158">
        <v>0</v>
      </c>
      <c r="V158" s="43">
        <v>0</v>
      </c>
      <c r="W158" s="44">
        <f t="shared" si="20"/>
        <v>0</v>
      </c>
      <c r="X158" s="44">
        <f t="shared" si="21"/>
        <v>0</v>
      </c>
      <c r="Y158" s="44">
        <f t="shared" si="22"/>
        <v>0</v>
      </c>
      <c r="Z158" s="84"/>
      <c r="AA158" s="78"/>
      <c r="AB158" s="78"/>
      <c r="AC158" s="78"/>
      <c r="AD158" s="78"/>
      <c r="AE158" s="78"/>
    </row>
    <row r="159" spans="1:31" ht="12.75">
      <c r="A159"/>
      <c r="B159"/>
      <c r="C159"/>
      <c r="D159"/>
      <c r="E159"/>
      <c r="F159"/>
      <c r="G159"/>
      <c r="H159"/>
      <c r="I159"/>
      <c r="J159"/>
      <c r="K159" s="100">
        <f t="shared" si="23"/>
        <v>0</v>
      </c>
      <c r="L159" s="95"/>
      <c r="M159" s="90">
        <f t="shared" si="17"/>
        <v>0</v>
      </c>
      <c r="N159" s="56">
        <v>0</v>
      </c>
      <c r="O159" s="44">
        <f t="shared" si="18"/>
        <v>0</v>
      </c>
      <c r="P159" s="44"/>
      <c r="Q159" s="44"/>
      <c r="R159" s="44"/>
      <c r="S159" s="44">
        <f t="shared" si="24"/>
        <v>0</v>
      </c>
      <c r="T159" s="44">
        <f t="shared" si="19"/>
        <v>0</v>
      </c>
      <c r="U159">
        <v>0</v>
      </c>
      <c r="V159" s="43">
        <v>0</v>
      </c>
      <c r="W159" s="44">
        <f t="shared" si="20"/>
        <v>0</v>
      </c>
      <c r="X159" s="44">
        <f t="shared" si="21"/>
        <v>0</v>
      </c>
      <c r="Y159" s="44">
        <f t="shared" si="22"/>
        <v>0</v>
      </c>
      <c r="Z159" s="84"/>
      <c r="AA159" s="78"/>
      <c r="AB159" s="78"/>
      <c r="AC159" s="78"/>
      <c r="AD159" s="78"/>
      <c r="AE159" s="78"/>
    </row>
    <row r="160" spans="1:31" ht="12.75">
      <c r="A160"/>
      <c r="B160"/>
      <c r="C160"/>
      <c r="D160"/>
      <c r="E160"/>
      <c r="F160"/>
      <c r="G160"/>
      <c r="H160"/>
      <c r="I160"/>
      <c r="J160"/>
      <c r="K160" s="100">
        <f t="shared" si="23"/>
        <v>0</v>
      </c>
      <c r="L160" s="95"/>
      <c r="M160" s="90">
        <f t="shared" si="17"/>
        <v>0</v>
      </c>
      <c r="N160" s="56">
        <v>0</v>
      </c>
      <c r="O160" s="44">
        <f t="shared" si="18"/>
        <v>0</v>
      </c>
      <c r="P160" s="44"/>
      <c r="Q160" s="44"/>
      <c r="R160" s="44"/>
      <c r="S160" s="44">
        <f t="shared" si="24"/>
        <v>0</v>
      </c>
      <c r="T160" s="44">
        <f t="shared" si="19"/>
        <v>0</v>
      </c>
      <c r="U160">
        <v>0</v>
      </c>
      <c r="V160" s="43">
        <v>0</v>
      </c>
      <c r="W160" s="44">
        <f t="shared" si="20"/>
        <v>0</v>
      </c>
      <c r="X160" s="44">
        <f t="shared" si="21"/>
        <v>0</v>
      </c>
      <c r="Y160" s="44">
        <f t="shared" si="22"/>
        <v>0</v>
      </c>
      <c r="Z160" s="84"/>
      <c r="AA160" s="78"/>
      <c r="AB160" s="78"/>
      <c r="AC160" s="78"/>
      <c r="AD160" s="78"/>
      <c r="AE160" s="78"/>
    </row>
    <row r="161" spans="1:31" ht="12.75">
      <c r="A161"/>
      <c r="B161"/>
      <c r="C161"/>
      <c r="D161"/>
      <c r="E161"/>
      <c r="F161"/>
      <c r="G161"/>
      <c r="H161"/>
      <c r="I161"/>
      <c r="J161"/>
      <c r="K161" s="100">
        <f t="shared" si="23"/>
        <v>0</v>
      </c>
      <c r="L161" s="95"/>
      <c r="M161" s="90">
        <f t="shared" si="17"/>
        <v>0</v>
      </c>
      <c r="N161" s="56">
        <v>0</v>
      </c>
      <c r="O161" s="44">
        <f t="shared" si="18"/>
        <v>0</v>
      </c>
      <c r="P161" s="44"/>
      <c r="Q161" s="44"/>
      <c r="R161" s="44"/>
      <c r="S161" s="44">
        <f t="shared" si="24"/>
        <v>0</v>
      </c>
      <c r="T161" s="44">
        <f t="shared" si="19"/>
        <v>0</v>
      </c>
      <c r="U161">
        <v>0</v>
      </c>
      <c r="V161" s="43">
        <v>0</v>
      </c>
      <c r="W161" s="44">
        <f t="shared" si="20"/>
        <v>0</v>
      </c>
      <c r="X161" s="44">
        <f t="shared" si="21"/>
        <v>0</v>
      </c>
      <c r="Y161" s="44">
        <f t="shared" si="22"/>
        <v>0</v>
      </c>
      <c r="Z161" s="84"/>
      <c r="AA161" s="78"/>
      <c r="AB161" s="78"/>
      <c r="AC161" s="78"/>
      <c r="AD161" s="78"/>
      <c r="AE161" s="78"/>
    </row>
    <row r="162" spans="1:31" ht="12.75">
      <c r="A162"/>
      <c r="B162"/>
      <c r="C162"/>
      <c r="D162"/>
      <c r="E162"/>
      <c r="F162"/>
      <c r="G162"/>
      <c r="H162"/>
      <c r="I162"/>
      <c r="J162"/>
      <c r="K162" s="100">
        <f t="shared" si="23"/>
        <v>0</v>
      </c>
      <c r="L162" s="95"/>
      <c r="M162" s="90">
        <f t="shared" si="17"/>
        <v>0</v>
      </c>
      <c r="N162" s="56">
        <v>0</v>
      </c>
      <c r="O162" s="44">
        <f t="shared" si="18"/>
        <v>0</v>
      </c>
      <c r="P162" s="44"/>
      <c r="Q162" s="44"/>
      <c r="R162" s="44"/>
      <c r="S162" s="44">
        <f t="shared" si="24"/>
        <v>0</v>
      </c>
      <c r="T162" s="44">
        <f t="shared" si="19"/>
        <v>0</v>
      </c>
      <c r="U162">
        <v>0</v>
      </c>
      <c r="V162" s="43">
        <v>0</v>
      </c>
      <c r="W162" s="44">
        <f t="shared" si="20"/>
        <v>0</v>
      </c>
      <c r="X162" s="44">
        <f t="shared" si="21"/>
        <v>0</v>
      </c>
      <c r="Y162" s="44">
        <f t="shared" si="22"/>
        <v>0</v>
      </c>
      <c r="Z162" s="84"/>
      <c r="AA162" s="78"/>
      <c r="AB162" s="78"/>
      <c r="AC162" s="78"/>
      <c r="AD162" s="78"/>
      <c r="AE162" s="78"/>
    </row>
    <row r="163" spans="1:31" ht="12.75">
      <c r="A163"/>
      <c r="B163"/>
      <c r="C163"/>
      <c r="D163"/>
      <c r="E163"/>
      <c r="F163"/>
      <c r="G163"/>
      <c r="H163"/>
      <c r="I163"/>
      <c r="J163"/>
      <c r="K163" s="100">
        <f t="shared" si="23"/>
        <v>0</v>
      </c>
      <c r="L163" s="95"/>
      <c r="M163" s="90">
        <f t="shared" si="17"/>
        <v>0</v>
      </c>
      <c r="N163" s="56">
        <v>0</v>
      </c>
      <c r="O163" s="44">
        <f t="shared" si="18"/>
        <v>0</v>
      </c>
      <c r="P163" s="44"/>
      <c r="Q163" s="44"/>
      <c r="R163" s="44"/>
      <c r="S163" s="44">
        <f t="shared" si="24"/>
        <v>0</v>
      </c>
      <c r="T163" s="44">
        <f t="shared" si="19"/>
        <v>0</v>
      </c>
      <c r="U163">
        <v>0</v>
      </c>
      <c r="V163" s="43">
        <v>0</v>
      </c>
      <c r="W163" s="44">
        <f t="shared" si="20"/>
        <v>0</v>
      </c>
      <c r="X163" s="44">
        <f t="shared" si="21"/>
        <v>0</v>
      </c>
      <c r="Y163" s="44">
        <f t="shared" si="22"/>
        <v>0</v>
      </c>
      <c r="Z163" s="84"/>
      <c r="AA163" s="78"/>
      <c r="AB163" s="78"/>
      <c r="AC163" s="78"/>
      <c r="AD163" s="78"/>
      <c r="AE163" s="78"/>
    </row>
    <row r="164" spans="1:31" ht="12.75">
      <c r="A164"/>
      <c r="B164"/>
      <c r="C164"/>
      <c r="D164"/>
      <c r="E164"/>
      <c r="F164"/>
      <c r="G164"/>
      <c r="H164"/>
      <c r="I164"/>
      <c r="J164"/>
      <c r="K164" s="100">
        <f t="shared" si="23"/>
        <v>0</v>
      </c>
      <c r="L164" s="95"/>
      <c r="M164" s="90">
        <f t="shared" si="17"/>
        <v>0</v>
      </c>
      <c r="N164" s="56">
        <v>0</v>
      </c>
      <c r="O164" s="44">
        <f t="shared" si="18"/>
        <v>0</v>
      </c>
      <c r="P164" s="44"/>
      <c r="Q164" s="44"/>
      <c r="R164" s="44"/>
      <c r="S164" s="44">
        <f t="shared" si="24"/>
        <v>0</v>
      </c>
      <c r="T164" s="44">
        <f t="shared" si="19"/>
        <v>0</v>
      </c>
      <c r="U164">
        <v>0</v>
      </c>
      <c r="V164" s="43">
        <v>0</v>
      </c>
      <c r="W164" s="44">
        <f t="shared" si="20"/>
        <v>0</v>
      </c>
      <c r="X164" s="44">
        <f t="shared" si="21"/>
        <v>0</v>
      </c>
      <c r="Y164" s="44">
        <f t="shared" si="22"/>
        <v>0</v>
      </c>
      <c r="Z164" s="84"/>
      <c r="AA164" s="78"/>
      <c r="AB164" s="78"/>
      <c r="AC164" s="78"/>
      <c r="AD164" s="78"/>
      <c r="AE164" s="78"/>
    </row>
    <row r="165" spans="1:31" ht="12.75">
      <c r="A165"/>
      <c r="B165"/>
      <c r="C165"/>
      <c r="D165"/>
      <c r="E165"/>
      <c r="F165"/>
      <c r="G165"/>
      <c r="H165"/>
      <c r="I165"/>
      <c r="J165"/>
      <c r="K165" s="100">
        <f t="shared" si="23"/>
        <v>0</v>
      </c>
      <c r="L165" s="95"/>
      <c r="M165" s="90">
        <f t="shared" si="17"/>
        <v>0</v>
      </c>
      <c r="N165" s="56">
        <v>0</v>
      </c>
      <c r="O165" s="44">
        <f t="shared" si="18"/>
        <v>0</v>
      </c>
      <c r="P165" s="44"/>
      <c r="Q165" s="44"/>
      <c r="R165" s="44"/>
      <c r="S165" s="44">
        <f t="shared" si="24"/>
        <v>0</v>
      </c>
      <c r="T165" s="44">
        <f t="shared" si="19"/>
        <v>0</v>
      </c>
      <c r="U165">
        <v>0</v>
      </c>
      <c r="V165" s="43">
        <v>0</v>
      </c>
      <c r="W165" s="44">
        <f t="shared" si="20"/>
        <v>0</v>
      </c>
      <c r="X165" s="44">
        <f t="shared" si="21"/>
        <v>0</v>
      </c>
      <c r="Y165" s="44">
        <f t="shared" si="22"/>
        <v>0</v>
      </c>
      <c r="Z165" s="84"/>
      <c r="AA165" s="78"/>
      <c r="AB165" s="78"/>
      <c r="AC165" s="78"/>
      <c r="AD165" s="78"/>
      <c r="AE165" s="78"/>
    </row>
    <row r="166" spans="1:31" ht="12.75">
      <c r="A166"/>
      <c r="B166"/>
      <c r="C166"/>
      <c r="D166"/>
      <c r="E166"/>
      <c r="F166"/>
      <c r="G166"/>
      <c r="H166"/>
      <c r="I166"/>
      <c r="J166"/>
      <c r="K166" s="100">
        <f t="shared" si="23"/>
        <v>0</v>
      </c>
      <c r="L166" s="95"/>
      <c r="M166" s="90">
        <f t="shared" si="17"/>
        <v>0</v>
      </c>
      <c r="N166" s="56">
        <v>0</v>
      </c>
      <c r="O166" s="44">
        <f t="shared" si="18"/>
        <v>0</v>
      </c>
      <c r="P166" s="44"/>
      <c r="Q166" s="44"/>
      <c r="R166" s="44"/>
      <c r="S166" s="44">
        <f t="shared" si="24"/>
        <v>0</v>
      </c>
      <c r="T166" s="44">
        <f t="shared" si="19"/>
        <v>0</v>
      </c>
      <c r="U166">
        <v>0</v>
      </c>
      <c r="V166" s="43">
        <v>0</v>
      </c>
      <c r="W166" s="44">
        <f t="shared" si="20"/>
        <v>0</v>
      </c>
      <c r="X166" s="44">
        <f t="shared" si="21"/>
        <v>0</v>
      </c>
      <c r="Y166" s="44">
        <f t="shared" si="22"/>
        <v>0</v>
      </c>
      <c r="Z166" s="84"/>
      <c r="AA166" s="78"/>
      <c r="AB166" s="78"/>
      <c r="AC166" s="78"/>
      <c r="AD166" s="78"/>
      <c r="AE166" s="78"/>
    </row>
    <row r="167" spans="1:31" ht="12.75">
      <c r="A167"/>
      <c r="B167"/>
      <c r="C167"/>
      <c r="D167"/>
      <c r="E167"/>
      <c r="F167"/>
      <c r="G167"/>
      <c r="H167"/>
      <c r="I167"/>
      <c r="J167"/>
      <c r="K167" s="100">
        <f t="shared" si="23"/>
        <v>0</v>
      </c>
      <c r="L167" s="95"/>
      <c r="M167" s="90">
        <f t="shared" si="17"/>
        <v>0</v>
      </c>
      <c r="N167" s="56">
        <v>0</v>
      </c>
      <c r="O167" s="44">
        <f t="shared" si="18"/>
        <v>0</v>
      </c>
      <c r="P167" s="44"/>
      <c r="Q167" s="44"/>
      <c r="R167" s="44"/>
      <c r="S167" s="44">
        <f t="shared" si="24"/>
        <v>0</v>
      </c>
      <c r="T167" s="44">
        <f t="shared" si="19"/>
        <v>0</v>
      </c>
      <c r="U167">
        <v>0</v>
      </c>
      <c r="V167" s="43">
        <v>0</v>
      </c>
      <c r="W167" s="44">
        <f t="shared" si="20"/>
        <v>0</v>
      </c>
      <c r="X167" s="44">
        <f t="shared" si="21"/>
        <v>0</v>
      </c>
      <c r="Y167" s="44">
        <f t="shared" si="22"/>
        <v>0</v>
      </c>
      <c r="Z167" s="84"/>
      <c r="AA167" s="78"/>
      <c r="AB167" s="78"/>
      <c r="AC167" s="78"/>
      <c r="AD167" s="78"/>
      <c r="AE167" s="78"/>
    </row>
    <row r="168" spans="1:31" ht="12.75">
      <c r="A168"/>
      <c r="B168"/>
      <c r="C168"/>
      <c r="D168"/>
      <c r="E168"/>
      <c r="F168"/>
      <c r="G168"/>
      <c r="H168"/>
      <c r="I168"/>
      <c r="J168"/>
      <c r="K168" s="100">
        <f t="shared" si="23"/>
        <v>0</v>
      </c>
      <c r="L168" s="95"/>
      <c r="M168" s="90">
        <f t="shared" si="17"/>
        <v>0</v>
      </c>
      <c r="N168" s="56">
        <v>0</v>
      </c>
      <c r="O168" s="44">
        <f t="shared" si="18"/>
        <v>0</v>
      </c>
      <c r="P168" s="44"/>
      <c r="Q168" s="44"/>
      <c r="R168" s="44"/>
      <c r="S168" s="44">
        <f t="shared" si="24"/>
        <v>0</v>
      </c>
      <c r="T168" s="44">
        <f t="shared" si="19"/>
        <v>0</v>
      </c>
      <c r="U168">
        <v>0</v>
      </c>
      <c r="V168" s="43">
        <v>0</v>
      </c>
      <c r="W168" s="44">
        <f t="shared" si="20"/>
        <v>0</v>
      </c>
      <c r="X168" s="44">
        <f t="shared" si="21"/>
        <v>0</v>
      </c>
      <c r="Y168" s="44">
        <f t="shared" si="22"/>
        <v>0</v>
      </c>
      <c r="Z168" s="84"/>
      <c r="AA168" s="78"/>
      <c r="AB168" s="78"/>
      <c r="AC168" s="78"/>
      <c r="AD168" s="78"/>
      <c r="AE168" s="78"/>
    </row>
    <row r="169" spans="1:31" ht="12.75">
      <c r="A169"/>
      <c r="B169"/>
      <c r="C169"/>
      <c r="D169"/>
      <c r="E169"/>
      <c r="F169"/>
      <c r="G169"/>
      <c r="H169"/>
      <c r="I169"/>
      <c r="J169"/>
      <c r="K169" s="100">
        <f t="shared" si="23"/>
        <v>0</v>
      </c>
      <c r="L169" s="95"/>
      <c r="M169" s="90">
        <f t="shared" si="17"/>
        <v>0</v>
      </c>
      <c r="N169" s="56">
        <v>0</v>
      </c>
      <c r="O169" s="44">
        <f t="shared" si="18"/>
        <v>0</v>
      </c>
      <c r="P169" s="44"/>
      <c r="Q169" s="44"/>
      <c r="R169" s="44"/>
      <c r="S169" s="44">
        <f t="shared" si="24"/>
        <v>0</v>
      </c>
      <c r="T169" s="44">
        <f t="shared" si="19"/>
        <v>0</v>
      </c>
      <c r="U169">
        <v>0</v>
      </c>
      <c r="V169" s="43">
        <v>0</v>
      </c>
      <c r="W169" s="44">
        <f t="shared" si="20"/>
        <v>0</v>
      </c>
      <c r="X169" s="44">
        <f t="shared" si="21"/>
        <v>0</v>
      </c>
      <c r="Y169" s="44">
        <f t="shared" si="22"/>
        <v>0</v>
      </c>
      <c r="Z169" s="84"/>
      <c r="AA169" s="78"/>
      <c r="AB169" s="78"/>
      <c r="AC169" s="78"/>
      <c r="AD169" s="78"/>
      <c r="AE169" s="78"/>
    </row>
    <row r="170" spans="1:31" ht="12.75">
      <c r="A170"/>
      <c r="B170"/>
      <c r="C170"/>
      <c r="D170"/>
      <c r="E170"/>
      <c r="F170"/>
      <c r="G170"/>
      <c r="H170"/>
      <c r="I170"/>
      <c r="J170"/>
      <c r="K170" s="100">
        <f t="shared" si="23"/>
        <v>0</v>
      </c>
      <c r="L170" s="95"/>
      <c r="M170" s="90">
        <f t="shared" si="17"/>
        <v>0</v>
      </c>
      <c r="N170" s="56">
        <v>0</v>
      </c>
      <c r="O170" s="44">
        <f t="shared" si="18"/>
        <v>0</v>
      </c>
      <c r="P170" s="44"/>
      <c r="Q170" s="44"/>
      <c r="R170" s="44"/>
      <c r="S170" s="44">
        <f t="shared" si="24"/>
        <v>0</v>
      </c>
      <c r="T170" s="44">
        <f t="shared" si="19"/>
        <v>0</v>
      </c>
      <c r="U170">
        <v>0</v>
      </c>
      <c r="V170" s="43">
        <v>0</v>
      </c>
      <c r="W170" s="44">
        <f t="shared" si="20"/>
        <v>0</v>
      </c>
      <c r="X170" s="44">
        <f t="shared" si="21"/>
        <v>0</v>
      </c>
      <c r="Y170" s="44">
        <f t="shared" si="22"/>
        <v>0</v>
      </c>
      <c r="Z170" s="84"/>
      <c r="AA170" s="78"/>
      <c r="AB170" s="78"/>
      <c r="AC170" s="78"/>
      <c r="AD170" s="78"/>
      <c r="AE170" s="78"/>
    </row>
    <row r="171" spans="1:31" ht="12.75">
      <c r="A171"/>
      <c r="B171"/>
      <c r="C171"/>
      <c r="D171"/>
      <c r="E171"/>
      <c r="F171"/>
      <c r="G171"/>
      <c r="H171"/>
      <c r="I171"/>
      <c r="J171"/>
      <c r="K171" s="100">
        <f t="shared" si="23"/>
        <v>0</v>
      </c>
      <c r="L171" s="95"/>
      <c r="M171" s="90">
        <f t="shared" si="17"/>
        <v>0</v>
      </c>
      <c r="N171" s="56">
        <v>0</v>
      </c>
      <c r="O171" s="44">
        <f t="shared" si="18"/>
        <v>0</v>
      </c>
      <c r="P171" s="44"/>
      <c r="Q171" s="44"/>
      <c r="R171" s="44"/>
      <c r="S171" s="44">
        <f t="shared" si="24"/>
        <v>0</v>
      </c>
      <c r="T171" s="44">
        <f t="shared" si="19"/>
        <v>0</v>
      </c>
      <c r="U171">
        <v>0</v>
      </c>
      <c r="V171" s="43">
        <v>0</v>
      </c>
      <c r="W171" s="44">
        <f t="shared" si="20"/>
        <v>0</v>
      </c>
      <c r="X171" s="44">
        <f t="shared" si="21"/>
        <v>0</v>
      </c>
      <c r="Y171" s="44">
        <f t="shared" si="22"/>
        <v>0</v>
      </c>
      <c r="Z171" s="84"/>
      <c r="AA171" s="78"/>
      <c r="AB171" s="78"/>
      <c r="AC171" s="78"/>
      <c r="AD171" s="78"/>
      <c r="AE171" s="78"/>
    </row>
    <row r="172" spans="1:31" ht="12.75">
      <c r="A172"/>
      <c r="B172"/>
      <c r="C172"/>
      <c r="D172"/>
      <c r="E172"/>
      <c r="F172"/>
      <c r="G172"/>
      <c r="H172"/>
      <c r="I172"/>
      <c r="J172"/>
      <c r="K172" s="100">
        <f t="shared" si="23"/>
        <v>0</v>
      </c>
      <c r="L172" s="95"/>
      <c r="M172" s="90">
        <f t="shared" si="17"/>
        <v>0</v>
      </c>
      <c r="N172" s="56">
        <v>0</v>
      </c>
      <c r="O172" s="44">
        <f t="shared" si="18"/>
        <v>0</v>
      </c>
      <c r="P172" s="44"/>
      <c r="Q172" s="44"/>
      <c r="R172" s="44"/>
      <c r="S172" s="44">
        <f t="shared" si="24"/>
        <v>0</v>
      </c>
      <c r="T172" s="44">
        <f t="shared" si="19"/>
        <v>0</v>
      </c>
      <c r="U172">
        <v>0</v>
      </c>
      <c r="V172" s="43">
        <v>0</v>
      </c>
      <c r="W172" s="44">
        <f t="shared" si="20"/>
        <v>0</v>
      </c>
      <c r="X172" s="44">
        <f t="shared" si="21"/>
        <v>0</v>
      </c>
      <c r="Y172" s="44">
        <f t="shared" si="22"/>
        <v>0</v>
      </c>
      <c r="Z172" s="84"/>
      <c r="AA172" s="78"/>
      <c r="AB172" s="78"/>
      <c r="AC172" s="78"/>
      <c r="AD172" s="78"/>
      <c r="AE172" s="78"/>
    </row>
    <row r="173" spans="1:31" ht="12.75">
      <c r="A173"/>
      <c r="B173"/>
      <c r="C173"/>
      <c r="D173"/>
      <c r="E173"/>
      <c r="F173"/>
      <c r="G173"/>
      <c r="H173"/>
      <c r="I173"/>
      <c r="J173"/>
      <c r="K173" s="100">
        <f t="shared" si="23"/>
        <v>0</v>
      </c>
      <c r="L173" s="95"/>
      <c r="M173" s="90">
        <f t="shared" si="17"/>
        <v>0</v>
      </c>
      <c r="N173" s="56">
        <v>0</v>
      </c>
      <c r="O173" s="44">
        <f t="shared" si="18"/>
        <v>0</v>
      </c>
      <c r="P173" s="44"/>
      <c r="Q173" s="44"/>
      <c r="R173" s="44"/>
      <c r="S173" s="44">
        <f t="shared" si="24"/>
        <v>0</v>
      </c>
      <c r="T173" s="44">
        <f t="shared" si="19"/>
        <v>0</v>
      </c>
      <c r="U173">
        <v>0</v>
      </c>
      <c r="V173" s="43">
        <v>0</v>
      </c>
      <c r="W173" s="44">
        <f t="shared" si="20"/>
        <v>0</v>
      </c>
      <c r="X173" s="44">
        <f t="shared" si="21"/>
        <v>0</v>
      </c>
      <c r="Y173" s="44">
        <f t="shared" si="22"/>
        <v>0</v>
      </c>
      <c r="Z173" s="84"/>
      <c r="AA173" s="78"/>
      <c r="AB173" s="78"/>
      <c r="AC173" s="78"/>
      <c r="AD173" s="78"/>
      <c r="AE173" s="78"/>
    </row>
    <row r="174" spans="1:31" ht="12.75">
      <c r="A174"/>
      <c r="B174"/>
      <c r="C174"/>
      <c r="D174"/>
      <c r="E174"/>
      <c r="F174"/>
      <c r="G174"/>
      <c r="H174"/>
      <c r="I174"/>
      <c r="J174"/>
      <c r="K174" s="100">
        <f t="shared" si="23"/>
        <v>0</v>
      </c>
      <c r="L174" s="95"/>
      <c r="M174" s="90">
        <f t="shared" si="17"/>
        <v>0</v>
      </c>
      <c r="N174" s="56">
        <v>0</v>
      </c>
      <c r="O174" s="44">
        <f t="shared" si="18"/>
        <v>0</v>
      </c>
      <c r="P174" s="44"/>
      <c r="Q174" s="44"/>
      <c r="R174" s="44"/>
      <c r="S174" s="44">
        <f t="shared" si="24"/>
        <v>0</v>
      </c>
      <c r="T174" s="44">
        <f t="shared" si="19"/>
        <v>0</v>
      </c>
      <c r="U174">
        <v>0</v>
      </c>
      <c r="V174" s="43">
        <v>0</v>
      </c>
      <c r="W174" s="44">
        <f t="shared" si="20"/>
        <v>0</v>
      </c>
      <c r="X174" s="44">
        <f t="shared" si="21"/>
        <v>0</v>
      </c>
      <c r="Y174" s="44">
        <f t="shared" si="22"/>
        <v>0</v>
      </c>
      <c r="Z174" s="84"/>
      <c r="AA174" s="78"/>
      <c r="AB174" s="78"/>
      <c r="AC174" s="78"/>
      <c r="AD174" s="78"/>
      <c r="AE174" s="78"/>
    </row>
    <row r="175" spans="1:31" ht="12.75">
      <c r="A175"/>
      <c r="B175"/>
      <c r="C175"/>
      <c r="D175"/>
      <c r="E175"/>
      <c r="F175"/>
      <c r="G175"/>
      <c r="H175"/>
      <c r="I175"/>
      <c r="J175"/>
      <c r="K175" s="100">
        <f t="shared" si="23"/>
        <v>0</v>
      </c>
      <c r="L175" s="95"/>
      <c r="M175" s="90">
        <f t="shared" si="17"/>
        <v>0</v>
      </c>
      <c r="N175" s="56">
        <v>0</v>
      </c>
      <c r="O175" s="44">
        <f t="shared" si="18"/>
        <v>0</v>
      </c>
      <c r="P175" s="44"/>
      <c r="Q175" s="44"/>
      <c r="R175" s="44"/>
      <c r="S175" s="44">
        <f t="shared" si="24"/>
        <v>0</v>
      </c>
      <c r="T175" s="44">
        <f t="shared" si="19"/>
        <v>0</v>
      </c>
      <c r="U175">
        <v>0</v>
      </c>
      <c r="V175" s="43">
        <v>0</v>
      </c>
      <c r="W175" s="44">
        <f t="shared" si="20"/>
        <v>0</v>
      </c>
      <c r="X175" s="44">
        <f t="shared" si="21"/>
        <v>0</v>
      </c>
      <c r="Y175" s="44">
        <f t="shared" si="22"/>
        <v>0</v>
      </c>
      <c r="Z175" s="84"/>
      <c r="AA175" s="78"/>
      <c r="AB175" s="78"/>
      <c r="AC175" s="78"/>
      <c r="AD175" s="78"/>
      <c r="AE175" s="78"/>
    </row>
    <row r="176" spans="1:31" ht="12.75">
      <c r="A176"/>
      <c r="B176"/>
      <c r="C176"/>
      <c r="D176"/>
      <c r="E176"/>
      <c r="F176"/>
      <c r="G176"/>
      <c r="H176"/>
      <c r="I176"/>
      <c r="J176"/>
      <c r="K176" s="100">
        <f t="shared" si="23"/>
        <v>0</v>
      </c>
      <c r="L176" s="95"/>
      <c r="M176" s="90">
        <f t="shared" si="17"/>
        <v>0</v>
      </c>
      <c r="N176" s="56">
        <v>0</v>
      </c>
      <c r="O176" s="44">
        <f t="shared" si="18"/>
        <v>0</v>
      </c>
      <c r="P176" s="44"/>
      <c r="Q176" s="44"/>
      <c r="R176" s="44"/>
      <c r="S176" s="44">
        <f t="shared" si="24"/>
        <v>0</v>
      </c>
      <c r="T176" s="44">
        <f t="shared" si="19"/>
        <v>0</v>
      </c>
      <c r="U176">
        <v>0</v>
      </c>
      <c r="V176" s="43">
        <v>0</v>
      </c>
      <c r="W176" s="44">
        <f t="shared" si="20"/>
        <v>0</v>
      </c>
      <c r="X176" s="44">
        <f t="shared" si="21"/>
        <v>0</v>
      </c>
      <c r="Y176" s="44">
        <f t="shared" si="22"/>
        <v>0</v>
      </c>
      <c r="Z176" s="84"/>
      <c r="AA176" s="78"/>
      <c r="AB176" s="78"/>
      <c r="AC176" s="78"/>
      <c r="AD176" s="78"/>
      <c r="AE176" s="78"/>
    </row>
    <row r="177" spans="1:31" ht="12.75">
      <c r="A177"/>
      <c r="B177"/>
      <c r="C177"/>
      <c r="D177"/>
      <c r="E177"/>
      <c r="F177"/>
      <c r="G177"/>
      <c r="H177"/>
      <c r="I177"/>
      <c r="J177"/>
      <c r="K177" s="100">
        <f t="shared" si="23"/>
        <v>0</v>
      </c>
      <c r="L177" s="95"/>
      <c r="M177" s="90">
        <f t="shared" si="17"/>
        <v>0</v>
      </c>
      <c r="N177" s="56">
        <v>0</v>
      </c>
      <c r="O177" s="44">
        <f t="shared" si="18"/>
        <v>0</v>
      </c>
      <c r="P177" s="44"/>
      <c r="Q177" s="44"/>
      <c r="R177" s="44"/>
      <c r="S177" s="44">
        <f t="shared" si="24"/>
        <v>0</v>
      </c>
      <c r="T177" s="44">
        <f t="shared" si="19"/>
        <v>0</v>
      </c>
      <c r="U177">
        <v>0</v>
      </c>
      <c r="V177" s="43">
        <v>0</v>
      </c>
      <c r="W177" s="44">
        <f t="shared" si="20"/>
        <v>0</v>
      </c>
      <c r="X177" s="44">
        <f t="shared" si="21"/>
        <v>0</v>
      </c>
      <c r="Y177" s="44">
        <f t="shared" si="22"/>
        <v>0</v>
      </c>
      <c r="Z177" s="84"/>
      <c r="AA177" s="78"/>
      <c r="AB177" s="78"/>
      <c r="AC177" s="78"/>
      <c r="AD177" s="78"/>
      <c r="AE177" s="78"/>
    </row>
    <row r="178" spans="1:31" ht="12.75">
      <c r="A178"/>
      <c r="B178"/>
      <c r="C178"/>
      <c r="D178"/>
      <c r="E178"/>
      <c r="F178"/>
      <c r="G178"/>
      <c r="H178"/>
      <c r="I178"/>
      <c r="J178"/>
      <c r="K178" s="100">
        <f t="shared" si="23"/>
        <v>0</v>
      </c>
      <c r="L178" s="95"/>
      <c r="M178" s="90">
        <f t="shared" si="17"/>
        <v>0</v>
      </c>
      <c r="N178" s="56">
        <v>0</v>
      </c>
      <c r="O178" s="44">
        <f t="shared" si="18"/>
        <v>0</v>
      </c>
      <c r="P178" s="44"/>
      <c r="Q178" s="44"/>
      <c r="R178" s="44"/>
      <c r="S178" s="44">
        <f t="shared" si="24"/>
        <v>0</v>
      </c>
      <c r="T178" s="44">
        <f t="shared" si="19"/>
        <v>0</v>
      </c>
      <c r="U178">
        <v>0</v>
      </c>
      <c r="V178" s="43">
        <v>0</v>
      </c>
      <c r="W178" s="44">
        <f t="shared" si="20"/>
        <v>0</v>
      </c>
      <c r="X178" s="44">
        <f t="shared" si="21"/>
        <v>0</v>
      </c>
      <c r="Y178" s="44">
        <f t="shared" si="22"/>
        <v>0</v>
      </c>
      <c r="Z178" s="84"/>
      <c r="AA178" s="78"/>
      <c r="AB178" s="78"/>
      <c r="AC178" s="78"/>
      <c r="AD178" s="78"/>
      <c r="AE178" s="78"/>
    </row>
    <row r="179" spans="1:31" ht="12.75">
      <c r="A179"/>
      <c r="B179"/>
      <c r="C179"/>
      <c r="D179"/>
      <c r="E179"/>
      <c r="F179"/>
      <c r="G179"/>
      <c r="H179"/>
      <c r="I179"/>
      <c r="J179"/>
      <c r="K179" s="100">
        <f t="shared" si="23"/>
        <v>0</v>
      </c>
      <c r="L179" s="95"/>
      <c r="M179" s="90">
        <f t="shared" si="17"/>
        <v>0</v>
      </c>
      <c r="N179" s="56">
        <v>0</v>
      </c>
      <c r="O179" s="44">
        <f t="shared" si="18"/>
        <v>0</v>
      </c>
      <c r="P179" s="44"/>
      <c r="Q179" s="44"/>
      <c r="R179" s="44"/>
      <c r="S179" s="44">
        <f t="shared" si="24"/>
        <v>0</v>
      </c>
      <c r="T179" s="44">
        <f t="shared" si="19"/>
        <v>0</v>
      </c>
      <c r="U179">
        <v>0</v>
      </c>
      <c r="V179" s="43">
        <v>0</v>
      </c>
      <c r="W179" s="44">
        <f t="shared" si="20"/>
        <v>0</v>
      </c>
      <c r="X179" s="44">
        <f t="shared" si="21"/>
        <v>0</v>
      </c>
      <c r="Y179" s="44">
        <f t="shared" si="22"/>
        <v>0</v>
      </c>
      <c r="Z179" s="84"/>
      <c r="AA179" s="78"/>
      <c r="AB179" s="78"/>
      <c r="AC179" s="78"/>
      <c r="AD179" s="78"/>
      <c r="AE179" s="78"/>
    </row>
    <row r="180" spans="1:31" ht="12.75">
      <c r="A180"/>
      <c r="B180"/>
      <c r="C180"/>
      <c r="D180"/>
      <c r="E180"/>
      <c r="F180"/>
      <c r="G180"/>
      <c r="H180"/>
      <c r="I180"/>
      <c r="J180"/>
      <c r="K180" s="100">
        <f t="shared" si="23"/>
        <v>0</v>
      </c>
      <c r="L180" s="95"/>
      <c r="M180" s="90">
        <f t="shared" si="17"/>
        <v>0</v>
      </c>
      <c r="N180" s="56">
        <v>0</v>
      </c>
      <c r="O180" s="44">
        <f t="shared" si="18"/>
        <v>0</v>
      </c>
      <c r="P180" s="44"/>
      <c r="Q180" s="44"/>
      <c r="R180" s="44"/>
      <c r="S180" s="44">
        <f t="shared" si="24"/>
        <v>0</v>
      </c>
      <c r="T180" s="44">
        <f t="shared" si="19"/>
        <v>0</v>
      </c>
      <c r="U180">
        <v>0</v>
      </c>
      <c r="V180" s="43">
        <v>0</v>
      </c>
      <c r="W180" s="44">
        <f t="shared" si="20"/>
        <v>0</v>
      </c>
      <c r="X180" s="44">
        <f t="shared" si="21"/>
        <v>0</v>
      </c>
      <c r="Y180" s="44">
        <f t="shared" si="22"/>
        <v>0</v>
      </c>
      <c r="Z180" s="84"/>
      <c r="AA180" s="78"/>
      <c r="AB180" s="78"/>
      <c r="AC180" s="78"/>
      <c r="AD180" s="78"/>
      <c r="AE180" s="78"/>
    </row>
    <row r="181" spans="1:31" ht="12.75">
      <c r="A181"/>
      <c r="B181"/>
      <c r="C181"/>
      <c r="D181"/>
      <c r="E181"/>
      <c r="F181"/>
      <c r="G181"/>
      <c r="H181"/>
      <c r="I181"/>
      <c r="J181"/>
      <c r="K181" s="100">
        <f t="shared" si="23"/>
        <v>0</v>
      </c>
      <c r="L181" s="95"/>
      <c r="M181" s="90">
        <f t="shared" si="17"/>
        <v>0</v>
      </c>
      <c r="N181" s="56">
        <v>0</v>
      </c>
      <c r="O181" s="44">
        <f t="shared" si="18"/>
        <v>0</v>
      </c>
      <c r="P181" s="44"/>
      <c r="Q181" s="44"/>
      <c r="R181" s="44"/>
      <c r="S181" s="44">
        <f t="shared" si="24"/>
        <v>0</v>
      </c>
      <c r="T181" s="44">
        <f t="shared" si="19"/>
        <v>0</v>
      </c>
      <c r="U181">
        <v>0</v>
      </c>
      <c r="V181" s="43">
        <v>0</v>
      </c>
      <c r="W181" s="44">
        <f t="shared" si="20"/>
        <v>0</v>
      </c>
      <c r="X181" s="44">
        <f t="shared" si="21"/>
        <v>0</v>
      </c>
      <c r="Y181" s="44">
        <f t="shared" si="22"/>
        <v>0</v>
      </c>
      <c r="Z181" s="84"/>
      <c r="AA181" s="78"/>
      <c r="AB181" s="78"/>
      <c r="AC181" s="78"/>
      <c r="AD181" s="78"/>
      <c r="AE181" s="78"/>
    </row>
    <row r="182" spans="1:31" ht="12.75">
      <c r="A182"/>
      <c r="B182"/>
      <c r="C182"/>
      <c r="D182"/>
      <c r="E182"/>
      <c r="F182"/>
      <c r="G182"/>
      <c r="H182"/>
      <c r="I182"/>
      <c r="J182"/>
      <c r="K182" s="100">
        <f t="shared" si="23"/>
        <v>0</v>
      </c>
      <c r="L182" s="95"/>
      <c r="M182" s="90">
        <f t="shared" si="17"/>
        <v>0</v>
      </c>
      <c r="N182" s="56">
        <v>0</v>
      </c>
      <c r="O182" s="44">
        <f t="shared" si="18"/>
        <v>0</v>
      </c>
      <c r="P182" s="44"/>
      <c r="Q182" s="44"/>
      <c r="R182" s="44"/>
      <c r="S182" s="44">
        <f t="shared" si="24"/>
        <v>0</v>
      </c>
      <c r="T182" s="44">
        <f t="shared" si="19"/>
        <v>0</v>
      </c>
      <c r="U182">
        <v>0</v>
      </c>
      <c r="V182" s="43">
        <v>0</v>
      </c>
      <c r="W182" s="44">
        <f t="shared" si="20"/>
        <v>0</v>
      </c>
      <c r="X182" s="44">
        <f t="shared" si="21"/>
        <v>0</v>
      </c>
      <c r="Y182" s="44">
        <f t="shared" si="22"/>
        <v>0</v>
      </c>
      <c r="Z182" s="84"/>
      <c r="AA182" s="78"/>
      <c r="AB182" s="78"/>
      <c r="AC182" s="78"/>
      <c r="AD182" s="78"/>
      <c r="AE182" s="78"/>
    </row>
    <row r="183" spans="1:31" ht="12.75">
      <c r="A183"/>
      <c r="B183"/>
      <c r="C183"/>
      <c r="D183"/>
      <c r="E183"/>
      <c r="F183"/>
      <c r="G183"/>
      <c r="H183"/>
      <c r="I183"/>
      <c r="J183"/>
      <c r="K183" s="100">
        <f t="shared" si="23"/>
        <v>0</v>
      </c>
      <c r="L183" s="95"/>
      <c r="M183" s="90">
        <f t="shared" si="17"/>
        <v>0</v>
      </c>
      <c r="N183" s="56">
        <v>0</v>
      </c>
      <c r="O183" s="44">
        <f t="shared" si="18"/>
        <v>0</v>
      </c>
      <c r="P183" s="44"/>
      <c r="Q183" s="44"/>
      <c r="R183" s="44"/>
      <c r="S183" s="44">
        <f t="shared" si="24"/>
        <v>0</v>
      </c>
      <c r="T183" s="44">
        <f t="shared" si="19"/>
        <v>0</v>
      </c>
      <c r="U183">
        <v>0</v>
      </c>
      <c r="V183" s="43">
        <v>0</v>
      </c>
      <c r="W183" s="44">
        <f t="shared" si="20"/>
        <v>0</v>
      </c>
      <c r="X183" s="44">
        <f t="shared" si="21"/>
        <v>0</v>
      </c>
      <c r="Y183" s="44">
        <f t="shared" si="22"/>
        <v>0</v>
      </c>
      <c r="Z183" s="84"/>
      <c r="AA183" s="78"/>
      <c r="AB183" s="78"/>
      <c r="AC183" s="78"/>
      <c r="AD183" s="78"/>
      <c r="AE183" s="78"/>
    </row>
    <row r="184" spans="1:31" ht="12.75">
      <c r="A184"/>
      <c r="B184"/>
      <c r="C184"/>
      <c r="D184"/>
      <c r="E184"/>
      <c r="F184"/>
      <c r="G184"/>
      <c r="H184"/>
      <c r="I184"/>
      <c r="J184"/>
      <c r="K184" s="100">
        <f t="shared" si="23"/>
        <v>0</v>
      </c>
      <c r="L184" s="95"/>
      <c r="M184" s="90">
        <f t="shared" si="17"/>
        <v>0</v>
      </c>
      <c r="N184" s="56">
        <v>0</v>
      </c>
      <c r="O184" s="44">
        <f t="shared" si="18"/>
        <v>0</v>
      </c>
      <c r="P184" s="44"/>
      <c r="Q184" s="44"/>
      <c r="R184" s="44"/>
      <c r="S184" s="44">
        <f t="shared" si="24"/>
        <v>0</v>
      </c>
      <c r="T184" s="44">
        <f t="shared" si="19"/>
        <v>0</v>
      </c>
      <c r="U184">
        <v>0</v>
      </c>
      <c r="V184" s="43">
        <v>0</v>
      </c>
      <c r="W184" s="44">
        <f t="shared" si="20"/>
        <v>0</v>
      </c>
      <c r="X184" s="44">
        <f t="shared" si="21"/>
        <v>0</v>
      </c>
      <c r="Y184" s="44">
        <f t="shared" si="22"/>
        <v>0</v>
      </c>
      <c r="Z184" s="84"/>
      <c r="AA184" s="78"/>
      <c r="AB184" s="78"/>
      <c r="AC184" s="78"/>
      <c r="AD184" s="78"/>
      <c r="AE184" s="78"/>
    </row>
    <row r="185" spans="1:31" ht="12.75">
      <c r="A185"/>
      <c r="B185"/>
      <c r="C185"/>
      <c r="D185"/>
      <c r="E185"/>
      <c r="F185"/>
      <c r="G185"/>
      <c r="H185"/>
      <c r="I185"/>
      <c r="J185"/>
      <c r="K185" s="100">
        <f t="shared" si="23"/>
        <v>0</v>
      </c>
      <c r="L185" s="95"/>
      <c r="M185" s="90">
        <f t="shared" si="17"/>
        <v>0</v>
      </c>
      <c r="N185" s="56">
        <v>0</v>
      </c>
      <c r="O185" s="44">
        <f t="shared" si="18"/>
        <v>0</v>
      </c>
      <c r="P185" s="44"/>
      <c r="Q185" s="44"/>
      <c r="R185" s="44"/>
      <c r="S185" s="44">
        <f t="shared" si="24"/>
        <v>0</v>
      </c>
      <c r="T185" s="44">
        <f t="shared" si="19"/>
        <v>0</v>
      </c>
      <c r="U185">
        <v>0</v>
      </c>
      <c r="V185" s="43">
        <v>0</v>
      </c>
      <c r="W185" s="44">
        <f t="shared" si="20"/>
        <v>0</v>
      </c>
      <c r="X185" s="44">
        <f t="shared" si="21"/>
        <v>0</v>
      </c>
      <c r="Y185" s="44">
        <f t="shared" si="22"/>
        <v>0</v>
      </c>
      <c r="Z185" s="84"/>
      <c r="AA185" s="78"/>
      <c r="AB185" s="78"/>
      <c r="AC185" s="78"/>
      <c r="AD185" s="78"/>
      <c r="AE185" s="78"/>
    </row>
    <row r="186" spans="1:31" ht="12.75">
      <c r="A186"/>
      <c r="B186"/>
      <c r="C186"/>
      <c r="D186"/>
      <c r="E186"/>
      <c r="F186"/>
      <c r="G186"/>
      <c r="H186"/>
      <c r="I186"/>
      <c r="J186"/>
      <c r="K186" s="100">
        <f t="shared" si="23"/>
        <v>0</v>
      </c>
      <c r="L186" s="95"/>
      <c r="M186" s="90">
        <f t="shared" si="17"/>
        <v>0</v>
      </c>
      <c r="N186" s="56">
        <v>0</v>
      </c>
      <c r="O186" s="44">
        <f t="shared" si="18"/>
        <v>0</v>
      </c>
      <c r="P186" s="44"/>
      <c r="Q186" s="44"/>
      <c r="R186" s="44"/>
      <c r="S186" s="44">
        <f t="shared" si="24"/>
        <v>0</v>
      </c>
      <c r="T186" s="44">
        <f t="shared" si="19"/>
        <v>0</v>
      </c>
      <c r="U186">
        <v>0</v>
      </c>
      <c r="V186" s="43">
        <v>0</v>
      </c>
      <c r="W186" s="44">
        <f t="shared" si="20"/>
        <v>0</v>
      </c>
      <c r="X186" s="44">
        <f t="shared" si="21"/>
        <v>0</v>
      </c>
      <c r="Y186" s="44">
        <f t="shared" si="22"/>
        <v>0</v>
      </c>
      <c r="Z186" s="84"/>
      <c r="AA186" s="78"/>
      <c r="AB186" s="78"/>
      <c r="AC186" s="78"/>
      <c r="AD186" s="78"/>
      <c r="AE186" s="78"/>
    </row>
    <row r="187" spans="1:31" ht="12.75">
      <c r="A187"/>
      <c r="B187"/>
      <c r="C187"/>
      <c r="D187"/>
      <c r="E187"/>
      <c r="F187"/>
      <c r="G187"/>
      <c r="H187"/>
      <c r="I187"/>
      <c r="J187"/>
      <c r="K187" s="100">
        <f t="shared" si="23"/>
        <v>0</v>
      </c>
      <c r="L187" s="95"/>
      <c r="M187" s="90">
        <f t="shared" si="17"/>
        <v>0</v>
      </c>
      <c r="N187" s="56">
        <v>0</v>
      </c>
      <c r="O187" s="44">
        <f t="shared" si="18"/>
        <v>0</v>
      </c>
      <c r="P187" s="44"/>
      <c r="Q187" s="44"/>
      <c r="R187" s="44"/>
      <c r="S187" s="44">
        <f t="shared" si="24"/>
        <v>0</v>
      </c>
      <c r="T187" s="44">
        <f t="shared" si="19"/>
        <v>0</v>
      </c>
      <c r="U187">
        <v>0</v>
      </c>
      <c r="V187" s="43">
        <v>0</v>
      </c>
      <c r="W187" s="44">
        <f t="shared" si="20"/>
        <v>0</v>
      </c>
      <c r="X187" s="44">
        <f t="shared" si="21"/>
        <v>0</v>
      </c>
      <c r="Y187" s="44">
        <f t="shared" si="22"/>
        <v>0</v>
      </c>
      <c r="Z187" s="84"/>
      <c r="AA187" s="78"/>
      <c r="AB187" s="78"/>
      <c r="AC187" s="78"/>
      <c r="AD187" s="78"/>
      <c r="AE187" s="78"/>
    </row>
    <row r="188" spans="1:31" ht="12.75">
      <c r="A188"/>
      <c r="B188"/>
      <c r="C188"/>
      <c r="D188"/>
      <c r="E188"/>
      <c r="F188"/>
      <c r="G188"/>
      <c r="H188"/>
      <c r="I188"/>
      <c r="J188"/>
      <c r="K188" s="100">
        <f t="shared" si="23"/>
        <v>0</v>
      </c>
      <c r="L188" s="95"/>
      <c r="M188" s="90">
        <f t="shared" si="17"/>
        <v>0</v>
      </c>
      <c r="N188" s="56">
        <v>0</v>
      </c>
      <c r="O188" s="44">
        <f t="shared" si="18"/>
        <v>0</v>
      </c>
      <c r="P188" s="44"/>
      <c r="Q188" s="44"/>
      <c r="R188" s="44"/>
      <c r="S188" s="44">
        <f t="shared" si="24"/>
        <v>0</v>
      </c>
      <c r="T188" s="44">
        <f t="shared" si="19"/>
        <v>0</v>
      </c>
      <c r="U188">
        <v>0</v>
      </c>
      <c r="V188" s="43">
        <v>0</v>
      </c>
      <c r="W188" s="44">
        <f t="shared" si="20"/>
        <v>0</v>
      </c>
      <c r="X188" s="44">
        <f t="shared" si="21"/>
        <v>0</v>
      </c>
      <c r="Y188" s="44">
        <f t="shared" si="22"/>
        <v>0</v>
      </c>
      <c r="Z188" s="84"/>
      <c r="AA188" s="78"/>
      <c r="AB188" s="78"/>
      <c r="AC188" s="78"/>
      <c r="AD188" s="78"/>
      <c r="AE188" s="78"/>
    </row>
    <row r="189" spans="1:31" ht="12.75">
      <c r="A189"/>
      <c r="B189"/>
      <c r="C189"/>
      <c r="D189"/>
      <c r="E189"/>
      <c r="F189"/>
      <c r="G189"/>
      <c r="H189"/>
      <c r="I189"/>
      <c r="J189"/>
      <c r="K189" s="100">
        <f t="shared" si="23"/>
        <v>0</v>
      </c>
      <c r="L189" s="95"/>
      <c r="M189" s="90">
        <f t="shared" si="17"/>
        <v>0</v>
      </c>
      <c r="N189" s="56">
        <v>0</v>
      </c>
      <c r="O189" s="44">
        <f t="shared" si="18"/>
        <v>0</v>
      </c>
      <c r="P189" s="44"/>
      <c r="Q189" s="44"/>
      <c r="R189" s="44"/>
      <c r="S189" s="44">
        <f t="shared" si="24"/>
        <v>0</v>
      </c>
      <c r="T189" s="44">
        <f t="shared" si="19"/>
        <v>0</v>
      </c>
      <c r="U189">
        <v>0</v>
      </c>
      <c r="V189" s="43">
        <v>0</v>
      </c>
      <c r="W189" s="44">
        <f t="shared" si="20"/>
        <v>0</v>
      </c>
      <c r="X189" s="44">
        <f t="shared" si="21"/>
        <v>0</v>
      </c>
      <c r="Y189" s="44">
        <f t="shared" si="22"/>
        <v>0</v>
      </c>
      <c r="Z189" s="84"/>
      <c r="AA189" s="78"/>
      <c r="AB189" s="78"/>
      <c r="AC189" s="78"/>
      <c r="AD189" s="78"/>
      <c r="AE189" s="78"/>
    </row>
    <row r="190" spans="1:31" ht="12.75">
      <c r="A190"/>
      <c r="B190"/>
      <c r="C190"/>
      <c r="D190"/>
      <c r="E190"/>
      <c r="F190"/>
      <c r="G190"/>
      <c r="H190"/>
      <c r="I190"/>
      <c r="J190"/>
      <c r="K190" s="100">
        <f t="shared" si="23"/>
        <v>0</v>
      </c>
      <c r="L190" s="95"/>
      <c r="M190" s="90">
        <f t="shared" si="17"/>
        <v>0</v>
      </c>
      <c r="N190" s="56">
        <v>0</v>
      </c>
      <c r="O190" s="44">
        <f t="shared" si="18"/>
        <v>0</v>
      </c>
      <c r="P190" s="44"/>
      <c r="Q190" s="44"/>
      <c r="R190" s="44"/>
      <c r="S190" s="44">
        <f t="shared" si="24"/>
        <v>0</v>
      </c>
      <c r="T190" s="44">
        <f t="shared" si="19"/>
        <v>0</v>
      </c>
      <c r="U190">
        <v>0</v>
      </c>
      <c r="V190" s="43">
        <v>0</v>
      </c>
      <c r="W190" s="44">
        <f t="shared" si="20"/>
        <v>0</v>
      </c>
      <c r="X190" s="44">
        <f t="shared" si="21"/>
        <v>0</v>
      </c>
      <c r="Y190" s="44">
        <f t="shared" si="22"/>
        <v>0</v>
      </c>
      <c r="Z190" s="84"/>
      <c r="AA190" s="78"/>
      <c r="AB190" s="78"/>
      <c r="AC190" s="78"/>
      <c r="AD190" s="78"/>
      <c r="AE190" s="78"/>
    </row>
    <row r="191" spans="1:31" ht="12.75">
      <c r="A191"/>
      <c r="B191"/>
      <c r="C191"/>
      <c r="D191"/>
      <c r="E191"/>
      <c r="F191"/>
      <c r="G191"/>
      <c r="H191"/>
      <c r="I191"/>
      <c r="J191"/>
      <c r="K191" s="100">
        <f t="shared" si="23"/>
        <v>0</v>
      </c>
      <c r="L191" s="95"/>
      <c r="M191" s="90">
        <f t="shared" si="17"/>
        <v>0</v>
      </c>
      <c r="N191" s="56">
        <v>0</v>
      </c>
      <c r="O191" s="44">
        <f t="shared" si="18"/>
        <v>0</v>
      </c>
      <c r="P191" s="44"/>
      <c r="Q191" s="44"/>
      <c r="R191" s="44"/>
      <c r="S191" s="44">
        <f t="shared" si="24"/>
        <v>0</v>
      </c>
      <c r="T191" s="44">
        <f t="shared" si="19"/>
        <v>0</v>
      </c>
      <c r="U191">
        <v>0</v>
      </c>
      <c r="V191" s="43">
        <v>0</v>
      </c>
      <c r="W191" s="44">
        <f t="shared" si="20"/>
        <v>0</v>
      </c>
      <c r="X191" s="44">
        <f t="shared" si="21"/>
        <v>0</v>
      </c>
      <c r="Y191" s="44">
        <f t="shared" si="22"/>
        <v>0</v>
      </c>
      <c r="Z191" s="84"/>
      <c r="AA191" s="78"/>
      <c r="AB191" s="78"/>
      <c r="AC191" s="78"/>
      <c r="AD191" s="78"/>
      <c r="AE191" s="78"/>
    </row>
    <row r="192" spans="1:31" ht="12.75">
      <c r="A192"/>
      <c r="B192"/>
      <c r="C192"/>
      <c r="D192"/>
      <c r="E192"/>
      <c r="F192"/>
      <c r="G192"/>
      <c r="H192"/>
      <c r="I192"/>
      <c r="J192"/>
      <c r="K192" s="100">
        <f t="shared" si="23"/>
        <v>0</v>
      </c>
      <c r="L192" s="95"/>
      <c r="M192" s="90">
        <f t="shared" si="17"/>
        <v>0</v>
      </c>
      <c r="N192" s="56">
        <v>0</v>
      </c>
      <c r="O192" s="44">
        <f t="shared" si="18"/>
        <v>0</v>
      </c>
      <c r="P192" s="44"/>
      <c r="Q192" s="44"/>
      <c r="R192" s="44"/>
      <c r="S192" s="44">
        <f t="shared" si="24"/>
        <v>0</v>
      </c>
      <c r="T192" s="44">
        <f t="shared" si="19"/>
        <v>0</v>
      </c>
      <c r="U192">
        <v>0</v>
      </c>
      <c r="V192" s="43">
        <v>0</v>
      </c>
      <c r="W192" s="44">
        <f t="shared" si="20"/>
        <v>0</v>
      </c>
      <c r="X192" s="44">
        <f t="shared" si="21"/>
        <v>0</v>
      </c>
      <c r="Y192" s="44">
        <f t="shared" si="22"/>
        <v>0</v>
      </c>
      <c r="Z192" s="84"/>
      <c r="AA192" s="78"/>
      <c r="AB192" s="78"/>
      <c r="AC192" s="78"/>
      <c r="AD192" s="78"/>
      <c r="AE192" s="78"/>
    </row>
    <row r="193" spans="1:31" ht="12.75">
      <c r="A193"/>
      <c r="B193"/>
      <c r="C193"/>
      <c r="D193"/>
      <c r="E193"/>
      <c r="F193"/>
      <c r="G193"/>
      <c r="H193"/>
      <c r="I193"/>
      <c r="J193"/>
      <c r="K193" s="100">
        <f t="shared" si="23"/>
        <v>0</v>
      </c>
      <c r="L193" s="95"/>
      <c r="M193" s="90">
        <f t="shared" si="17"/>
        <v>0</v>
      </c>
      <c r="N193" s="56">
        <v>0</v>
      </c>
      <c r="O193" s="44">
        <f t="shared" si="18"/>
        <v>0</v>
      </c>
      <c r="P193" s="44"/>
      <c r="Q193" s="44"/>
      <c r="R193" s="44"/>
      <c r="S193" s="44">
        <f t="shared" si="24"/>
        <v>0</v>
      </c>
      <c r="T193" s="44">
        <f t="shared" si="19"/>
        <v>0</v>
      </c>
      <c r="U193">
        <v>0</v>
      </c>
      <c r="V193" s="43">
        <v>0</v>
      </c>
      <c r="W193" s="44">
        <f t="shared" si="20"/>
        <v>0</v>
      </c>
      <c r="X193" s="44">
        <f t="shared" si="21"/>
        <v>0</v>
      </c>
      <c r="Y193" s="44">
        <f t="shared" si="22"/>
        <v>0</v>
      </c>
      <c r="Z193" s="84"/>
      <c r="AA193" s="78"/>
      <c r="AB193" s="78"/>
      <c r="AC193" s="78"/>
      <c r="AD193" s="78"/>
      <c r="AE193" s="78"/>
    </row>
    <row r="194" spans="1:31" ht="12.75">
      <c r="A194"/>
      <c r="B194"/>
      <c r="C194"/>
      <c r="D194"/>
      <c r="E194"/>
      <c r="F194"/>
      <c r="G194"/>
      <c r="H194"/>
      <c r="I194"/>
      <c r="J194"/>
      <c r="K194" s="100">
        <f t="shared" si="23"/>
        <v>0</v>
      </c>
      <c r="L194" s="95"/>
      <c r="M194" s="90">
        <f t="shared" si="17"/>
        <v>0</v>
      </c>
      <c r="N194" s="56">
        <v>0</v>
      </c>
      <c r="O194" s="44">
        <f t="shared" si="18"/>
        <v>0</v>
      </c>
      <c r="P194" s="44"/>
      <c r="Q194" s="44"/>
      <c r="R194" s="44"/>
      <c r="S194" s="44">
        <f t="shared" si="24"/>
        <v>0</v>
      </c>
      <c r="T194" s="44">
        <f t="shared" si="19"/>
        <v>0</v>
      </c>
      <c r="U194">
        <v>0</v>
      </c>
      <c r="V194" s="43">
        <v>0</v>
      </c>
      <c r="W194" s="44">
        <f t="shared" si="20"/>
        <v>0</v>
      </c>
      <c r="X194" s="44">
        <f t="shared" si="21"/>
        <v>0</v>
      </c>
      <c r="Y194" s="44">
        <f t="shared" si="22"/>
        <v>0</v>
      </c>
      <c r="Z194" s="84"/>
      <c r="AA194" s="78"/>
      <c r="AB194" s="78"/>
      <c r="AC194" s="78"/>
      <c r="AD194" s="78"/>
      <c r="AE194" s="78"/>
    </row>
    <row r="195" spans="1:31" ht="12.75">
      <c r="A195"/>
      <c r="B195"/>
      <c r="C195"/>
      <c r="D195"/>
      <c r="E195"/>
      <c r="F195"/>
      <c r="G195"/>
      <c r="H195"/>
      <c r="I195"/>
      <c r="J195"/>
      <c r="K195" s="100">
        <f t="shared" si="23"/>
        <v>0</v>
      </c>
      <c r="L195" s="95"/>
      <c r="M195" s="90">
        <f t="shared" si="17"/>
        <v>0</v>
      </c>
      <c r="N195" s="56">
        <v>0</v>
      </c>
      <c r="O195" s="44">
        <f t="shared" si="18"/>
        <v>0</v>
      </c>
      <c r="P195" s="44"/>
      <c r="Q195" s="44"/>
      <c r="R195" s="44"/>
      <c r="S195" s="44">
        <f t="shared" si="24"/>
        <v>0</v>
      </c>
      <c r="T195" s="44">
        <f t="shared" si="19"/>
        <v>0</v>
      </c>
      <c r="U195">
        <v>0</v>
      </c>
      <c r="V195" s="43">
        <v>0</v>
      </c>
      <c r="W195" s="44">
        <f t="shared" si="20"/>
        <v>0</v>
      </c>
      <c r="X195" s="44">
        <f t="shared" si="21"/>
        <v>0</v>
      </c>
      <c r="Y195" s="44">
        <f t="shared" si="22"/>
        <v>0</v>
      </c>
      <c r="Z195" s="84"/>
      <c r="AA195" s="78"/>
      <c r="AB195" s="78"/>
      <c r="AC195" s="78"/>
      <c r="AD195" s="78"/>
      <c r="AE195" s="78"/>
    </row>
    <row r="196" spans="1:31" ht="12.75">
      <c r="A196"/>
      <c r="B196"/>
      <c r="C196"/>
      <c r="D196"/>
      <c r="E196"/>
      <c r="F196"/>
      <c r="G196"/>
      <c r="H196"/>
      <c r="I196"/>
      <c r="J196"/>
      <c r="K196" s="100">
        <f t="shared" si="23"/>
        <v>0</v>
      </c>
      <c r="L196" s="95"/>
      <c r="M196" s="90">
        <f t="shared" si="17"/>
        <v>0</v>
      </c>
      <c r="N196" s="56">
        <v>0</v>
      </c>
      <c r="O196" s="44">
        <f t="shared" si="18"/>
        <v>0</v>
      </c>
      <c r="P196" s="44"/>
      <c r="Q196" s="44"/>
      <c r="R196" s="44"/>
      <c r="S196" s="44">
        <f t="shared" si="24"/>
        <v>0</v>
      </c>
      <c r="T196" s="44">
        <f t="shared" si="19"/>
        <v>0</v>
      </c>
      <c r="U196">
        <v>0</v>
      </c>
      <c r="V196" s="43">
        <v>0</v>
      </c>
      <c r="W196" s="44">
        <f t="shared" si="20"/>
        <v>0</v>
      </c>
      <c r="X196" s="44">
        <f t="shared" si="21"/>
        <v>0</v>
      </c>
      <c r="Y196" s="44">
        <f t="shared" si="22"/>
        <v>0</v>
      </c>
      <c r="Z196" s="84"/>
      <c r="AA196" s="78"/>
      <c r="AB196" s="78"/>
      <c r="AC196" s="78"/>
      <c r="AD196" s="78"/>
      <c r="AE196" s="78"/>
    </row>
    <row r="197" spans="1:31" ht="12.75">
      <c r="A197"/>
      <c r="B197"/>
      <c r="C197"/>
      <c r="D197"/>
      <c r="E197"/>
      <c r="F197"/>
      <c r="G197"/>
      <c r="H197"/>
      <c r="I197"/>
      <c r="J197"/>
      <c r="K197" s="100">
        <f t="shared" si="23"/>
        <v>0</v>
      </c>
      <c r="L197" s="95"/>
      <c r="M197" s="90">
        <f t="shared" si="17"/>
        <v>0</v>
      </c>
      <c r="N197" s="56">
        <v>0</v>
      </c>
      <c r="O197" s="44">
        <f t="shared" si="18"/>
        <v>0</v>
      </c>
      <c r="P197" s="44"/>
      <c r="Q197" s="44"/>
      <c r="R197" s="44"/>
      <c r="S197" s="44">
        <f t="shared" si="24"/>
        <v>0</v>
      </c>
      <c r="T197" s="44">
        <f t="shared" si="19"/>
        <v>0</v>
      </c>
      <c r="U197">
        <v>0</v>
      </c>
      <c r="V197" s="43">
        <v>0</v>
      </c>
      <c r="W197" s="44">
        <f t="shared" si="20"/>
        <v>0</v>
      </c>
      <c r="X197" s="44">
        <f t="shared" si="21"/>
        <v>0</v>
      </c>
      <c r="Y197" s="44">
        <f t="shared" si="22"/>
        <v>0</v>
      </c>
      <c r="Z197" s="84"/>
      <c r="AA197" s="78"/>
      <c r="AB197" s="78"/>
      <c r="AC197" s="78"/>
      <c r="AD197" s="78"/>
      <c r="AE197" s="78"/>
    </row>
    <row r="198" spans="1:31" ht="12.75">
      <c r="A198"/>
      <c r="B198"/>
      <c r="C198"/>
      <c r="D198"/>
      <c r="E198"/>
      <c r="F198"/>
      <c r="G198"/>
      <c r="H198"/>
      <c r="I198"/>
      <c r="J198"/>
      <c r="K198" s="100">
        <f t="shared" si="23"/>
        <v>0</v>
      </c>
      <c r="L198" s="95"/>
      <c r="M198" s="90">
        <f t="shared" si="17"/>
        <v>0</v>
      </c>
      <c r="N198" s="56">
        <v>0</v>
      </c>
      <c r="O198" s="44">
        <f t="shared" si="18"/>
        <v>0</v>
      </c>
      <c r="P198" s="44"/>
      <c r="Q198" s="44"/>
      <c r="R198" s="44"/>
      <c r="S198" s="44">
        <f t="shared" si="24"/>
        <v>0</v>
      </c>
      <c r="T198" s="44">
        <f t="shared" si="19"/>
        <v>0</v>
      </c>
      <c r="U198">
        <v>0</v>
      </c>
      <c r="V198" s="43">
        <v>0</v>
      </c>
      <c r="W198" s="44">
        <f t="shared" si="20"/>
        <v>0</v>
      </c>
      <c r="X198" s="44">
        <f t="shared" si="21"/>
        <v>0</v>
      </c>
      <c r="Y198" s="44">
        <f t="shared" si="22"/>
        <v>0</v>
      </c>
      <c r="Z198" s="84"/>
      <c r="AA198" s="78"/>
      <c r="AB198" s="78"/>
      <c r="AC198" s="78"/>
      <c r="AD198" s="78"/>
      <c r="AE198" s="78"/>
    </row>
    <row r="199" spans="1:31" ht="12.75">
      <c r="A199"/>
      <c r="B199"/>
      <c r="C199"/>
      <c r="D199"/>
      <c r="E199"/>
      <c r="F199"/>
      <c r="G199"/>
      <c r="H199"/>
      <c r="I199"/>
      <c r="J199"/>
      <c r="K199" s="100">
        <f t="shared" si="23"/>
        <v>0</v>
      </c>
      <c r="L199" s="95"/>
      <c r="M199" s="90">
        <f t="shared" si="17"/>
        <v>0</v>
      </c>
      <c r="N199" s="56">
        <v>0</v>
      </c>
      <c r="O199" s="44">
        <f t="shared" si="18"/>
        <v>0</v>
      </c>
      <c r="P199" s="44"/>
      <c r="Q199" s="44"/>
      <c r="R199" s="44"/>
      <c r="S199" s="44">
        <f t="shared" si="24"/>
        <v>0</v>
      </c>
      <c r="T199" s="44">
        <f t="shared" si="19"/>
        <v>0</v>
      </c>
      <c r="U199">
        <v>0</v>
      </c>
      <c r="V199" s="43">
        <v>0</v>
      </c>
      <c r="W199" s="44">
        <f t="shared" si="20"/>
        <v>0</v>
      </c>
      <c r="X199" s="44">
        <f t="shared" si="21"/>
        <v>0</v>
      </c>
      <c r="Y199" s="44">
        <f t="shared" si="22"/>
        <v>0</v>
      </c>
      <c r="Z199" s="84"/>
      <c r="AA199" s="78"/>
      <c r="AB199" s="78"/>
      <c r="AC199" s="78"/>
      <c r="AD199" s="78"/>
      <c r="AE199" s="78"/>
    </row>
    <row r="200" spans="1:31" ht="12.75">
      <c r="A200"/>
      <c r="B200"/>
      <c r="C200"/>
      <c r="D200"/>
      <c r="E200"/>
      <c r="F200"/>
      <c r="G200"/>
      <c r="H200"/>
      <c r="I200"/>
      <c r="J200"/>
      <c r="K200" s="100">
        <f t="shared" si="23"/>
        <v>0</v>
      </c>
      <c r="L200" s="95"/>
      <c r="M200" s="90">
        <f t="shared" ref="M200:M263" si="25">ROUND(K200*L200,2)</f>
        <v>0</v>
      </c>
      <c r="N200" s="56">
        <v>0</v>
      </c>
      <c r="O200" s="44">
        <f t="shared" ref="O200:O263" si="26">+M200-(M200*N200)</f>
        <v>0</v>
      </c>
      <c r="P200" s="44"/>
      <c r="Q200" s="44"/>
      <c r="R200" s="44"/>
      <c r="S200" s="44">
        <f t="shared" si="24"/>
        <v>0</v>
      </c>
      <c r="T200" s="44">
        <f t="shared" ref="T200:T263" si="27">+O200+P200+Q200+R200</f>
        <v>0</v>
      </c>
      <c r="U200">
        <v>0</v>
      </c>
      <c r="V200" s="43">
        <v>0</v>
      </c>
      <c r="W200" s="44">
        <f t="shared" ref="W200:W263" si="28">+O200-U200-V200-Z200</f>
        <v>0</v>
      </c>
      <c r="X200" s="44">
        <f t="shared" ref="X200:X263" si="29">(+O200-U200-Z200)*$X$1</f>
        <v>0</v>
      </c>
      <c r="Y200" s="44">
        <f t="shared" ref="Y200:Y263" si="30">+W200-X200</f>
        <v>0</v>
      </c>
      <c r="Z200" s="84"/>
      <c r="AA200" s="78"/>
      <c r="AB200" s="78"/>
      <c r="AC200" s="78"/>
      <c r="AD200" s="78"/>
      <c r="AE200" s="78"/>
    </row>
    <row r="201" spans="1:31" ht="12.75">
      <c r="A201"/>
      <c r="B201"/>
      <c r="C201"/>
      <c r="D201"/>
      <c r="E201"/>
      <c r="F201"/>
      <c r="G201"/>
      <c r="H201"/>
      <c r="I201"/>
      <c r="J201"/>
      <c r="K201" s="100">
        <f t="shared" ref="K201:K264" si="31">+I201*J201</f>
        <v>0</v>
      </c>
      <c r="L201" s="95"/>
      <c r="M201" s="90">
        <f t="shared" si="25"/>
        <v>0</v>
      </c>
      <c r="N201" s="56">
        <v>0</v>
      </c>
      <c r="O201" s="44">
        <f t="shared" si="26"/>
        <v>0</v>
      </c>
      <c r="P201" s="44"/>
      <c r="Q201" s="44"/>
      <c r="R201" s="44"/>
      <c r="S201" s="44">
        <f t="shared" ref="S201:S264" si="32">IF(R201="y",+P201*0.01,0)</f>
        <v>0</v>
      </c>
      <c r="T201" s="44">
        <f t="shared" si="27"/>
        <v>0</v>
      </c>
      <c r="U201">
        <v>0</v>
      </c>
      <c r="V201" s="43">
        <v>0</v>
      </c>
      <c r="W201" s="44">
        <f t="shared" si="28"/>
        <v>0</v>
      </c>
      <c r="X201" s="44">
        <f t="shared" si="29"/>
        <v>0</v>
      </c>
      <c r="Y201" s="44">
        <f t="shared" si="30"/>
        <v>0</v>
      </c>
      <c r="Z201" s="84"/>
      <c r="AA201" s="78"/>
      <c r="AB201" s="78"/>
      <c r="AC201" s="78"/>
      <c r="AD201" s="78"/>
      <c r="AE201" s="78"/>
    </row>
    <row r="202" spans="1:31" ht="12.75">
      <c r="A202"/>
      <c r="B202"/>
      <c r="C202"/>
      <c r="D202"/>
      <c r="E202"/>
      <c r="F202"/>
      <c r="G202"/>
      <c r="H202"/>
      <c r="I202"/>
      <c r="J202"/>
      <c r="K202" s="100">
        <f t="shared" si="31"/>
        <v>0</v>
      </c>
      <c r="L202" s="95"/>
      <c r="M202" s="90">
        <f t="shared" si="25"/>
        <v>0</v>
      </c>
      <c r="N202" s="56">
        <v>0</v>
      </c>
      <c r="O202" s="44">
        <f t="shared" si="26"/>
        <v>0</v>
      </c>
      <c r="P202" s="44"/>
      <c r="Q202" s="44"/>
      <c r="R202" s="44"/>
      <c r="S202" s="44">
        <f t="shared" si="32"/>
        <v>0</v>
      </c>
      <c r="T202" s="44">
        <f t="shared" si="27"/>
        <v>0</v>
      </c>
      <c r="U202">
        <v>0</v>
      </c>
      <c r="V202" s="43">
        <v>0</v>
      </c>
      <c r="W202" s="44">
        <f t="shared" si="28"/>
        <v>0</v>
      </c>
      <c r="X202" s="44">
        <f t="shared" si="29"/>
        <v>0</v>
      </c>
      <c r="Y202" s="44">
        <f t="shared" si="30"/>
        <v>0</v>
      </c>
      <c r="Z202" s="84"/>
      <c r="AA202" s="78"/>
      <c r="AB202" s="78"/>
      <c r="AC202" s="78"/>
      <c r="AD202" s="78"/>
      <c r="AE202" s="78"/>
    </row>
    <row r="203" spans="1:31" ht="12.75">
      <c r="A203"/>
      <c r="B203"/>
      <c r="C203"/>
      <c r="D203"/>
      <c r="E203"/>
      <c r="F203"/>
      <c r="G203"/>
      <c r="H203"/>
      <c r="I203"/>
      <c r="J203"/>
      <c r="K203" s="100">
        <f t="shared" si="31"/>
        <v>0</v>
      </c>
      <c r="L203" s="95"/>
      <c r="M203" s="90">
        <f t="shared" si="25"/>
        <v>0</v>
      </c>
      <c r="N203" s="56">
        <v>0</v>
      </c>
      <c r="O203" s="44">
        <f t="shared" si="26"/>
        <v>0</v>
      </c>
      <c r="P203" s="44"/>
      <c r="Q203" s="44"/>
      <c r="R203" s="44"/>
      <c r="S203" s="44">
        <f t="shared" si="32"/>
        <v>0</v>
      </c>
      <c r="T203" s="44">
        <f t="shared" si="27"/>
        <v>0</v>
      </c>
      <c r="U203">
        <v>0</v>
      </c>
      <c r="V203" s="43">
        <v>0</v>
      </c>
      <c r="W203" s="44">
        <f t="shared" si="28"/>
        <v>0</v>
      </c>
      <c r="X203" s="44">
        <f t="shared" si="29"/>
        <v>0</v>
      </c>
      <c r="Y203" s="44">
        <f t="shared" si="30"/>
        <v>0</v>
      </c>
      <c r="Z203" s="84"/>
      <c r="AA203" s="78"/>
      <c r="AB203" s="78"/>
      <c r="AC203" s="78"/>
      <c r="AD203" s="78"/>
      <c r="AE203" s="78"/>
    </row>
    <row r="204" spans="1:31" ht="12.75">
      <c r="A204"/>
      <c r="B204"/>
      <c r="C204"/>
      <c r="D204"/>
      <c r="E204"/>
      <c r="F204"/>
      <c r="G204"/>
      <c r="H204"/>
      <c r="I204"/>
      <c r="J204"/>
      <c r="K204" s="100">
        <f t="shared" si="31"/>
        <v>0</v>
      </c>
      <c r="L204" s="95"/>
      <c r="M204" s="90">
        <f t="shared" si="25"/>
        <v>0</v>
      </c>
      <c r="N204" s="56">
        <v>0</v>
      </c>
      <c r="O204" s="44">
        <f t="shared" si="26"/>
        <v>0</v>
      </c>
      <c r="P204" s="44"/>
      <c r="Q204" s="44"/>
      <c r="R204" s="44"/>
      <c r="S204" s="44">
        <f t="shared" si="32"/>
        <v>0</v>
      </c>
      <c r="T204" s="44">
        <f t="shared" si="27"/>
        <v>0</v>
      </c>
      <c r="U204">
        <v>0</v>
      </c>
      <c r="V204" s="43">
        <v>0</v>
      </c>
      <c r="W204" s="44">
        <f t="shared" si="28"/>
        <v>0</v>
      </c>
      <c r="X204" s="44">
        <f t="shared" si="29"/>
        <v>0</v>
      </c>
      <c r="Y204" s="44">
        <f t="shared" si="30"/>
        <v>0</v>
      </c>
      <c r="Z204" s="84"/>
      <c r="AA204" s="78"/>
      <c r="AB204" s="78"/>
      <c r="AC204" s="78"/>
      <c r="AD204" s="78"/>
      <c r="AE204" s="78"/>
    </row>
    <row r="205" spans="1:31" ht="12.75">
      <c r="A205"/>
      <c r="B205"/>
      <c r="C205"/>
      <c r="D205"/>
      <c r="E205"/>
      <c r="F205"/>
      <c r="G205"/>
      <c r="H205"/>
      <c r="I205"/>
      <c r="J205"/>
      <c r="K205" s="100">
        <f t="shared" si="31"/>
        <v>0</v>
      </c>
      <c r="L205" s="95"/>
      <c r="M205" s="90">
        <f t="shared" si="25"/>
        <v>0</v>
      </c>
      <c r="N205" s="56">
        <v>0</v>
      </c>
      <c r="O205" s="44">
        <f t="shared" si="26"/>
        <v>0</v>
      </c>
      <c r="P205" s="44"/>
      <c r="Q205" s="44"/>
      <c r="R205" s="44"/>
      <c r="S205" s="44">
        <f t="shared" si="32"/>
        <v>0</v>
      </c>
      <c r="T205" s="44">
        <f t="shared" si="27"/>
        <v>0</v>
      </c>
      <c r="U205">
        <v>0</v>
      </c>
      <c r="V205" s="43">
        <v>0</v>
      </c>
      <c r="W205" s="44">
        <f t="shared" si="28"/>
        <v>0</v>
      </c>
      <c r="X205" s="44">
        <f t="shared" si="29"/>
        <v>0</v>
      </c>
      <c r="Y205" s="44">
        <f t="shared" si="30"/>
        <v>0</v>
      </c>
      <c r="Z205" s="84"/>
      <c r="AA205" s="78"/>
      <c r="AB205" s="78"/>
      <c r="AC205" s="78"/>
      <c r="AD205" s="78"/>
      <c r="AE205" s="78"/>
    </row>
    <row r="206" spans="1:31" ht="12.75">
      <c r="A206"/>
      <c r="B206"/>
      <c r="C206"/>
      <c r="D206"/>
      <c r="E206"/>
      <c r="F206"/>
      <c r="G206"/>
      <c r="H206"/>
      <c r="I206"/>
      <c r="J206"/>
      <c r="K206" s="100">
        <f t="shared" si="31"/>
        <v>0</v>
      </c>
      <c r="L206" s="95"/>
      <c r="M206" s="90">
        <f t="shared" si="25"/>
        <v>0</v>
      </c>
      <c r="N206" s="56">
        <v>0</v>
      </c>
      <c r="O206" s="44">
        <f t="shared" si="26"/>
        <v>0</v>
      </c>
      <c r="P206" s="44"/>
      <c r="Q206" s="44"/>
      <c r="R206" s="44"/>
      <c r="S206" s="44">
        <f t="shared" si="32"/>
        <v>0</v>
      </c>
      <c r="T206" s="44">
        <f t="shared" si="27"/>
        <v>0</v>
      </c>
      <c r="U206">
        <v>0</v>
      </c>
      <c r="V206" s="43">
        <v>0</v>
      </c>
      <c r="W206" s="44">
        <f t="shared" si="28"/>
        <v>0</v>
      </c>
      <c r="X206" s="44">
        <f t="shared" si="29"/>
        <v>0</v>
      </c>
      <c r="Y206" s="44">
        <f t="shared" si="30"/>
        <v>0</v>
      </c>
      <c r="Z206" s="84"/>
      <c r="AA206" s="78"/>
      <c r="AB206" s="78"/>
      <c r="AC206" s="78"/>
      <c r="AD206" s="78"/>
      <c r="AE206" s="78"/>
    </row>
    <row r="207" spans="1:31" ht="12.75">
      <c r="A207"/>
      <c r="B207"/>
      <c r="C207"/>
      <c r="D207"/>
      <c r="E207"/>
      <c r="F207"/>
      <c r="G207"/>
      <c r="H207"/>
      <c r="I207"/>
      <c r="J207"/>
      <c r="K207" s="100">
        <f t="shared" si="31"/>
        <v>0</v>
      </c>
      <c r="L207" s="95"/>
      <c r="M207" s="90">
        <f t="shared" si="25"/>
        <v>0</v>
      </c>
      <c r="N207" s="56">
        <v>0</v>
      </c>
      <c r="O207" s="44">
        <f t="shared" si="26"/>
        <v>0</v>
      </c>
      <c r="P207" s="44"/>
      <c r="Q207" s="44"/>
      <c r="R207" s="44"/>
      <c r="S207" s="44">
        <f t="shared" si="32"/>
        <v>0</v>
      </c>
      <c r="T207" s="44">
        <f t="shared" si="27"/>
        <v>0</v>
      </c>
      <c r="U207">
        <v>0</v>
      </c>
      <c r="V207" s="43">
        <v>0</v>
      </c>
      <c r="W207" s="44">
        <f t="shared" si="28"/>
        <v>0</v>
      </c>
      <c r="X207" s="44">
        <f t="shared" si="29"/>
        <v>0</v>
      </c>
      <c r="Y207" s="44">
        <f t="shared" si="30"/>
        <v>0</v>
      </c>
      <c r="Z207" s="84"/>
      <c r="AA207" s="78"/>
      <c r="AB207" s="78"/>
      <c r="AC207" s="78"/>
      <c r="AD207" s="78"/>
      <c r="AE207" s="78"/>
    </row>
    <row r="208" spans="1:31" ht="12.75">
      <c r="A208"/>
      <c r="B208"/>
      <c r="C208"/>
      <c r="D208"/>
      <c r="E208"/>
      <c r="F208"/>
      <c r="G208"/>
      <c r="H208"/>
      <c r="I208"/>
      <c r="J208"/>
      <c r="K208" s="100">
        <f t="shared" si="31"/>
        <v>0</v>
      </c>
      <c r="L208" s="95"/>
      <c r="M208" s="90">
        <f t="shared" si="25"/>
        <v>0</v>
      </c>
      <c r="N208" s="56">
        <v>0</v>
      </c>
      <c r="O208" s="44">
        <f t="shared" si="26"/>
        <v>0</v>
      </c>
      <c r="P208" s="44"/>
      <c r="Q208" s="44"/>
      <c r="R208" s="44"/>
      <c r="S208" s="44">
        <f t="shared" si="32"/>
        <v>0</v>
      </c>
      <c r="T208" s="44">
        <f t="shared" si="27"/>
        <v>0</v>
      </c>
      <c r="U208">
        <v>0</v>
      </c>
      <c r="V208" s="43">
        <v>0</v>
      </c>
      <c r="W208" s="44">
        <f t="shared" si="28"/>
        <v>0</v>
      </c>
      <c r="X208" s="44">
        <f t="shared" si="29"/>
        <v>0</v>
      </c>
      <c r="Y208" s="44">
        <f t="shared" si="30"/>
        <v>0</v>
      </c>
      <c r="Z208" s="84"/>
      <c r="AA208" s="78"/>
      <c r="AB208" s="78"/>
      <c r="AC208" s="78"/>
      <c r="AD208" s="78"/>
      <c r="AE208" s="78"/>
    </row>
    <row r="209" spans="1:31" ht="12.75">
      <c r="A209"/>
      <c r="B209"/>
      <c r="C209"/>
      <c r="D209"/>
      <c r="E209"/>
      <c r="F209"/>
      <c r="G209"/>
      <c r="H209"/>
      <c r="I209"/>
      <c r="J209"/>
      <c r="K209" s="100">
        <f t="shared" si="31"/>
        <v>0</v>
      </c>
      <c r="L209" s="95"/>
      <c r="M209" s="90">
        <f t="shared" si="25"/>
        <v>0</v>
      </c>
      <c r="N209" s="56">
        <v>0</v>
      </c>
      <c r="O209" s="44">
        <f t="shared" si="26"/>
        <v>0</v>
      </c>
      <c r="P209" s="44"/>
      <c r="Q209" s="44"/>
      <c r="R209" s="44"/>
      <c r="S209" s="44">
        <f t="shared" si="32"/>
        <v>0</v>
      </c>
      <c r="T209" s="44">
        <f t="shared" si="27"/>
        <v>0</v>
      </c>
      <c r="U209">
        <v>0</v>
      </c>
      <c r="V209" s="43">
        <v>0</v>
      </c>
      <c r="W209" s="44">
        <f t="shared" si="28"/>
        <v>0</v>
      </c>
      <c r="X209" s="44">
        <f t="shared" si="29"/>
        <v>0</v>
      </c>
      <c r="Y209" s="44">
        <f t="shared" si="30"/>
        <v>0</v>
      </c>
      <c r="Z209" s="84"/>
      <c r="AA209" s="78"/>
      <c r="AB209" s="78"/>
      <c r="AC209" s="78"/>
      <c r="AD209" s="78"/>
      <c r="AE209" s="78"/>
    </row>
    <row r="210" spans="1:31" ht="12.75">
      <c r="A210"/>
      <c r="B210"/>
      <c r="C210"/>
      <c r="D210"/>
      <c r="E210"/>
      <c r="F210"/>
      <c r="G210"/>
      <c r="H210"/>
      <c r="I210"/>
      <c r="J210"/>
      <c r="K210" s="100">
        <f t="shared" si="31"/>
        <v>0</v>
      </c>
      <c r="L210" s="95"/>
      <c r="M210" s="90">
        <f t="shared" si="25"/>
        <v>0</v>
      </c>
      <c r="N210" s="56">
        <v>0</v>
      </c>
      <c r="O210" s="44">
        <f t="shared" si="26"/>
        <v>0</v>
      </c>
      <c r="P210" s="44"/>
      <c r="Q210" s="44"/>
      <c r="R210" s="44"/>
      <c r="S210" s="44">
        <f t="shared" si="32"/>
        <v>0</v>
      </c>
      <c r="T210" s="44">
        <f t="shared" si="27"/>
        <v>0</v>
      </c>
      <c r="U210">
        <v>0</v>
      </c>
      <c r="V210" s="43">
        <v>0</v>
      </c>
      <c r="W210" s="44">
        <f t="shared" si="28"/>
        <v>0</v>
      </c>
      <c r="X210" s="44">
        <f t="shared" si="29"/>
        <v>0</v>
      </c>
      <c r="Y210" s="44">
        <f t="shared" si="30"/>
        <v>0</v>
      </c>
      <c r="Z210" s="84"/>
      <c r="AA210" s="78"/>
      <c r="AB210" s="78"/>
      <c r="AC210" s="78"/>
      <c r="AD210" s="78"/>
      <c r="AE210" s="78"/>
    </row>
    <row r="211" spans="1:31" ht="12.75">
      <c r="A211"/>
      <c r="B211"/>
      <c r="C211"/>
      <c r="D211"/>
      <c r="E211"/>
      <c r="F211"/>
      <c r="G211"/>
      <c r="H211"/>
      <c r="I211"/>
      <c r="J211"/>
      <c r="K211" s="100">
        <f t="shared" si="31"/>
        <v>0</v>
      </c>
      <c r="L211" s="95"/>
      <c r="M211" s="90">
        <f t="shared" si="25"/>
        <v>0</v>
      </c>
      <c r="N211" s="56">
        <v>0</v>
      </c>
      <c r="O211" s="44">
        <f t="shared" si="26"/>
        <v>0</v>
      </c>
      <c r="P211" s="44"/>
      <c r="Q211" s="44"/>
      <c r="R211" s="44"/>
      <c r="S211" s="44">
        <f t="shared" si="32"/>
        <v>0</v>
      </c>
      <c r="T211" s="44">
        <f t="shared" si="27"/>
        <v>0</v>
      </c>
      <c r="U211">
        <v>0</v>
      </c>
      <c r="V211" s="43">
        <v>0</v>
      </c>
      <c r="W211" s="44">
        <f t="shared" si="28"/>
        <v>0</v>
      </c>
      <c r="X211" s="44">
        <f t="shared" si="29"/>
        <v>0</v>
      </c>
      <c r="Y211" s="44">
        <f t="shared" si="30"/>
        <v>0</v>
      </c>
      <c r="Z211" s="84"/>
      <c r="AA211" s="78"/>
      <c r="AB211" s="78"/>
      <c r="AC211" s="78"/>
      <c r="AD211" s="78"/>
      <c r="AE211" s="78"/>
    </row>
    <row r="212" spans="1:31" ht="12.75">
      <c r="A212"/>
      <c r="B212"/>
      <c r="C212"/>
      <c r="D212"/>
      <c r="E212"/>
      <c r="F212"/>
      <c r="G212"/>
      <c r="H212"/>
      <c r="I212"/>
      <c r="J212"/>
      <c r="K212" s="100">
        <f t="shared" si="31"/>
        <v>0</v>
      </c>
      <c r="L212" s="95"/>
      <c r="M212" s="90">
        <f t="shared" si="25"/>
        <v>0</v>
      </c>
      <c r="N212" s="56">
        <v>0</v>
      </c>
      <c r="O212" s="44">
        <f t="shared" si="26"/>
        <v>0</v>
      </c>
      <c r="P212" s="44"/>
      <c r="Q212" s="44"/>
      <c r="R212" s="44"/>
      <c r="S212" s="44">
        <f t="shared" si="32"/>
        <v>0</v>
      </c>
      <c r="T212" s="44">
        <f t="shared" si="27"/>
        <v>0</v>
      </c>
      <c r="U212">
        <v>0</v>
      </c>
      <c r="V212" s="43">
        <v>0</v>
      </c>
      <c r="W212" s="44">
        <f t="shared" si="28"/>
        <v>0</v>
      </c>
      <c r="X212" s="44">
        <f t="shared" si="29"/>
        <v>0</v>
      </c>
      <c r="Y212" s="44">
        <f t="shared" si="30"/>
        <v>0</v>
      </c>
      <c r="Z212" s="84"/>
      <c r="AA212" s="78"/>
      <c r="AB212" s="78"/>
      <c r="AC212" s="78"/>
      <c r="AD212" s="78"/>
      <c r="AE212" s="78"/>
    </row>
    <row r="213" spans="1:31" ht="12.75">
      <c r="A213"/>
      <c r="B213"/>
      <c r="C213"/>
      <c r="D213"/>
      <c r="E213"/>
      <c r="F213"/>
      <c r="G213"/>
      <c r="H213"/>
      <c r="I213"/>
      <c r="J213"/>
      <c r="K213" s="100">
        <f t="shared" si="31"/>
        <v>0</v>
      </c>
      <c r="L213" s="95"/>
      <c r="M213" s="90">
        <f t="shared" si="25"/>
        <v>0</v>
      </c>
      <c r="N213" s="56">
        <v>0</v>
      </c>
      <c r="O213" s="44">
        <f t="shared" si="26"/>
        <v>0</v>
      </c>
      <c r="P213" s="44"/>
      <c r="Q213" s="44"/>
      <c r="R213" s="44"/>
      <c r="S213" s="44">
        <f t="shared" si="32"/>
        <v>0</v>
      </c>
      <c r="T213" s="44">
        <f t="shared" si="27"/>
        <v>0</v>
      </c>
      <c r="U213">
        <v>0</v>
      </c>
      <c r="V213" s="43">
        <v>0</v>
      </c>
      <c r="W213" s="44">
        <f t="shared" si="28"/>
        <v>0</v>
      </c>
      <c r="X213" s="44">
        <f t="shared" si="29"/>
        <v>0</v>
      </c>
      <c r="Y213" s="44">
        <f t="shared" si="30"/>
        <v>0</v>
      </c>
      <c r="Z213" s="84"/>
      <c r="AA213" s="78"/>
      <c r="AB213" s="78"/>
      <c r="AC213" s="78"/>
      <c r="AD213" s="78"/>
      <c r="AE213" s="78"/>
    </row>
    <row r="214" spans="1:31" ht="12.75">
      <c r="A214"/>
      <c r="B214"/>
      <c r="C214"/>
      <c r="D214"/>
      <c r="E214"/>
      <c r="F214"/>
      <c r="G214"/>
      <c r="H214"/>
      <c r="I214"/>
      <c r="J214"/>
      <c r="K214" s="100">
        <f t="shared" si="31"/>
        <v>0</v>
      </c>
      <c r="L214" s="95"/>
      <c r="M214" s="90">
        <f t="shared" si="25"/>
        <v>0</v>
      </c>
      <c r="N214" s="56">
        <v>0</v>
      </c>
      <c r="O214" s="44">
        <f t="shared" si="26"/>
        <v>0</v>
      </c>
      <c r="P214" s="44"/>
      <c r="Q214" s="44"/>
      <c r="R214" s="44"/>
      <c r="S214" s="44">
        <f t="shared" si="32"/>
        <v>0</v>
      </c>
      <c r="T214" s="44">
        <f t="shared" si="27"/>
        <v>0</v>
      </c>
      <c r="U214">
        <v>0</v>
      </c>
      <c r="V214" s="43">
        <v>0</v>
      </c>
      <c r="W214" s="44">
        <f t="shared" si="28"/>
        <v>0</v>
      </c>
      <c r="X214" s="44">
        <f t="shared" si="29"/>
        <v>0</v>
      </c>
      <c r="Y214" s="44">
        <f t="shared" si="30"/>
        <v>0</v>
      </c>
      <c r="Z214" s="84"/>
      <c r="AA214" s="78"/>
      <c r="AB214" s="78"/>
      <c r="AC214" s="78"/>
      <c r="AD214" s="78"/>
      <c r="AE214" s="78"/>
    </row>
    <row r="215" spans="1:31" ht="12.75">
      <c r="A215"/>
      <c r="B215"/>
      <c r="C215"/>
      <c r="D215"/>
      <c r="E215"/>
      <c r="F215"/>
      <c r="G215"/>
      <c r="H215"/>
      <c r="I215"/>
      <c r="J215"/>
      <c r="K215" s="100">
        <f t="shared" si="31"/>
        <v>0</v>
      </c>
      <c r="L215" s="95"/>
      <c r="M215" s="90">
        <f t="shared" si="25"/>
        <v>0</v>
      </c>
      <c r="N215" s="56">
        <v>0</v>
      </c>
      <c r="O215" s="44">
        <f t="shared" si="26"/>
        <v>0</v>
      </c>
      <c r="P215" s="44"/>
      <c r="Q215" s="44"/>
      <c r="R215" s="44"/>
      <c r="S215" s="44">
        <f t="shared" si="32"/>
        <v>0</v>
      </c>
      <c r="T215" s="44">
        <f t="shared" si="27"/>
        <v>0</v>
      </c>
      <c r="U215">
        <v>0</v>
      </c>
      <c r="V215" s="43">
        <v>0</v>
      </c>
      <c r="W215" s="44">
        <f t="shared" si="28"/>
        <v>0</v>
      </c>
      <c r="X215" s="44">
        <f t="shared" si="29"/>
        <v>0</v>
      </c>
      <c r="Y215" s="44">
        <f t="shared" si="30"/>
        <v>0</v>
      </c>
      <c r="Z215" s="84"/>
      <c r="AA215" s="78"/>
      <c r="AB215" s="78"/>
      <c r="AC215" s="78"/>
      <c r="AD215" s="78"/>
      <c r="AE215" s="78"/>
    </row>
    <row r="216" spans="1:31" ht="12.75">
      <c r="A216"/>
      <c r="B216"/>
      <c r="C216"/>
      <c r="D216"/>
      <c r="E216"/>
      <c r="F216"/>
      <c r="G216"/>
      <c r="H216"/>
      <c r="I216"/>
      <c r="J216"/>
      <c r="K216" s="100">
        <f t="shared" si="31"/>
        <v>0</v>
      </c>
      <c r="L216" s="95"/>
      <c r="M216" s="90">
        <f t="shared" si="25"/>
        <v>0</v>
      </c>
      <c r="N216" s="56">
        <v>0</v>
      </c>
      <c r="O216" s="44">
        <f t="shared" si="26"/>
        <v>0</v>
      </c>
      <c r="P216" s="44"/>
      <c r="Q216" s="44"/>
      <c r="R216" s="44"/>
      <c r="S216" s="44">
        <f t="shared" si="32"/>
        <v>0</v>
      </c>
      <c r="T216" s="44">
        <f t="shared" si="27"/>
        <v>0</v>
      </c>
      <c r="U216">
        <v>0</v>
      </c>
      <c r="V216" s="43">
        <v>0</v>
      </c>
      <c r="W216" s="44">
        <f t="shared" si="28"/>
        <v>0</v>
      </c>
      <c r="X216" s="44">
        <f t="shared" si="29"/>
        <v>0</v>
      </c>
      <c r="Y216" s="44">
        <f t="shared" si="30"/>
        <v>0</v>
      </c>
      <c r="Z216" s="84"/>
      <c r="AA216" s="78"/>
      <c r="AB216" s="78"/>
      <c r="AC216" s="78"/>
      <c r="AD216" s="78"/>
      <c r="AE216" s="78"/>
    </row>
    <row r="217" spans="1:31" ht="12.75">
      <c r="A217"/>
      <c r="B217"/>
      <c r="C217"/>
      <c r="D217"/>
      <c r="E217"/>
      <c r="F217"/>
      <c r="G217"/>
      <c r="H217"/>
      <c r="I217"/>
      <c r="J217"/>
      <c r="K217" s="100">
        <f t="shared" si="31"/>
        <v>0</v>
      </c>
      <c r="L217" s="95"/>
      <c r="M217" s="90">
        <f t="shared" si="25"/>
        <v>0</v>
      </c>
      <c r="N217" s="56">
        <v>0</v>
      </c>
      <c r="O217" s="44">
        <f t="shared" si="26"/>
        <v>0</v>
      </c>
      <c r="P217" s="44"/>
      <c r="Q217" s="44"/>
      <c r="R217" s="44"/>
      <c r="S217" s="44">
        <f t="shared" si="32"/>
        <v>0</v>
      </c>
      <c r="T217" s="44">
        <f t="shared" si="27"/>
        <v>0</v>
      </c>
      <c r="U217">
        <v>0</v>
      </c>
      <c r="V217" s="43">
        <v>0</v>
      </c>
      <c r="W217" s="44">
        <f t="shared" si="28"/>
        <v>0</v>
      </c>
      <c r="X217" s="44">
        <f t="shared" si="29"/>
        <v>0</v>
      </c>
      <c r="Y217" s="44">
        <f t="shared" si="30"/>
        <v>0</v>
      </c>
      <c r="Z217" s="84"/>
      <c r="AA217" s="78"/>
      <c r="AB217" s="78"/>
      <c r="AC217" s="78"/>
      <c r="AD217" s="78"/>
      <c r="AE217" s="78"/>
    </row>
    <row r="218" spans="1:31" ht="12.75">
      <c r="A218"/>
      <c r="B218"/>
      <c r="C218"/>
      <c r="D218"/>
      <c r="E218"/>
      <c r="F218"/>
      <c r="G218"/>
      <c r="H218"/>
      <c r="I218"/>
      <c r="J218"/>
      <c r="K218" s="100">
        <f t="shared" si="31"/>
        <v>0</v>
      </c>
      <c r="L218" s="95"/>
      <c r="M218" s="90">
        <f t="shared" si="25"/>
        <v>0</v>
      </c>
      <c r="N218" s="56">
        <v>0</v>
      </c>
      <c r="O218" s="44">
        <f t="shared" si="26"/>
        <v>0</v>
      </c>
      <c r="P218" s="44"/>
      <c r="Q218" s="44"/>
      <c r="R218" s="44"/>
      <c r="S218" s="44">
        <f t="shared" si="32"/>
        <v>0</v>
      </c>
      <c r="T218" s="44">
        <f t="shared" si="27"/>
        <v>0</v>
      </c>
      <c r="U218">
        <v>0</v>
      </c>
      <c r="V218" s="43">
        <v>0</v>
      </c>
      <c r="W218" s="44">
        <f t="shared" si="28"/>
        <v>0</v>
      </c>
      <c r="X218" s="44">
        <f t="shared" si="29"/>
        <v>0</v>
      </c>
      <c r="Y218" s="44">
        <f t="shared" si="30"/>
        <v>0</v>
      </c>
      <c r="Z218" s="84"/>
      <c r="AA218" s="78"/>
      <c r="AB218" s="78"/>
      <c r="AC218" s="78"/>
      <c r="AD218" s="78"/>
      <c r="AE218" s="78"/>
    </row>
    <row r="219" spans="1:31" ht="12.75">
      <c r="A219"/>
      <c r="B219"/>
      <c r="C219"/>
      <c r="D219"/>
      <c r="E219"/>
      <c r="F219"/>
      <c r="G219"/>
      <c r="H219"/>
      <c r="I219"/>
      <c r="J219"/>
      <c r="K219" s="100">
        <f t="shared" si="31"/>
        <v>0</v>
      </c>
      <c r="L219" s="95"/>
      <c r="M219" s="90">
        <f t="shared" si="25"/>
        <v>0</v>
      </c>
      <c r="N219" s="56">
        <v>0</v>
      </c>
      <c r="O219" s="44">
        <f t="shared" si="26"/>
        <v>0</v>
      </c>
      <c r="P219" s="44"/>
      <c r="Q219" s="44"/>
      <c r="R219" s="44"/>
      <c r="S219" s="44">
        <f t="shared" si="32"/>
        <v>0</v>
      </c>
      <c r="T219" s="44">
        <f t="shared" si="27"/>
        <v>0</v>
      </c>
      <c r="U219">
        <v>0</v>
      </c>
      <c r="V219" s="43">
        <v>0</v>
      </c>
      <c r="W219" s="44">
        <f t="shared" si="28"/>
        <v>0</v>
      </c>
      <c r="X219" s="44">
        <f t="shared" si="29"/>
        <v>0</v>
      </c>
      <c r="Y219" s="44">
        <f t="shared" si="30"/>
        <v>0</v>
      </c>
      <c r="Z219" s="84"/>
      <c r="AA219" s="78"/>
      <c r="AB219" s="78"/>
      <c r="AC219" s="78"/>
      <c r="AD219" s="78"/>
      <c r="AE219" s="78"/>
    </row>
    <row r="220" spans="1:31" ht="12.75">
      <c r="A220"/>
      <c r="B220"/>
      <c r="C220"/>
      <c r="D220"/>
      <c r="E220"/>
      <c r="F220"/>
      <c r="G220"/>
      <c r="H220"/>
      <c r="I220"/>
      <c r="J220"/>
      <c r="K220" s="100">
        <f t="shared" si="31"/>
        <v>0</v>
      </c>
      <c r="L220" s="95"/>
      <c r="M220" s="90">
        <f t="shared" si="25"/>
        <v>0</v>
      </c>
      <c r="N220" s="56">
        <v>0</v>
      </c>
      <c r="O220" s="44">
        <f t="shared" si="26"/>
        <v>0</v>
      </c>
      <c r="P220" s="44"/>
      <c r="Q220" s="44"/>
      <c r="R220" s="44"/>
      <c r="S220" s="44">
        <f t="shared" si="32"/>
        <v>0</v>
      </c>
      <c r="T220" s="44">
        <f t="shared" si="27"/>
        <v>0</v>
      </c>
      <c r="U220">
        <v>0</v>
      </c>
      <c r="V220" s="43">
        <v>0</v>
      </c>
      <c r="W220" s="44">
        <f t="shared" si="28"/>
        <v>0</v>
      </c>
      <c r="X220" s="44">
        <f t="shared" si="29"/>
        <v>0</v>
      </c>
      <c r="Y220" s="44">
        <f t="shared" si="30"/>
        <v>0</v>
      </c>
      <c r="Z220" s="84"/>
      <c r="AA220" s="78"/>
      <c r="AB220" s="78"/>
      <c r="AC220" s="78"/>
      <c r="AD220" s="78"/>
      <c r="AE220" s="78"/>
    </row>
    <row r="221" spans="1:31" ht="12.75">
      <c r="A221"/>
      <c r="B221"/>
      <c r="C221"/>
      <c r="D221"/>
      <c r="E221"/>
      <c r="F221"/>
      <c r="G221"/>
      <c r="H221"/>
      <c r="I221"/>
      <c r="J221"/>
      <c r="K221" s="100">
        <f t="shared" si="31"/>
        <v>0</v>
      </c>
      <c r="L221" s="95"/>
      <c r="M221" s="90">
        <f t="shared" si="25"/>
        <v>0</v>
      </c>
      <c r="N221" s="56">
        <v>0</v>
      </c>
      <c r="O221" s="44">
        <f t="shared" si="26"/>
        <v>0</v>
      </c>
      <c r="P221" s="44"/>
      <c r="Q221" s="44"/>
      <c r="R221" s="44"/>
      <c r="S221" s="44">
        <f t="shared" si="32"/>
        <v>0</v>
      </c>
      <c r="T221" s="44">
        <f t="shared" si="27"/>
        <v>0</v>
      </c>
      <c r="U221">
        <v>0</v>
      </c>
      <c r="V221" s="43">
        <v>0</v>
      </c>
      <c r="W221" s="44">
        <f t="shared" si="28"/>
        <v>0</v>
      </c>
      <c r="X221" s="44">
        <f t="shared" si="29"/>
        <v>0</v>
      </c>
      <c r="Y221" s="44">
        <f t="shared" si="30"/>
        <v>0</v>
      </c>
      <c r="Z221" s="84"/>
      <c r="AA221" s="78"/>
      <c r="AB221" s="78"/>
      <c r="AC221" s="78"/>
      <c r="AD221" s="78"/>
      <c r="AE221" s="78"/>
    </row>
    <row r="222" spans="1:31" ht="12.75">
      <c r="A222"/>
      <c r="B222"/>
      <c r="C222"/>
      <c r="D222"/>
      <c r="E222"/>
      <c r="F222"/>
      <c r="G222"/>
      <c r="H222"/>
      <c r="I222"/>
      <c r="J222"/>
      <c r="K222" s="100">
        <f t="shared" si="31"/>
        <v>0</v>
      </c>
      <c r="L222" s="95"/>
      <c r="M222" s="90">
        <f t="shared" si="25"/>
        <v>0</v>
      </c>
      <c r="N222" s="56">
        <v>0</v>
      </c>
      <c r="O222" s="44">
        <f t="shared" si="26"/>
        <v>0</v>
      </c>
      <c r="P222" s="44"/>
      <c r="Q222" s="44"/>
      <c r="R222" s="44"/>
      <c r="S222" s="44">
        <f t="shared" si="32"/>
        <v>0</v>
      </c>
      <c r="T222" s="44">
        <f t="shared" si="27"/>
        <v>0</v>
      </c>
      <c r="U222">
        <v>0</v>
      </c>
      <c r="V222" s="43">
        <v>0</v>
      </c>
      <c r="W222" s="44">
        <f t="shared" si="28"/>
        <v>0</v>
      </c>
      <c r="X222" s="44">
        <f t="shared" si="29"/>
        <v>0</v>
      </c>
      <c r="Y222" s="44">
        <f t="shared" si="30"/>
        <v>0</v>
      </c>
      <c r="Z222" s="84"/>
      <c r="AA222" s="78"/>
      <c r="AB222" s="78"/>
      <c r="AC222" s="78"/>
      <c r="AD222" s="78"/>
      <c r="AE222" s="78"/>
    </row>
    <row r="223" spans="1:31" ht="12.75">
      <c r="A223"/>
      <c r="B223"/>
      <c r="C223"/>
      <c r="D223"/>
      <c r="E223"/>
      <c r="F223"/>
      <c r="G223"/>
      <c r="H223"/>
      <c r="I223"/>
      <c r="J223"/>
      <c r="K223" s="100">
        <f t="shared" si="31"/>
        <v>0</v>
      </c>
      <c r="L223" s="95"/>
      <c r="M223" s="90">
        <f t="shared" si="25"/>
        <v>0</v>
      </c>
      <c r="N223" s="56">
        <v>0</v>
      </c>
      <c r="O223" s="44">
        <f t="shared" si="26"/>
        <v>0</v>
      </c>
      <c r="P223" s="44"/>
      <c r="Q223" s="44"/>
      <c r="R223" s="44"/>
      <c r="S223" s="44">
        <f t="shared" si="32"/>
        <v>0</v>
      </c>
      <c r="T223" s="44">
        <f t="shared" si="27"/>
        <v>0</v>
      </c>
      <c r="U223">
        <v>0</v>
      </c>
      <c r="V223" s="43">
        <v>0</v>
      </c>
      <c r="W223" s="44">
        <f t="shared" si="28"/>
        <v>0</v>
      </c>
      <c r="X223" s="44">
        <f t="shared" si="29"/>
        <v>0</v>
      </c>
      <c r="Y223" s="44">
        <f t="shared" si="30"/>
        <v>0</v>
      </c>
      <c r="Z223" s="84"/>
      <c r="AA223" s="78"/>
      <c r="AB223" s="78"/>
      <c r="AC223" s="78"/>
      <c r="AD223" s="78"/>
      <c r="AE223" s="78"/>
    </row>
    <row r="224" spans="1:31" ht="12.75">
      <c r="A224"/>
      <c r="B224"/>
      <c r="C224"/>
      <c r="D224"/>
      <c r="E224"/>
      <c r="F224"/>
      <c r="G224"/>
      <c r="H224"/>
      <c r="I224"/>
      <c r="J224"/>
      <c r="K224" s="100">
        <f t="shared" si="31"/>
        <v>0</v>
      </c>
      <c r="L224" s="95"/>
      <c r="M224" s="90">
        <f t="shared" si="25"/>
        <v>0</v>
      </c>
      <c r="N224" s="56">
        <v>0</v>
      </c>
      <c r="O224" s="44">
        <f t="shared" si="26"/>
        <v>0</v>
      </c>
      <c r="P224" s="44"/>
      <c r="Q224" s="44"/>
      <c r="R224" s="44"/>
      <c r="S224" s="44">
        <f t="shared" si="32"/>
        <v>0</v>
      </c>
      <c r="T224" s="44">
        <f t="shared" si="27"/>
        <v>0</v>
      </c>
      <c r="U224">
        <v>0</v>
      </c>
      <c r="V224" s="43">
        <v>0</v>
      </c>
      <c r="W224" s="44">
        <f t="shared" si="28"/>
        <v>0</v>
      </c>
      <c r="X224" s="44">
        <f t="shared" si="29"/>
        <v>0</v>
      </c>
      <c r="Y224" s="44">
        <f t="shared" si="30"/>
        <v>0</v>
      </c>
      <c r="Z224" s="84"/>
      <c r="AA224" s="78"/>
      <c r="AB224" s="78"/>
      <c r="AC224" s="78"/>
      <c r="AD224" s="78"/>
      <c r="AE224" s="78"/>
    </row>
    <row r="225" spans="1:31" ht="12.75">
      <c r="A225"/>
      <c r="B225"/>
      <c r="C225"/>
      <c r="D225"/>
      <c r="E225"/>
      <c r="F225"/>
      <c r="G225"/>
      <c r="H225"/>
      <c r="I225"/>
      <c r="J225"/>
      <c r="K225" s="100">
        <f t="shared" si="31"/>
        <v>0</v>
      </c>
      <c r="L225" s="95"/>
      <c r="M225" s="90">
        <f t="shared" si="25"/>
        <v>0</v>
      </c>
      <c r="N225" s="56">
        <v>0</v>
      </c>
      <c r="O225" s="44">
        <f t="shared" si="26"/>
        <v>0</v>
      </c>
      <c r="P225" s="44"/>
      <c r="Q225" s="44"/>
      <c r="R225" s="44"/>
      <c r="S225" s="44">
        <f t="shared" si="32"/>
        <v>0</v>
      </c>
      <c r="T225" s="44">
        <f t="shared" si="27"/>
        <v>0</v>
      </c>
      <c r="U225">
        <v>0</v>
      </c>
      <c r="V225" s="43">
        <v>0</v>
      </c>
      <c r="W225" s="44">
        <f t="shared" si="28"/>
        <v>0</v>
      </c>
      <c r="X225" s="44">
        <f t="shared" si="29"/>
        <v>0</v>
      </c>
      <c r="Y225" s="44">
        <f t="shared" si="30"/>
        <v>0</v>
      </c>
      <c r="Z225" s="84"/>
      <c r="AA225" s="78"/>
      <c r="AB225" s="78"/>
      <c r="AC225" s="78"/>
      <c r="AD225" s="78"/>
      <c r="AE225" s="78"/>
    </row>
    <row r="226" spans="1:31" ht="12.75">
      <c r="A226"/>
      <c r="B226"/>
      <c r="C226"/>
      <c r="D226"/>
      <c r="E226"/>
      <c r="F226"/>
      <c r="G226"/>
      <c r="H226"/>
      <c r="I226"/>
      <c r="J226"/>
      <c r="K226" s="100">
        <f t="shared" si="31"/>
        <v>0</v>
      </c>
      <c r="L226" s="95"/>
      <c r="M226" s="90">
        <f t="shared" si="25"/>
        <v>0</v>
      </c>
      <c r="N226" s="56">
        <v>0</v>
      </c>
      <c r="O226" s="44">
        <f t="shared" si="26"/>
        <v>0</v>
      </c>
      <c r="P226" s="44"/>
      <c r="Q226" s="44"/>
      <c r="R226" s="44"/>
      <c r="S226" s="44">
        <f t="shared" si="32"/>
        <v>0</v>
      </c>
      <c r="T226" s="44">
        <f t="shared" si="27"/>
        <v>0</v>
      </c>
      <c r="U226">
        <v>0</v>
      </c>
      <c r="V226" s="43">
        <v>0</v>
      </c>
      <c r="W226" s="44">
        <f t="shared" si="28"/>
        <v>0</v>
      </c>
      <c r="X226" s="44">
        <f t="shared" si="29"/>
        <v>0</v>
      </c>
      <c r="Y226" s="44">
        <f t="shared" si="30"/>
        <v>0</v>
      </c>
      <c r="Z226" s="84"/>
      <c r="AA226" s="78"/>
      <c r="AB226" s="78"/>
      <c r="AC226" s="78"/>
      <c r="AD226" s="78"/>
      <c r="AE226" s="78"/>
    </row>
    <row r="227" spans="1:31" ht="12.75">
      <c r="A227"/>
      <c r="B227"/>
      <c r="C227"/>
      <c r="D227"/>
      <c r="E227"/>
      <c r="F227"/>
      <c r="G227"/>
      <c r="H227"/>
      <c r="I227"/>
      <c r="J227"/>
      <c r="K227" s="100">
        <f t="shared" si="31"/>
        <v>0</v>
      </c>
      <c r="L227" s="95"/>
      <c r="M227" s="90">
        <f t="shared" si="25"/>
        <v>0</v>
      </c>
      <c r="N227" s="56">
        <v>0</v>
      </c>
      <c r="O227" s="44">
        <f t="shared" si="26"/>
        <v>0</v>
      </c>
      <c r="P227" s="44"/>
      <c r="Q227" s="44"/>
      <c r="R227" s="44"/>
      <c r="S227" s="44">
        <f t="shared" si="32"/>
        <v>0</v>
      </c>
      <c r="T227" s="44">
        <f t="shared" si="27"/>
        <v>0</v>
      </c>
      <c r="U227">
        <v>0</v>
      </c>
      <c r="V227" s="43">
        <v>0</v>
      </c>
      <c r="W227" s="44">
        <f t="shared" si="28"/>
        <v>0</v>
      </c>
      <c r="X227" s="44">
        <f t="shared" si="29"/>
        <v>0</v>
      </c>
      <c r="Y227" s="44">
        <f t="shared" si="30"/>
        <v>0</v>
      </c>
      <c r="Z227" s="84"/>
      <c r="AA227" s="78"/>
      <c r="AB227" s="78"/>
      <c r="AC227" s="78"/>
      <c r="AD227" s="78"/>
      <c r="AE227" s="78"/>
    </row>
    <row r="228" spans="1:31" ht="12.75">
      <c r="A228"/>
      <c r="B228"/>
      <c r="C228"/>
      <c r="D228"/>
      <c r="E228"/>
      <c r="F228"/>
      <c r="G228"/>
      <c r="H228"/>
      <c r="I228"/>
      <c r="J228"/>
      <c r="K228" s="100">
        <f t="shared" si="31"/>
        <v>0</v>
      </c>
      <c r="L228" s="95"/>
      <c r="M228" s="90">
        <f t="shared" si="25"/>
        <v>0</v>
      </c>
      <c r="N228" s="56">
        <v>0</v>
      </c>
      <c r="O228" s="44">
        <f t="shared" si="26"/>
        <v>0</v>
      </c>
      <c r="P228" s="44"/>
      <c r="Q228" s="44"/>
      <c r="R228" s="44"/>
      <c r="S228" s="44">
        <f t="shared" si="32"/>
        <v>0</v>
      </c>
      <c r="T228" s="44">
        <f t="shared" si="27"/>
        <v>0</v>
      </c>
      <c r="U228">
        <v>0</v>
      </c>
      <c r="V228" s="43">
        <v>0</v>
      </c>
      <c r="W228" s="44">
        <f t="shared" si="28"/>
        <v>0</v>
      </c>
      <c r="X228" s="44">
        <f t="shared" si="29"/>
        <v>0</v>
      </c>
      <c r="Y228" s="44">
        <f t="shared" si="30"/>
        <v>0</v>
      </c>
      <c r="Z228" s="84"/>
      <c r="AA228" s="78"/>
      <c r="AB228" s="78"/>
      <c r="AC228" s="78"/>
      <c r="AD228" s="78"/>
      <c r="AE228" s="78"/>
    </row>
    <row r="229" spans="1:31" ht="12.75">
      <c r="A229"/>
      <c r="B229"/>
      <c r="C229"/>
      <c r="D229"/>
      <c r="E229"/>
      <c r="F229"/>
      <c r="G229"/>
      <c r="H229"/>
      <c r="I229"/>
      <c r="J229"/>
      <c r="K229" s="100">
        <f t="shared" si="31"/>
        <v>0</v>
      </c>
      <c r="L229" s="95"/>
      <c r="M229" s="90">
        <f t="shared" si="25"/>
        <v>0</v>
      </c>
      <c r="N229" s="56">
        <v>0</v>
      </c>
      <c r="O229" s="44">
        <f t="shared" si="26"/>
        <v>0</v>
      </c>
      <c r="P229" s="44"/>
      <c r="Q229" s="44"/>
      <c r="R229" s="44"/>
      <c r="S229" s="44">
        <f t="shared" si="32"/>
        <v>0</v>
      </c>
      <c r="T229" s="44">
        <f t="shared" si="27"/>
        <v>0</v>
      </c>
      <c r="U229">
        <v>0</v>
      </c>
      <c r="V229" s="43">
        <v>0</v>
      </c>
      <c r="W229" s="44">
        <f t="shared" si="28"/>
        <v>0</v>
      </c>
      <c r="X229" s="44">
        <f t="shared" si="29"/>
        <v>0</v>
      </c>
      <c r="Y229" s="44">
        <f t="shared" si="30"/>
        <v>0</v>
      </c>
      <c r="Z229" s="84"/>
      <c r="AA229" s="78"/>
      <c r="AB229" s="78"/>
      <c r="AC229" s="78"/>
      <c r="AD229" s="78"/>
      <c r="AE229" s="78"/>
    </row>
    <row r="230" spans="1:31" ht="12.75">
      <c r="A230"/>
      <c r="B230"/>
      <c r="C230"/>
      <c r="D230"/>
      <c r="E230"/>
      <c r="F230"/>
      <c r="G230"/>
      <c r="H230"/>
      <c r="I230"/>
      <c r="J230"/>
      <c r="K230" s="100">
        <f t="shared" si="31"/>
        <v>0</v>
      </c>
      <c r="L230" s="95"/>
      <c r="M230" s="90">
        <f t="shared" si="25"/>
        <v>0</v>
      </c>
      <c r="N230" s="56">
        <v>0</v>
      </c>
      <c r="O230" s="44">
        <f t="shared" si="26"/>
        <v>0</v>
      </c>
      <c r="P230" s="44"/>
      <c r="Q230" s="44"/>
      <c r="R230" s="44"/>
      <c r="S230" s="44">
        <f t="shared" si="32"/>
        <v>0</v>
      </c>
      <c r="T230" s="44">
        <f t="shared" si="27"/>
        <v>0</v>
      </c>
      <c r="U230">
        <v>0</v>
      </c>
      <c r="V230" s="43">
        <v>0</v>
      </c>
      <c r="W230" s="44">
        <f t="shared" si="28"/>
        <v>0</v>
      </c>
      <c r="X230" s="44">
        <f t="shared" si="29"/>
        <v>0</v>
      </c>
      <c r="Y230" s="44">
        <f t="shared" si="30"/>
        <v>0</v>
      </c>
      <c r="Z230" s="84"/>
      <c r="AA230" s="78"/>
      <c r="AB230" s="78"/>
      <c r="AC230" s="78"/>
      <c r="AD230" s="78"/>
      <c r="AE230" s="78"/>
    </row>
    <row r="231" spans="1:31" ht="12.75">
      <c r="A231"/>
      <c r="B231"/>
      <c r="C231"/>
      <c r="D231"/>
      <c r="E231"/>
      <c r="F231"/>
      <c r="G231"/>
      <c r="H231"/>
      <c r="I231"/>
      <c r="J231"/>
      <c r="K231" s="100">
        <f t="shared" si="31"/>
        <v>0</v>
      </c>
      <c r="L231" s="95"/>
      <c r="M231" s="90">
        <f t="shared" si="25"/>
        <v>0</v>
      </c>
      <c r="N231" s="56">
        <v>0</v>
      </c>
      <c r="O231" s="44">
        <f t="shared" si="26"/>
        <v>0</v>
      </c>
      <c r="P231" s="44"/>
      <c r="Q231" s="44"/>
      <c r="R231" s="44"/>
      <c r="S231" s="44">
        <f t="shared" si="32"/>
        <v>0</v>
      </c>
      <c r="T231" s="44">
        <f t="shared" si="27"/>
        <v>0</v>
      </c>
      <c r="U231">
        <v>0</v>
      </c>
      <c r="V231" s="43">
        <v>0</v>
      </c>
      <c r="W231" s="44">
        <f t="shared" si="28"/>
        <v>0</v>
      </c>
      <c r="X231" s="44">
        <f t="shared" si="29"/>
        <v>0</v>
      </c>
      <c r="Y231" s="44">
        <f t="shared" si="30"/>
        <v>0</v>
      </c>
      <c r="Z231" s="84"/>
      <c r="AA231" s="78"/>
      <c r="AB231" s="78"/>
      <c r="AC231" s="78"/>
      <c r="AD231" s="78"/>
      <c r="AE231" s="78"/>
    </row>
    <row r="232" spans="1:31" ht="12.75">
      <c r="A232"/>
      <c r="B232"/>
      <c r="C232"/>
      <c r="D232"/>
      <c r="E232"/>
      <c r="F232"/>
      <c r="G232"/>
      <c r="H232"/>
      <c r="I232"/>
      <c r="J232"/>
      <c r="K232" s="100">
        <f t="shared" si="31"/>
        <v>0</v>
      </c>
      <c r="L232" s="95"/>
      <c r="M232" s="90">
        <f t="shared" si="25"/>
        <v>0</v>
      </c>
      <c r="N232" s="56">
        <v>0</v>
      </c>
      <c r="O232" s="44">
        <f t="shared" si="26"/>
        <v>0</v>
      </c>
      <c r="P232" s="44"/>
      <c r="Q232" s="44"/>
      <c r="R232" s="44"/>
      <c r="S232" s="44">
        <f t="shared" si="32"/>
        <v>0</v>
      </c>
      <c r="T232" s="44">
        <f t="shared" si="27"/>
        <v>0</v>
      </c>
      <c r="U232">
        <v>0</v>
      </c>
      <c r="V232" s="43">
        <v>0</v>
      </c>
      <c r="W232" s="44">
        <f t="shared" si="28"/>
        <v>0</v>
      </c>
      <c r="X232" s="44">
        <f t="shared" si="29"/>
        <v>0</v>
      </c>
      <c r="Y232" s="44">
        <f t="shared" si="30"/>
        <v>0</v>
      </c>
      <c r="Z232" s="84"/>
      <c r="AA232" s="78"/>
      <c r="AB232" s="78"/>
      <c r="AC232" s="78"/>
      <c r="AD232" s="78"/>
      <c r="AE232" s="78"/>
    </row>
    <row r="233" spans="1:31" ht="12.75">
      <c r="A233"/>
      <c r="B233"/>
      <c r="C233"/>
      <c r="D233"/>
      <c r="E233"/>
      <c r="F233"/>
      <c r="G233"/>
      <c r="H233"/>
      <c r="I233"/>
      <c r="J233"/>
      <c r="K233" s="100">
        <f t="shared" si="31"/>
        <v>0</v>
      </c>
      <c r="L233" s="95"/>
      <c r="M233" s="90">
        <f t="shared" si="25"/>
        <v>0</v>
      </c>
      <c r="N233" s="56">
        <v>0</v>
      </c>
      <c r="O233" s="44">
        <f t="shared" si="26"/>
        <v>0</v>
      </c>
      <c r="P233" s="44"/>
      <c r="Q233" s="44"/>
      <c r="R233" s="44"/>
      <c r="S233" s="44">
        <f t="shared" si="32"/>
        <v>0</v>
      </c>
      <c r="T233" s="44">
        <f t="shared" si="27"/>
        <v>0</v>
      </c>
      <c r="U233">
        <v>0</v>
      </c>
      <c r="V233" s="43">
        <v>0</v>
      </c>
      <c r="W233" s="44">
        <f t="shared" si="28"/>
        <v>0</v>
      </c>
      <c r="X233" s="44">
        <f t="shared" si="29"/>
        <v>0</v>
      </c>
      <c r="Y233" s="44">
        <f t="shared" si="30"/>
        <v>0</v>
      </c>
      <c r="Z233" s="84"/>
      <c r="AA233" s="78"/>
      <c r="AB233" s="78"/>
      <c r="AC233" s="78"/>
      <c r="AD233" s="78"/>
      <c r="AE233" s="78"/>
    </row>
    <row r="234" spans="1:31" ht="12.75">
      <c r="A234"/>
      <c r="B234"/>
      <c r="C234"/>
      <c r="D234"/>
      <c r="E234"/>
      <c r="F234"/>
      <c r="G234"/>
      <c r="H234"/>
      <c r="I234"/>
      <c r="J234"/>
      <c r="K234" s="100">
        <f t="shared" si="31"/>
        <v>0</v>
      </c>
      <c r="L234" s="95"/>
      <c r="M234" s="90">
        <f t="shared" si="25"/>
        <v>0</v>
      </c>
      <c r="N234" s="56">
        <v>0</v>
      </c>
      <c r="O234" s="44">
        <f t="shared" si="26"/>
        <v>0</v>
      </c>
      <c r="P234" s="44"/>
      <c r="Q234" s="44"/>
      <c r="R234" s="44"/>
      <c r="S234" s="44">
        <f t="shared" si="32"/>
        <v>0</v>
      </c>
      <c r="T234" s="44">
        <f t="shared" si="27"/>
        <v>0</v>
      </c>
      <c r="U234">
        <v>0</v>
      </c>
      <c r="V234" s="43">
        <v>0</v>
      </c>
      <c r="W234" s="44">
        <f t="shared" si="28"/>
        <v>0</v>
      </c>
      <c r="X234" s="44">
        <f t="shared" si="29"/>
        <v>0</v>
      </c>
      <c r="Y234" s="44">
        <f t="shared" si="30"/>
        <v>0</v>
      </c>
      <c r="Z234" s="84"/>
      <c r="AA234" s="78"/>
      <c r="AB234" s="78"/>
      <c r="AC234" s="78"/>
      <c r="AD234" s="78"/>
      <c r="AE234" s="78"/>
    </row>
    <row r="235" spans="1:31" ht="12.75">
      <c r="A235"/>
      <c r="B235"/>
      <c r="C235"/>
      <c r="D235"/>
      <c r="E235"/>
      <c r="F235"/>
      <c r="G235"/>
      <c r="H235"/>
      <c r="I235"/>
      <c r="J235"/>
      <c r="K235" s="100">
        <f t="shared" si="31"/>
        <v>0</v>
      </c>
      <c r="L235" s="95"/>
      <c r="M235" s="90">
        <f t="shared" si="25"/>
        <v>0</v>
      </c>
      <c r="N235" s="56">
        <v>0</v>
      </c>
      <c r="O235" s="44">
        <f t="shared" si="26"/>
        <v>0</v>
      </c>
      <c r="P235" s="44"/>
      <c r="Q235" s="44"/>
      <c r="R235" s="44"/>
      <c r="S235" s="44">
        <f t="shared" si="32"/>
        <v>0</v>
      </c>
      <c r="T235" s="44">
        <f t="shared" si="27"/>
        <v>0</v>
      </c>
      <c r="U235">
        <v>0</v>
      </c>
      <c r="V235" s="43">
        <v>0</v>
      </c>
      <c r="W235" s="44">
        <f t="shared" si="28"/>
        <v>0</v>
      </c>
      <c r="X235" s="44">
        <f t="shared" si="29"/>
        <v>0</v>
      </c>
      <c r="Y235" s="44">
        <f t="shared" si="30"/>
        <v>0</v>
      </c>
      <c r="Z235" s="84"/>
      <c r="AA235" s="78"/>
      <c r="AB235" s="78"/>
      <c r="AC235" s="78"/>
      <c r="AD235" s="78"/>
      <c r="AE235" s="78"/>
    </row>
    <row r="236" spans="1:31" ht="12.75">
      <c r="A236"/>
      <c r="B236"/>
      <c r="C236"/>
      <c r="D236"/>
      <c r="E236"/>
      <c r="F236"/>
      <c r="G236"/>
      <c r="H236"/>
      <c r="I236"/>
      <c r="J236"/>
      <c r="K236" s="100">
        <f t="shared" si="31"/>
        <v>0</v>
      </c>
      <c r="L236" s="95"/>
      <c r="M236" s="90">
        <f t="shared" si="25"/>
        <v>0</v>
      </c>
      <c r="N236" s="56">
        <v>0</v>
      </c>
      <c r="O236" s="44">
        <f t="shared" si="26"/>
        <v>0</v>
      </c>
      <c r="P236" s="44"/>
      <c r="Q236" s="44"/>
      <c r="R236" s="44"/>
      <c r="S236" s="44">
        <f t="shared" si="32"/>
        <v>0</v>
      </c>
      <c r="T236" s="44">
        <f t="shared" si="27"/>
        <v>0</v>
      </c>
      <c r="U236">
        <v>0</v>
      </c>
      <c r="V236" s="43">
        <v>0</v>
      </c>
      <c r="W236" s="44">
        <f t="shared" si="28"/>
        <v>0</v>
      </c>
      <c r="X236" s="44">
        <f t="shared" si="29"/>
        <v>0</v>
      </c>
      <c r="Y236" s="44">
        <f t="shared" si="30"/>
        <v>0</v>
      </c>
      <c r="Z236" s="84"/>
      <c r="AA236" s="78"/>
      <c r="AB236" s="78"/>
      <c r="AC236" s="78"/>
      <c r="AD236" s="78"/>
      <c r="AE236" s="78"/>
    </row>
    <row r="237" spans="1:31" ht="12.75">
      <c r="A237"/>
      <c r="B237"/>
      <c r="C237"/>
      <c r="D237"/>
      <c r="E237"/>
      <c r="F237"/>
      <c r="G237"/>
      <c r="H237"/>
      <c r="I237"/>
      <c r="J237"/>
      <c r="K237" s="100">
        <f t="shared" si="31"/>
        <v>0</v>
      </c>
      <c r="L237" s="95"/>
      <c r="M237" s="90">
        <f t="shared" si="25"/>
        <v>0</v>
      </c>
      <c r="N237" s="56">
        <v>0</v>
      </c>
      <c r="O237" s="44">
        <f t="shared" si="26"/>
        <v>0</v>
      </c>
      <c r="P237" s="44"/>
      <c r="Q237" s="44"/>
      <c r="R237" s="44"/>
      <c r="S237" s="44">
        <f t="shared" si="32"/>
        <v>0</v>
      </c>
      <c r="T237" s="44">
        <f t="shared" si="27"/>
        <v>0</v>
      </c>
      <c r="U237">
        <v>0</v>
      </c>
      <c r="V237" s="43">
        <v>0</v>
      </c>
      <c r="W237" s="44">
        <f t="shared" si="28"/>
        <v>0</v>
      </c>
      <c r="X237" s="44">
        <f t="shared" si="29"/>
        <v>0</v>
      </c>
      <c r="Y237" s="44">
        <f t="shared" si="30"/>
        <v>0</v>
      </c>
      <c r="Z237" s="84"/>
      <c r="AA237" s="78"/>
      <c r="AB237" s="78"/>
      <c r="AC237" s="78"/>
      <c r="AD237" s="78"/>
      <c r="AE237" s="78"/>
    </row>
    <row r="238" spans="1:31" ht="12.75">
      <c r="A238"/>
      <c r="B238"/>
      <c r="C238"/>
      <c r="D238"/>
      <c r="E238"/>
      <c r="F238"/>
      <c r="G238"/>
      <c r="H238"/>
      <c r="I238"/>
      <c r="J238"/>
      <c r="K238" s="100">
        <f t="shared" si="31"/>
        <v>0</v>
      </c>
      <c r="L238" s="95"/>
      <c r="M238" s="90">
        <f t="shared" si="25"/>
        <v>0</v>
      </c>
      <c r="N238" s="56">
        <v>0</v>
      </c>
      <c r="O238" s="44">
        <f t="shared" si="26"/>
        <v>0</v>
      </c>
      <c r="P238" s="44"/>
      <c r="Q238" s="44"/>
      <c r="R238" s="44"/>
      <c r="S238" s="44">
        <f t="shared" si="32"/>
        <v>0</v>
      </c>
      <c r="T238" s="44">
        <f t="shared" si="27"/>
        <v>0</v>
      </c>
      <c r="U238">
        <v>0</v>
      </c>
      <c r="V238" s="43">
        <v>0</v>
      </c>
      <c r="W238" s="44">
        <f t="shared" si="28"/>
        <v>0</v>
      </c>
      <c r="X238" s="44">
        <f t="shared" si="29"/>
        <v>0</v>
      </c>
      <c r="Y238" s="44">
        <f t="shared" si="30"/>
        <v>0</v>
      </c>
      <c r="Z238" s="84"/>
      <c r="AA238" s="78"/>
      <c r="AB238" s="78"/>
      <c r="AC238" s="78"/>
      <c r="AD238" s="78"/>
      <c r="AE238" s="78"/>
    </row>
    <row r="239" spans="1:31" ht="12.75">
      <c r="A239"/>
      <c r="B239"/>
      <c r="C239"/>
      <c r="D239"/>
      <c r="E239"/>
      <c r="F239"/>
      <c r="G239"/>
      <c r="H239"/>
      <c r="I239"/>
      <c r="J239"/>
      <c r="K239" s="100">
        <f t="shared" si="31"/>
        <v>0</v>
      </c>
      <c r="L239" s="95"/>
      <c r="M239" s="90">
        <f t="shared" si="25"/>
        <v>0</v>
      </c>
      <c r="N239" s="56">
        <v>0</v>
      </c>
      <c r="O239" s="44">
        <f t="shared" si="26"/>
        <v>0</v>
      </c>
      <c r="P239" s="44"/>
      <c r="Q239" s="44"/>
      <c r="R239" s="44"/>
      <c r="S239" s="44">
        <f t="shared" si="32"/>
        <v>0</v>
      </c>
      <c r="T239" s="44">
        <f t="shared" si="27"/>
        <v>0</v>
      </c>
      <c r="U239">
        <v>0</v>
      </c>
      <c r="V239" s="43">
        <v>0</v>
      </c>
      <c r="W239" s="44">
        <f t="shared" si="28"/>
        <v>0</v>
      </c>
      <c r="X239" s="44">
        <f t="shared" si="29"/>
        <v>0</v>
      </c>
      <c r="Y239" s="44">
        <f t="shared" si="30"/>
        <v>0</v>
      </c>
      <c r="Z239" s="84"/>
      <c r="AA239" s="78"/>
      <c r="AB239" s="78"/>
      <c r="AC239" s="78"/>
      <c r="AD239" s="78"/>
      <c r="AE239" s="78"/>
    </row>
    <row r="240" spans="1:31" ht="12.75">
      <c r="A240"/>
      <c r="B240"/>
      <c r="C240"/>
      <c r="D240"/>
      <c r="E240"/>
      <c r="F240"/>
      <c r="G240"/>
      <c r="H240"/>
      <c r="I240"/>
      <c r="J240"/>
      <c r="K240" s="100">
        <f t="shared" si="31"/>
        <v>0</v>
      </c>
      <c r="L240" s="95"/>
      <c r="M240" s="90">
        <f t="shared" si="25"/>
        <v>0</v>
      </c>
      <c r="N240" s="56">
        <v>0</v>
      </c>
      <c r="O240" s="44">
        <f t="shared" si="26"/>
        <v>0</v>
      </c>
      <c r="P240" s="44"/>
      <c r="Q240" s="44"/>
      <c r="R240" s="44"/>
      <c r="S240" s="44">
        <f t="shared" si="32"/>
        <v>0</v>
      </c>
      <c r="T240" s="44">
        <f t="shared" si="27"/>
        <v>0</v>
      </c>
      <c r="U240">
        <v>0</v>
      </c>
      <c r="V240" s="43">
        <v>0</v>
      </c>
      <c r="W240" s="44">
        <f t="shared" si="28"/>
        <v>0</v>
      </c>
      <c r="X240" s="44">
        <f t="shared" si="29"/>
        <v>0</v>
      </c>
      <c r="Y240" s="44">
        <f t="shared" si="30"/>
        <v>0</v>
      </c>
      <c r="Z240" s="84"/>
      <c r="AA240" s="78"/>
      <c r="AB240" s="78"/>
      <c r="AC240" s="78"/>
      <c r="AD240" s="78"/>
      <c r="AE240" s="78"/>
    </row>
    <row r="241" spans="1:31" ht="12.75">
      <c r="A241"/>
      <c r="B241"/>
      <c r="C241"/>
      <c r="D241"/>
      <c r="E241"/>
      <c r="F241"/>
      <c r="G241"/>
      <c r="H241"/>
      <c r="I241"/>
      <c r="J241"/>
      <c r="K241" s="100">
        <f t="shared" si="31"/>
        <v>0</v>
      </c>
      <c r="L241" s="95"/>
      <c r="M241" s="90">
        <f t="shared" si="25"/>
        <v>0</v>
      </c>
      <c r="N241" s="56">
        <v>0</v>
      </c>
      <c r="O241" s="44">
        <f t="shared" si="26"/>
        <v>0</v>
      </c>
      <c r="P241" s="44"/>
      <c r="Q241" s="44"/>
      <c r="R241" s="44"/>
      <c r="S241" s="44">
        <f t="shared" si="32"/>
        <v>0</v>
      </c>
      <c r="T241" s="44">
        <f t="shared" si="27"/>
        <v>0</v>
      </c>
      <c r="U241">
        <v>0</v>
      </c>
      <c r="V241" s="43">
        <v>0</v>
      </c>
      <c r="W241" s="44">
        <f t="shared" si="28"/>
        <v>0</v>
      </c>
      <c r="X241" s="44">
        <f t="shared" si="29"/>
        <v>0</v>
      </c>
      <c r="Y241" s="44">
        <f t="shared" si="30"/>
        <v>0</v>
      </c>
      <c r="Z241" s="84"/>
      <c r="AA241" s="78"/>
      <c r="AB241" s="78"/>
      <c r="AC241" s="78"/>
      <c r="AD241" s="78"/>
      <c r="AE241" s="78"/>
    </row>
    <row r="242" spans="1:31" ht="12.75">
      <c r="A242"/>
      <c r="B242"/>
      <c r="C242"/>
      <c r="D242"/>
      <c r="E242"/>
      <c r="F242"/>
      <c r="G242"/>
      <c r="H242"/>
      <c r="I242"/>
      <c r="J242"/>
      <c r="K242" s="100">
        <f t="shared" si="31"/>
        <v>0</v>
      </c>
      <c r="L242" s="95"/>
      <c r="M242" s="90">
        <f t="shared" si="25"/>
        <v>0</v>
      </c>
      <c r="N242" s="56">
        <v>0</v>
      </c>
      <c r="O242" s="44">
        <f t="shared" si="26"/>
        <v>0</v>
      </c>
      <c r="P242" s="44"/>
      <c r="Q242" s="44"/>
      <c r="R242" s="44"/>
      <c r="S242" s="44">
        <f t="shared" si="32"/>
        <v>0</v>
      </c>
      <c r="T242" s="44">
        <f t="shared" si="27"/>
        <v>0</v>
      </c>
      <c r="U242">
        <v>0</v>
      </c>
      <c r="V242" s="43">
        <v>0</v>
      </c>
      <c r="W242" s="44">
        <f t="shared" si="28"/>
        <v>0</v>
      </c>
      <c r="X242" s="44">
        <f t="shared" si="29"/>
        <v>0</v>
      </c>
      <c r="Y242" s="44">
        <f t="shared" si="30"/>
        <v>0</v>
      </c>
      <c r="Z242" s="84"/>
      <c r="AA242" s="78"/>
      <c r="AB242" s="78"/>
      <c r="AC242" s="78"/>
      <c r="AD242" s="78"/>
      <c r="AE242" s="78"/>
    </row>
    <row r="243" spans="1:31" ht="12.75">
      <c r="A243"/>
      <c r="B243"/>
      <c r="C243"/>
      <c r="D243"/>
      <c r="E243"/>
      <c r="F243"/>
      <c r="G243"/>
      <c r="H243"/>
      <c r="I243"/>
      <c r="J243"/>
      <c r="K243" s="100">
        <f t="shared" si="31"/>
        <v>0</v>
      </c>
      <c r="L243" s="95"/>
      <c r="M243" s="90">
        <f t="shared" si="25"/>
        <v>0</v>
      </c>
      <c r="N243" s="56">
        <v>0</v>
      </c>
      <c r="O243" s="44">
        <f t="shared" si="26"/>
        <v>0</v>
      </c>
      <c r="P243" s="44"/>
      <c r="Q243" s="44"/>
      <c r="R243" s="44"/>
      <c r="S243" s="44">
        <f t="shared" si="32"/>
        <v>0</v>
      </c>
      <c r="T243" s="44">
        <f t="shared" si="27"/>
        <v>0</v>
      </c>
      <c r="U243">
        <v>0</v>
      </c>
      <c r="V243" s="43">
        <v>0</v>
      </c>
      <c r="W243" s="44">
        <f t="shared" si="28"/>
        <v>0</v>
      </c>
      <c r="X243" s="44">
        <f t="shared" si="29"/>
        <v>0</v>
      </c>
      <c r="Y243" s="44">
        <f t="shared" si="30"/>
        <v>0</v>
      </c>
      <c r="Z243" s="84"/>
      <c r="AA243" s="78"/>
      <c r="AB243" s="78"/>
      <c r="AC243" s="78"/>
      <c r="AD243" s="78"/>
      <c r="AE243" s="78"/>
    </row>
    <row r="244" spans="1:31" ht="12.75">
      <c r="A244"/>
      <c r="B244"/>
      <c r="C244"/>
      <c r="D244"/>
      <c r="E244"/>
      <c r="F244"/>
      <c r="G244"/>
      <c r="H244"/>
      <c r="I244"/>
      <c r="J244"/>
      <c r="K244" s="100">
        <f t="shared" si="31"/>
        <v>0</v>
      </c>
      <c r="L244" s="95"/>
      <c r="M244" s="90">
        <f t="shared" si="25"/>
        <v>0</v>
      </c>
      <c r="N244" s="56">
        <v>0</v>
      </c>
      <c r="O244" s="44">
        <f t="shared" si="26"/>
        <v>0</v>
      </c>
      <c r="P244" s="44"/>
      <c r="Q244" s="44"/>
      <c r="R244" s="44"/>
      <c r="S244" s="44">
        <f t="shared" si="32"/>
        <v>0</v>
      </c>
      <c r="T244" s="44">
        <f t="shared" si="27"/>
        <v>0</v>
      </c>
      <c r="U244">
        <v>0</v>
      </c>
      <c r="V244" s="43">
        <v>0</v>
      </c>
      <c r="W244" s="44">
        <f t="shared" si="28"/>
        <v>0</v>
      </c>
      <c r="X244" s="44">
        <f t="shared" si="29"/>
        <v>0</v>
      </c>
      <c r="Y244" s="44">
        <f t="shared" si="30"/>
        <v>0</v>
      </c>
      <c r="Z244" s="84"/>
      <c r="AA244" s="78"/>
      <c r="AB244" s="78"/>
      <c r="AC244" s="78"/>
      <c r="AD244" s="78"/>
      <c r="AE244" s="78"/>
    </row>
    <row r="245" spans="1:31" ht="12.75">
      <c r="A245"/>
      <c r="B245"/>
      <c r="C245"/>
      <c r="D245"/>
      <c r="E245"/>
      <c r="F245"/>
      <c r="G245"/>
      <c r="H245"/>
      <c r="I245"/>
      <c r="J245"/>
      <c r="K245" s="100">
        <f t="shared" si="31"/>
        <v>0</v>
      </c>
      <c r="L245" s="95"/>
      <c r="M245" s="90">
        <f t="shared" si="25"/>
        <v>0</v>
      </c>
      <c r="N245" s="56">
        <v>0</v>
      </c>
      <c r="O245" s="44">
        <f t="shared" si="26"/>
        <v>0</v>
      </c>
      <c r="P245" s="44"/>
      <c r="Q245" s="44"/>
      <c r="R245" s="44"/>
      <c r="S245" s="44">
        <f t="shared" si="32"/>
        <v>0</v>
      </c>
      <c r="T245" s="44">
        <f t="shared" si="27"/>
        <v>0</v>
      </c>
      <c r="U245">
        <v>0</v>
      </c>
      <c r="V245" s="43">
        <v>0</v>
      </c>
      <c r="W245" s="44">
        <f t="shared" si="28"/>
        <v>0</v>
      </c>
      <c r="X245" s="44">
        <f t="shared" si="29"/>
        <v>0</v>
      </c>
      <c r="Y245" s="44">
        <f t="shared" si="30"/>
        <v>0</v>
      </c>
      <c r="Z245" s="84"/>
      <c r="AA245" s="78"/>
      <c r="AB245" s="78"/>
      <c r="AC245" s="78"/>
      <c r="AD245" s="78"/>
      <c r="AE245" s="78"/>
    </row>
    <row r="246" spans="1:31" ht="12.75">
      <c r="A246"/>
      <c r="B246"/>
      <c r="C246"/>
      <c r="D246"/>
      <c r="E246"/>
      <c r="F246"/>
      <c r="G246"/>
      <c r="H246"/>
      <c r="I246"/>
      <c r="J246"/>
      <c r="K246" s="100">
        <f t="shared" si="31"/>
        <v>0</v>
      </c>
      <c r="L246" s="95"/>
      <c r="M246" s="90">
        <f t="shared" si="25"/>
        <v>0</v>
      </c>
      <c r="N246" s="56">
        <v>0</v>
      </c>
      <c r="O246" s="44">
        <f t="shared" si="26"/>
        <v>0</v>
      </c>
      <c r="P246" s="44"/>
      <c r="Q246" s="44"/>
      <c r="R246" s="44"/>
      <c r="S246" s="44">
        <f t="shared" si="32"/>
        <v>0</v>
      </c>
      <c r="T246" s="44">
        <f t="shared" si="27"/>
        <v>0</v>
      </c>
      <c r="U246">
        <v>0</v>
      </c>
      <c r="V246" s="43">
        <v>0</v>
      </c>
      <c r="W246" s="44">
        <f t="shared" si="28"/>
        <v>0</v>
      </c>
      <c r="X246" s="44">
        <f t="shared" si="29"/>
        <v>0</v>
      </c>
      <c r="Y246" s="44">
        <f t="shared" si="30"/>
        <v>0</v>
      </c>
      <c r="Z246" s="84"/>
      <c r="AA246" s="78"/>
      <c r="AB246" s="78"/>
      <c r="AC246" s="78"/>
      <c r="AD246" s="78"/>
      <c r="AE246" s="78"/>
    </row>
    <row r="247" spans="1:31" ht="12.75">
      <c r="A247"/>
      <c r="B247"/>
      <c r="C247"/>
      <c r="D247"/>
      <c r="E247"/>
      <c r="F247"/>
      <c r="G247"/>
      <c r="H247"/>
      <c r="I247"/>
      <c r="J247"/>
      <c r="K247" s="100">
        <f t="shared" si="31"/>
        <v>0</v>
      </c>
      <c r="L247" s="95"/>
      <c r="M247" s="90">
        <f t="shared" si="25"/>
        <v>0</v>
      </c>
      <c r="N247" s="56">
        <v>0</v>
      </c>
      <c r="O247" s="44">
        <f t="shared" si="26"/>
        <v>0</v>
      </c>
      <c r="P247" s="44"/>
      <c r="Q247" s="44"/>
      <c r="R247" s="44"/>
      <c r="S247" s="44">
        <f t="shared" si="32"/>
        <v>0</v>
      </c>
      <c r="T247" s="44">
        <f t="shared" si="27"/>
        <v>0</v>
      </c>
      <c r="U247">
        <v>0</v>
      </c>
      <c r="V247" s="43">
        <v>0</v>
      </c>
      <c r="W247" s="44">
        <f t="shared" si="28"/>
        <v>0</v>
      </c>
      <c r="X247" s="44">
        <f t="shared" si="29"/>
        <v>0</v>
      </c>
      <c r="Y247" s="44">
        <f t="shared" si="30"/>
        <v>0</v>
      </c>
      <c r="Z247" s="84"/>
      <c r="AA247" s="78"/>
      <c r="AB247" s="78"/>
      <c r="AC247" s="78"/>
      <c r="AD247" s="78"/>
      <c r="AE247" s="78"/>
    </row>
    <row r="248" spans="1:31" ht="12.75">
      <c r="A248"/>
      <c r="B248"/>
      <c r="C248"/>
      <c r="D248"/>
      <c r="E248"/>
      <c r="F248"/>
      <c r="G248"/>
      <c r="H248"/>
      <c r="I248"/>
      <c r="J248"/>
      <c r="K248" s="100">
        <f t="shared" si="31"/>
        <v>0</v>
      </c>
      <c r="L248" s="95"/>
      <c r="M248" s="90">
        <f t="shared" si="25"/>
        <v>0</v>
      </c>
      <c r="N248" s="56">
        <v>0</v>
      </c>
      <c r="O248" s="44">
        <f t="shared" si="26"/>
        <v>0</v>
      </c>
      <c r="P248" s="44"/>
      <c r="Q248" s="44"/>
      <c r="R248" s="44"/>
      <c r="S248" s="44">
        <f t="shared" si="32"/>
        <v>0</v>
      </c>
      <c r="T248" s="44">
        <f t="shared" si="27"/>
        <v>0</v>
      </c>
      <c r="U248">
        <v>0</v>
      </c>
      <c r="V248" s="43">
        <v>0</v>
      </c>
      <c r="W248" s="44">
        <f t="shared" si="28"/>
        <v>0</v>
      </c>
      <c r="X248" s="44">
        <f t="shared" si="29"/>
        <v>0</v>
      </c>
      <c r="Y248" s="44">
        <f t="shared" si="30"/>
        <v>0</v>
      </c>
      <c r="Z248" s="84"/>
      <c r="AA248" s="78"/>
      <c r="AB248" s="78"/>
      <c r="AC248" s="78"/>
      <c r="AD248" s="78"/>
      <c r="AE248" s="78"/>
    </row>
    <row r="249" spans="1:31" ht="12.75">
      <c r="A249"/>
      <c r="B249"/>
      <c r="C249"/>
      <c r="D249"/>
      <c r="E249"/>
      <c r="F249"/>
      <c r="G249"/>
      <c r="H249"/>
      <c r="I249"/>
      <c r="J249"/>
      <c r="K249" s="100">
        <f t="shared" si="31"/>
        <v>0</v>
      </c>
      <c r="L249" s="95"/>
      <c r="M249" s="90">
        <f t="shared" si="25"/>
        <v>0</v>
      </c>
      <c r="N249" s="56">
        <v>0</v>
      </c>
      <c r="O249" s="44">
        <f t="shared" si="26"/>
        <v>0</v>
      </c>
      <c r="P249" s="44"/>
      <c r="Q249" s="44"/>
      <c r="R249" s="44"/>
      <c r="S249" s="44">
        <f t="shared" si="32"/>
        <v>0</v>
      </c>
      <c r="T249" s="44">
        <f t="shared" si="27"/>
        <v>0</v>
      </c>
      <c r="U249">
        <v>0</v>
      </c>
      <c r="V249" s="43">
        <v>0</v>
      </c>
      <c r="W249" s="44">
        <f t="shared" si="28"/>
        <v>0</v>
      </c>
      <c r="X249" s="44">
        <f t="shared" si="29"/>
        <v>0</v>
      </c>
      <c r="Y249" s="44">
        <f t="shared" si="30"/>
        <v>0</v>
      </c>
      <c r="Z249" s="84"/>
      <c r="AA249" s="78"/>
      <c r="AB249" s="78"/>
      <c r="AC249" s="78"/>
      <c r="AD249" s="78"/>
      <c r="AE249" s="78"/>
    </row>
    <row r="250" spans="1:31" ht="12.75">
      <c r="A250"/>
      <c r="B250"/>
      <c r="C250"/>
      <c r="D250"/>
      <c r="E250"/>
      <c r="F250"/>
      <c r="G250"/>
      <c r="H250"/>
      <c r="I250"/>
      <c r="J250"/>
      <c r="K250" s="100">
        <f t="shared" si="31"/>
        <v>0</v>
      </c>
      <c r="L250" s="95"/>
      <c r="M250" s="90">
        <f t="shared" si="25"/>
        <v>0</v>
      </c>
      <c r="N250" s="56">
        <v>0</v>
      </c>
      <c r="O250" s="44">
        <f t="shared" si="26"/>
        <v>0</v>
      </c>
      <c r="P250" s="44"/>
      <c r="Q250" s="44"/>
      <c r="R250" s="44"/>
      <c r="S250" s="44">
        <f t="shared" si="32"/>
        <v>0</v>
      </c>
      <c r="T250" s="44">
        <f t="shared" si="27"/>
        <v>0</v>
      </c>
      <c r="U250">
        <v>0</v>
      </c>
      <c r="V250" s="43">
        <v>0</v>
      </c>
      <c r="W250" s="44">
        <f t="shared" si="28"/>
        <v>0</v>
      </c>
      <c r="X250" s="44">
        <f t="shared" si="29"/>
        <v>0</v>
      </c>
      <c r="Y250" s="44">
        <f t="shared" si="30"/>
        <v>0</v>
      </c>
      <c r="Z250" s="84"/>
      <c r="AA250" s="78"/>
      <c r="AB250" s="78"/>
      <c r="AC250" s="78"/>
      <c r="AD250" s="78"/>
      <c r="AE250" s="78"/>
    </row>
    <row r="251" spans="1:31" ht="12.75">
      <c r="A251"/>
      <c r="B251"/>
      <c r="C251"/>
      <c r="D251"/>
      <c r="E251"/>
      <c r="F251"/>
      <c r="G251"/>
      <c r="H251"/>
      <c r="I251"/>
      <c r="J251"/>
      <c r="K251" s="100">
        <f t="shared" si="31"/>
        <v>0</v>
      </c>
      <c r="L251" s="95"/>
      <c r="M251" s="90">
        <f t="shared" si="25"/>
        <v>0</v>
      </c>
      <c r="N251" s="56">
        <v>0</v>
      </c>
      <c r="O251" s="44">
        <f t="shared" si="26"/>
        <v>0</v>
      </c>
      <c r="P251" s="44"/>
      <c r="Q251" s="44"/>
      <c r="R251" s="44"/>
      <c r="S251" s="44">
        <f t="shared" si="32"/>
        <v>0</v>
      </c>
      <c r="T251" s="44">
        <f t="shared" si="27"/>
        <v>0</v>
      </c>
      <c r="U251">
        <v>0</v>
      </c>
      <c r="V251" s="43">
        <v>0</v>
      </c>
      <c r="W251" s="44">
        <f t="shared" si="28"/>
        <v>0</v>
      </c>
      <c r="X251" s="44">
        <f t="shared" si="29"/>
        <v>0</v>
      </c>
      <c r="Y251" s="44">
        <f t="shared" si="30"/>
        <v>0</v>
      </c>
      <c r="Z251" s="84"/>
      <c r="AA251" s="78"/>
      <c r="AB251" s="78"/>
      <c r="AC251" s="78"/>
      <c r="AD251" s="78"/>
      <c r="AE251" s="78"/>
    </row>
    <row r="252" spans="1:31" ht="12.75">
      <c r="A252"/>
      <c r="B252"/>
      <c r="C252"/>
      <c r="D252"/>
      <c r="E252"/>
      <c r="F252"/>
      <c r="G252"/>
      <c r="H252"/>
      <c r="I252"/>
      <c r="J252"/>
      <c r="K252" s="100">
        <f t="shared" si="31"/>
        <v>0</v>
      </c>
      <c r="L252" s="95"/>
      <c r="M252" s="90">
        <f t="shared" si="25"/>
        <v>0</v>
      </c>
      <c r="N252" s="56">
        <v>0</v>
      </c>
      <c r="O252" s="44">
        <f t="shared" si="26"/>
        <v>0</v>
      </c>
      <c r="P252" s="44"/>
      <c r="Q252" s="44"/>
      <c r="R252" s="44"/>
      <c r="S252" s="44">
        <f t="shared" si="32"/>
        <v>0</v>
      </c>
      <c r="T252" s="44">
        <f t="shared" si="27"/>
        <v>0</v>
      </c>
      <c r="U252">
        <v>0</v>
      </c>
      <c r="V252" s="43">
        <v>0</v>
      </c>
      <c r="W252" s="44">
        <f t="shared" si="28"/>
        <v>0</v>
      </c>
      <c r="X252" s="44">
        <f t="shared" si="29"/>
        <v>0</v>
      </c>
      <c r="Y252" s="44">
        <f t="shared" si="30"/>
        <v>0</v>
      </c>
      <c r="Z252" s="84"/>
      <c r="AA252" s="78"/>
      <c r="AB252" s="78"/>
      <c r="AC252" s="78"/>
      <c r="AD252" s="78"/>
      <c r="AE252" s="78"/>
    </row>
    <row r="253" spans="1:31" ht="12.75">
      <c r="A253"/>
      <c r="B253"/>
      <c r="C253"/>
      <c r="D253"/>
      <c r="E253"/>
      <c r="F253"/>
      <c r="G253"/>
      <c r="H253"/>
      <c r="I253"/>
      <c r="J253"/>
      <c r="K253" s="100">
        <f t="shared" si="31"/>
        <v>0</v>
      </c>
      <c r="L253" s="95"/>
      <c r="M253" s="90">
        <f t="shared" si="25"/>
        <v>0</v>
      </c>
      <c r="N253" s="56">
        <v>0</v>
      </c>
      <c r="O253" s="44">
        <f t="shared" si="26"/>
        <v>0</v>
      </c>
      <c r="P253" s="44"/>
      <c r="Q253" s="44"/>
      <c r="R253" s="44"/>
      <c r="S253" s="44">
        <f t="shared" si="32"/>
        <v>0</v>
      </c>
      <c r="T253" s="44">
        <f t="shared" si="27"/>
        <v>0</v>
      </c>
      <c r="U253">
        <v>0</v>
      </c>
      <c r="V253" s="43">
        <v>0</v>
      </c>
      <c r="W253" s="44">
        <f t="shared" si="28"/>
        <v>0</v>
      </c>
      <c r="X253" s="44">
        <f t="shared" si="29"/>
        <v>0</v>
      </c>
      <c r="Y253" s="44">
        <f t="shared" si="30"/>
        <v>0</v>
      </c>
      <c r="Z253" s="84"/>
      <c r="AA253" s="78"/>
      <c r="AB253" s="78"/>
      <c r="AC253" s="78"/>
      <c r="AD253" s="78"/>
      <c r="AE253" s="78"/>
    </row>
    <row r="254" spans="1:31" ht="12.75">
      <c r="A254"/>
      <c r="B254"/>
      <c r="C254"/>
      <c r="D254"/>
      <c r="E254"/>
      <c r="F254"/>
      <c r="G254"/>
      <c r="H254"/>
      <c r="I254"/>
      <c r="J254"/>
      <c r="K254" s="100">
        <f t="shared" si="31"/>
        <v>0</v>
      </c>
      <c r="L254" s="95"/>
      <c r="M254" s="90">
        <f t="shared" si="25"/>
        <v>0</v>
      </c>
      <c r="N254" s="56">
        <v>0</v>
      </c>
      <c r="O254" s="44">
        <f t="shared" si="26"/>
        <v>0</v>
      </c>
      <c r="P254" s="44"/>
      <c r="Q254" s="44"/>
      <c r="R254" s="44"/>
      <c r="S254" s="44">
        <f t="shared" si="32"/>
        <v>0</v>
      </c>
      <c r="T254" s="44">
        <f t="shared" si="27"/>
        <v>0</v>
      </c>
      <c r="U254">
        <v>0</v>
      </c>
      <c r="V254" s="43">
        <v>0</v>
      </c>
      <c r="W254" s="44">
        <f t="shared" si="28"/>
        <v>0</v>
      </c>
      <c r="X254" s="44">
        <f t="shared" si="29"/>
        <v>0</v>
      </c>
      <c r="Y254" s="44">
        <f t="shared" si="30"/>
        <v>0</v>
      </c>
      <c r="Z254" s="84"/>
      <c r="AA254" s="78"/>
      <c r="AB254" s="78"/>
      <c r="AC254" s="78"/>
      <c r="AD254" s="78"/>
      <c r="AE254" s="78"/>
    </row>
    <row r="255" spans="1:31" ht="12.75">
      <c r="A255"/>
      <c r="B255"/>
      <c r="C255"/>
      <c r="D255"/>
      <c r="E255"/>
      <c r="F255"/>
      <c r="G255"/>
      <c r="H255"/>
      <c r="I255"/>
      <c r="J255"/>
      <c r="K255" s="100">
        <f t="shared" si="31"/>
        <v>0</v>
      </c>
      <c r="L255" s="95"/>
      <c r="M255" s="90">
        <f t="shared" si="25"/>
        <v>0</v>
      </c>
      <c r="N255" s="56">
        <v>0</v>
      </c>
      <c r="O255" s="44">
        <f t="shared" si="26"/>
        <v>0</v>
      </c>
      <c r="P255" s="44"/>
      <c r="Q255" s="44"/>
      <c r="R255" s="44"/>
      <c r="S255" s="44">
        <f t="shared" si="32"/>
        <v>0</v>
      </c>
      <c r="T255" s="44">
        <f t="shared" si="27"/>
        <v>0</v>
      </c>
      <c r="U255">
        <v>0</v>
      </c>
      <c r="V255" s="43">
        <v>0</v>
      </c>
      <c r="W255" s="44">
        <f t="shared" si="28"/>
        <v>0</v>
      </c>
      <c r="X255" s="44">
        <f t="shared" si="29"/>
        <v>0</v>
      </c>
      <c r="Y255" s="44">
        <f t="shared" si="30"/>
        <v>0</v>
      </c>
      <c r="Z255" s="84"/>
      <c r="AA255" s="78"/>
      <c r="AB255" s="78"/>
      <c r="AC255" s="78"/>
      <c r="AD255" s="78"/>
      <c r="AE255" s="78"/>
    </row>
    <row r="256" spans="1:31" ht="12.75">
      <c r="A256"/>
      <c r="B256"/>
      <c r="C256"/>
      <c r="D256"/>
      <c r="E256"/>
      <c r="F256"/>
      <c r="G256"/>
      <c r="H256"/>
      <c r="I256"/>
      <c r="J256"/>
      <c r="K256" s="100">
        <f t="shared" si="31"/>
        <v>0</v>
      </c>
      <c r="L256" s="95"/>
      <c r="M256" s="90">
        <f t="shared" si="25"/>
        <v>0</v>
      </c>
      <c r="N256" s="56">
        <v>0</v>
      </c>
      <c r="O256" s="44">
        <f t="shared" si="26"/>
        <v>0</v>
      </c>
      <c r="P256" s="44"/>
      <c r="Q256" s="44"/>
      <c r="R256" s="44"/>
      <c r="S256" s="44">
        <f t="shared" si="32"/>
        <v>0</v>
      </c>
      <c r="T256" s="44">
        <f t="shared" si="27"/>
        <v>0</v>
      </c>
      <c r="U256">
        <v>0</v>
      </c>
      <c r="V256" s="43">
        <v>0</v>
      </c>
      <c r="W256" s="44">
        <f t="shared" si="28"/>
        <v>0</v>
      </c>
      <c r="X256" s="44">
        <f t="shared" si="29"/>
        <v>0</v>
      </c>
      <c r="Y256" s="44">
        <f t="shared" si="30"/>
        <v>0</v>
      </c>
      <c r="Z256" s="84"/>
      <c r="AA256" s="78"/>
      <c r="AB256" s="78"/>
      <c r="AC256" s="78"/>
      <c r="AD256" s="78"/>
      <c r="AE256" s="78"/>
    </row>
    <row r="257" spans="1:31" ht="12.75">
      <c r="A257"/>
      <c r="B257"/>
      <c r="C257"/>
      <c r="D257"/>
      <c r="E257"/>
      <c r="F257"/>
      <c r="G257"/>
      <c r="H257"/>
      <c r="I257"/>
      <c r="J257"/>
      <c r="K257" s="100">
        <f t="shared" si="31"/>
        <v>0</v>
      </c>
      <c r="L257" s="95"/>
      <c r="M257" s="90">
        <f t="shared" si="25"/>
        <v>0</v>
      </c>
      <c r="N257" s="56">
        <v>0</v>
      </c>
      <c r="O257" s="44">
        <f t="shared" si="26"/>
        <v>0</v>
      </c>
      <c r="P257" s="44"/>
      <c r="Q257" s="44"/>
      <c r="R257" s="44"/>
      <c r="S257" s="44">
        <f t="shared" si="32"/>
        <v>0</v>
      </c>
      <c r="T257" s="44">
        <f t="shared" si="27"/>
        <v>0</v>
      </c>
      <c r="U257">
        <v>0</v>
      </c>
      <c r="V257" s="43">
        <v>0</v>
      </c>
      <c r="W257" s="44">
        <f t="shared" si="28"/>
        <v>0</v>
      </c>
      <c r="X257" s="44">
        <f t="shared" si="29"/>
        <v>0</v>
      </c>
      <c r="Y257" s="44">
        <f t="shared" si="30"/>
        <v>0</v>
      </c>
      <c r="Z257" s="84"/>
      <c r="AA257" s="78"/>
      <c r="AB257" s="78"/>
      <c r="AC257" s="78"/>
      <c r="AD257" s="78"/>
      <c r="AE257" s="78"/>
    </row>
    <row r="258" spans="1:31" ht="12.75">
      <c r="A258"/>
      <c r="B258"/>
      <c r="C258"/>
      <c r="D258"/>
      <c r="E258"/>
      <c r="F258"/>
      <c r="G258"/>
      <c r="H258"/>
      <c r="I258"/>
      <c r="J258"/>
      <c r="K258" s="100">
        <f t="shared" si="31"/>
        <v>0</v>
      </c>
      <c r="L258" s="95"/>
      <c r="M258" s="90">
        <f t="shared" si="25"/>
        <v>0</v>
      </c>
      <c r="N258" s="56">
        <v>0</v>
      </c>
      <c r="O258" s="44">
        <f t="shared" si="26"/>
        <v>0</v>
      </c>
      <c r="P258" s="44"/>
      <c r="Q258" s="44"/>
      <c r="R258" s="44"/>
      <c r="S258" s="44">
        <f t="shared" si="32"/>
        <v>0</v>
      </c>
      <c r="T258" s="44">
        <f t="shared" si="27"/>
        <v>0</v>
      </c>
      <c r="U258">
        <v>0</v>
      </c>
      <c r="V258" s="43">
        <v>0</v>
      </c>
      <c r="W258" s="44">
        <f t="shared" si="28"/>
        <v>0</v>
      </c>
      <c r="X258" s="44">
        <f t="shared" si="29"/>
        <v>0</v>
      </c>
      <c r="Y258" s="44">
        <f t="shared" si="30"/>
        <v>0</v>
      </c>
      <c r="Z258" s="84"/>
      <c r="AA258" s="78"/>
      <c r="AB258" s="78"/>
      <c r="AC258" s="78"/>
      <c r="AD258" s="78"/>
      <c r="AE258" s="78"/>
    </row>
    <row r="259" spans="1:31" ht="12.75">
      <c r="A259"/>
      <c r="B259"/>
      <c r="C259"/>
      <c r="D259"/>
      <c r="E259"/>
      <c r="F259"/>
      <c r="G259"/>
      <c r="H259"/>
      <c r="I259"/>
      <c r="J259"/>
      <c r="K259" s="100">
        <f t="shared" si="31"/>
        <v>0</v>
      </c>
      <c r="L259" s="95"/>
      <c r="M259" s="90">
        <f t="shared" si="25"/>
        <v>0</v>
      </c>
      <c r="N259" s="56">
        <v>0</v>
      </c>
      <c r="O259" s="44">
        <f t="shared" si="26"/>
        <v>0</v>
      </c>
      <c r="P259" s="44"/>
      <c r="Q259" s="44"/>
      <c r="R259" s="44"/>
      <c r="S259" s="44">
        <f t="shared" si="32"/>
        <v>0</v>
      </c>
      <c r="T259" s="44">
        <f t="shared" si="27"/>
        <v>0</v>
      </c>
      <c r="U259">
        <v>0</v>
      </c>
      <c r="V259" s="43">
        <v>0</v>
      </c>
      <c r="W259" s="44">
        <f t="shared" si="28"/>
        <v>0</v>
      </c>
      <c r="X259" s="44">
        <f t="shared" si="29"/>
        <v>0</v>
      </c>
      <c r="Y259" s="44">
        <f t="shared" si="30"/>
        <v>0</v>
      </c>
      <c r="Z259" s="84"/>
      <c r="AA259" s="78"/>
      <c r="AB259" s="78"/>
      <c r="AC259" s="78"/>
      <c r="AD259" s="78"/>
      <c r="AE259" s="78"/>
    </row>
    <row r="260" spans="1:31" ht="12.75">
      <c r="A260"/>
      <c r="B260"/>
      <c r="C260"/>
      <c r="D260"/>
      <c r="E260"/>
      <c r="F260"/>
      <c r="G260"/>
      <c r="H260"/>
      <c r="I260"/>
      <c r="J260"/>
      <c r="K260" s="100">
        <f t="shared" si="31"/>
        <v>0</v>
      </c>
      <c r="L260" s="95"/>
      <c r="M260" s="90">
        <f t="shared" si="25"/>
        <v>0</v>
      </c>
      <c r="N260" s="56">
        <v>0</v>
      </c>
      <c r="O260" s="44">
        <f t="shared" si="26"/>
        <v>0</v>
      </c>
      <c r="P260" s="44"/>
      <c r="Q260" s="44"/>
      <c r="R260" s="44"/>
      <c r="S260" s="44">
        <f t="shared" si="32"/>
        <v>0</v>
      </c>
      <c r="T260" s="44">
        <f t="shared" si="27"/>
        <v>0</v>
      </c>
      <c r="U260">
        <v>0</v>
      </c>
      <c r="V260" s="43">
        <v>0</v>
      </c>
      <c r="W260" s="44">
        <f t="shared" si="28"/>
        <v>0</v>
      </c>
      <c r="X260" s="44">
        <f t="shared" si="29"/>
        <v>0</v>
      </c>
      <c r="Y260" s="44">
        <f t="shared" si="30"/>
        <v>0</v>
      </c>
      <c r="Z260" s="84"/>
      <c r="AA260" s="78"/>
      <c r="AB260" s="78"/>
      <c r="AC260" s="78"/>
      <c r="AD260" s="78"/>
      <c r="AE260" s="78"/>
    </row>
    <row r="261" spans="1:31" ht="12.75">
      <c r="A261"/>
      <c r="B261"/>
      <c r="C261"/>
      <c r="D261"/>
      <c r="E261"/>
      <c r="F261"/>
      <c r="G261"/>
      <c r="H261"/>
      <c r="I261"/>
      <c r="J261"/>
      <c r="K261" s="100">
        <f t="shared" si="31"/>
        <v>0</v>
      </c>
      <c r="L261" s="95"/>
      <c r="M261" s="90">
        <f t="shared" si="25"/>
        <v>0</v>
      </c>
      <c r="N261" s="56">
        <v>0</v>
      </c>
      <c r="O261" s="44">
        <f t="shared" si="26"/>
        <v>0</v>
      </c>
      <c r="P261" s="44"/>
      <c r="Q261" s="44"/>
      <c r="R261" s="44"/>
      <c r="S261" s="44">
        <f t="shared" si="32"/>
        <v>0</v>
      </c>
      <c r="T261" s="44">
        <f t="shared" si="27"/>
        <v>0</v>
      </c>
      <c r="U261">
        <v>0</v>
      </c>
      <c r="V261" s="43">
        <v>0</v>
      </c>
      <c r="W261" s="44">
        <f t="shared" si="28"/>
        <v>0</v>
      </c>
      <c r="X261" s="44">
        <f t="shared" si="29"/>
        <v>0</v>
      </c>
      <c r="Y261" s="44">
        <f t="shared" si="30"/>
        <v>0</v>
      </c>
      <c r="Z261" s="84"/>
      <c r="AA261" s="78"/>
      <c r="AB261" s="78"/>
      <c r="AC261" s="78"/>
      <c r="AD261" s="78"/>
      <c r="AE261" s="78"/>
    </row>
    <row r="262" spans="1:31" ht="12.75">
      <c r="A262"/>
      <c r="B262"/>
      <c r="C262"/>
      <c r="D262"/>
      <c r="E262"/>
      <c r="F262"/>
      <c r="G262"/>
      <c r="H262"/>
      <c r="I262"/>
      <c r="J262"/>
      <c r="K262" s="100">
        <f t="shared" si="31"/>
        <v>0</v>
      </c>
      <c r="L262" s="95"/>
      <c r="M262" s="90">
        <f t="shared" si="25"/>
        <v>0</v>
      </c>
      <c r="N262" s="56">
        <v>0</v>
      </c>
      <c r="O262" s="44">
        <f t="shared" si="26"/>
        <v>0</v>
      </c>
      <c r="P262" s="44"/>
      <c r="Q262" s="44"/>
      <c r="R262" s="44"/>
      <c r="S262" s="44">
        <f t="shared" si="32"/>
        <v>0</v>
      </c>
      <c r="T262" s="44">
        <f t="shared" si="27"/>
        <v>0</v>
      </c>
      <c r="U262">
        <v>0</v>
      </c>
      <c r="V262" s="43">
        <v>0</v>
      </c>
      <c r="W262" s="44">
        <f t="shared" si="28"/>
        <v>0</v>
      </c>
      <c r="X262" s="44">
        <f t="shared" si="29"/>
        <v>0</v>
      </c>
      <c r="Y262" s="44">
        <f t="shared" si="30"/>
        <v>0</v>
      </c>
      <c r="Z262" s="84"/>
      <c r="AA262" s="78"/>
      <c r="AB262" s="78"/>
      <c r="AC262" s="78"/>
      <c r="AD262" s="78"/>
      <c r="AE262" s="78"/>
    </row>
    <row r="263" spans="1:31" ht="12.75">
      <c r="A263"/>
      <c r="B263"/>
      <c r="C263"/>
      <c r="D263"/>
      <c r="E263"/>
      <c r="F263"/>
      <c r="G263"/>
      <c r="H263"/>
      <c r="I263"/>
      <c r="J263"/>
      <c r="K263" s="100">
        <f t="shared" si="31"/>
        <v>0</v>
      </c>
      <c r="L263" s="95"/>
      <c r="M263" s="90">
        <f t="shared" si="25"/>
        <v>0</v>
      </c>
      <c r="N263" s="56">
        <v>0</v>
      </c>
      <c r="O263" s="44">
        <f t="shared" si="26"/>
        <v>0</v>
      </c>
      <c r="P263" s="44"/>
      <c r="Q263" s="44"/>
      <c r="R263" s="44"/>
      <c r="S263" s="44">
        <f t="shared" si="32"/>
        <v>0</v>
      </c>
      <c r="T263" s="44">
        <f t="shared" si="27"/>
        <v>0</v>
      </c>
      <c r="U263">
        <v>0</v>
      </c>
      <c r="V263" s="43">
        <v>0</v>
      </c>
      <c r="W263" s="44">
        <f t="shared" si="28"/>
        <v>0</v>
      </c>
      <c r="X263" s="44">
        <f t="shared" si="29"/>
        <v>0</v>
      </c>
      <c r="Y263" s="44">
        <f t="shared" si="30"/>
        <v>0</v>
      </c>
      <c r="Z263" s="84"/>
      <c r="AA263" s="78"/>
      <c r="AB263" s="78"/>
      <c r="AC263" s="78"/>
      <c r="AD263" s="78"/>
      <c r="AE263" s="78"/>
    </row>
    <row r="264" spans="1:31" ht="12.75">
      <c r="A264"/>
      <c r="B264"/>
      <c r="C264"/>
      <c r="D264"/>
      <c r="E264"/>
      <c r="F264"/>
      <c r="G264"/>
      <c r="H264"/>
      <c r="I264"/>
      <c r="J264"/>
      <c r="K264" s="100">
        <f t="shared" si="31"/>
        <v>0</v>
      </c>
      <c r="L264" s="95"/>
      <c r="M264" s="90">
        <f t="shared" ref="M264:M327" si="33">ROUND(K264*L264,2)</f>
        <v>0</v>
      </c>
      <c r="N264" s="56">
        <v>0</v>
      </c>
      <c r="O264" s="44">
        <f t="shared" ref="O264:O327" si="34">+M264-(M264*N264)</f>
        <v>0</v>
      </c>
      <c r="P264" s="44"/>
      <c r="Q264" s="44"/>
      <c r="R264" s="44"/>
      <c r="S264" s="44">
        <f t="shared" si="32"/>
        <v>0</v>
      </c>
      <c r="T264" s="44">
        <f t="shared" ref="T264:T327" si="35">+O264+P264+Q264+R264</f>
        <v>0</v>
      </c>
      <c r="U264">
        <v>0</v>
      </c>
      <c r="V264" s="43">
        <v>0</v>
      </c>
      <c r="W264" s="44">
        <f t="shared" ref="W264:W327" si="36">+O264-U264-V264-Z264</f>
        <v>0</v>
      </c>
      <c r="X264" s="44">
        <f t="shared" ref="X264:X327" si="37">(+O264-U264-Z264)*$X$1</f>
        <v>0</v>
      </c>
      <c r="Y264" s="44">
        <f t="shared" ref="Y264:Y327" si="38">+W264-X264</f>
        <v>0</v>
      </c>
      <c r="Z264" s="84"/>
      <c r="AA264" s="78"/>
      <c r="AB264" s="78"/>
      <c r="AC264" s="78"/>
      <c r="AD264" s="78"/>
      <c r="AE264" s="78"/>
    </row>
    <row r="265" spans="1:31" ht="12.75">
      <c r="A265"/>
      <c r="B265"/>
      <c r="C265"/>
      <c r="D265"/>
      <c r="E265"/>
      <c r="F265"/>
      <c r="G265"/>
      <c r="H265"/>
      <c r="I265"/>
      <c r="J265"/>
      <c r="K265" s="100">
        <f t="shared" ref="K265:K328" si="39">+I265*J265</f>
        <v>0</v>
      </c>
      <c r="L265" s="95"/>
      <c r="M265" s="90">
        <f t="shared" si="33"/>
        <v>0</v>
      </c>
      <c r="N265" s="56">
        <v>0</v>
      </c>
      <c r="O265" s="44">
        <f t="shared" si="34"/>
        <v>0</v>
      </c>
      <c r="P265" s="44"/>
      <c r="Q265" s="44"/>
      <c r="R265" s="44"/>
      <c r="S265" s="44">
        <f t="shared" ref="S265:S328" si="40">IF(R265="y",+P265*0.01,0)</f>
        <v>0</v>
      </c>
      <c r="T265" s="44">
        <f t="shared" si="35"/>
        <v>0</v>
      </c>
      <c r="U265">
        <v>0</v>
      </c>
      <c r="V265" s="43">
        <v>0</v>
      </c>
      <c r="W265" s="44">
        <f t="shared" si="36"/>
        <v>0</v>
      </c>
      <c r="X265" s="44">
        <f t="shared" si="37"/>
        <v>0</v>
      </c>
      <c r="Y265" s="44">
        <f t="shared" si="38"/>
        <v>0</v>
      </c>
      <c r="Z265" s="84"/>
      <c r="AA265" s="78"/>
      <c r="AB265" s="78"/>
      <c r="AC265" s="78"/>
      <c r="AD265" s="78"/>
      <c r="AE265" s="78"/>
    </row>
    <row r="266" spans="1:31" ht="12.75">
      <c r="A266"/>
      <c r="B266"/>
      <c r="C266"/>
      <c r="D266"/>
      <c r="E266"/>
      <c r="F266"/>
      <c r="G266"/>
      <c r="H266"/>
      <c r="I266"/>
      <c r="J266"/>
      <c r="K266" s="100">
        <f t="shared" si="39"/>
        <v>0</v>
      </c>
      <c r="L266" s="95"/>
      <c r="M266" s="90">
        <f t="shared" si="33"/>
        <v>0</v>
      </c>
      <c r="N266" s="56">
        <v>0</v>
      </c>
      <c r="O266" s="44">
        <f t="shared" si="34"/>
        <v>0</v>
      </c>
      <c r="P266" s="44"/>
      <c r="Q266" s="44"/>
      <c r="R266" s="44"/>
      <c r="S266" s="44">
        <f t="shared" si="40"/>
        <v>0</v>
      </c>
      <c r="T266" s="44">
        <f t="shared" si="35"/>
        <v>0</v>
      </c>
      <c r="U266">
        <v>0</v>
      </c>
      <c r="V266" s="43">
        <v>0</v>
      </c>
      <c r="W266" s="44">
        <f t="shared" si="36"/>
        <v>0</v>
      </c>
      <c r="X266" s="44">
        <f t="shared" si="37"/>
        <v>0</v>
      </c>
      <c r="Y266" s="44">
        <f t="shared" si="38"/>
        <v>0</v>
      </c>
      <c r="Z266" s="84"/>
      <c r="AA266" s="78"/>
      <c r="AB266" s="78"/>
      <c r="AC266" s="78"/>
      <c r="AD266" s="78"/>
      <c r="AE266" s="78"/>
    </row>
    <row r="267" spans="1:31" ht="12.75">
      <c r="A267"/>
      <c r="B267"/>
      <c r="C267"/>
      <c r="D267"/>
      <c r="E267"/>
      <c r="F267"/>
      <c r="G267"/>
      <c r="H267"/>
      <c r="I267"/>
      <c r="J267"/>
      <c r="K267" s="100">
        <f t="shared" si="39"/>
        <v>0</v>
      </c>
      <c r="L267" s="95"/>
      <c r="M267" s="90">
        <f t="shared" si="33"/>
        <v>0</v>
      </c>
      <c r="N267" s="56">
        <v>0</v>
      </c>
      <c r="O267" s="44">
        <f t="shared" si="34"/>
        <v>0</v>
      </c>
      <c r="P267" s="44"/>
      <c r="Q267" s="44"/>
      <c r="R267" s="44"/>
      <c r="S267" s="44">
        <f t="shared" si="40"/>
        <v>0</v>
      </c>
      <c r="T267" s="44">
        <f t="shared" si="35"/>
        <v>0</v>
      </c>
      <c r="U267">
        <v>0</v>
      </c>
      <c r="V267" s="43">
        <v>0</v>
      </c>
      <c r="W267" s="44">
        <f t="shared" si="36"/>
        <v>0</v>
      </c>
      <c r="X267" s="44">
        <f t="shared" si="37"/>
        <v>0</v>
      </c>
      <c r="Y267" s="44">
        <f t="shared" si="38"/>
        <v>0</v>
      </c>
      <c r="Z267" s="84"/>
      <c r="AA267" s="78"/>
      <c r="AB267" s="78"/>
      <c r="AC267" s="78"/>
      <c r="AD267" s="78"/>
      <c r="AE267" s="78"/>
    </row>
    <row r="268" spans="1:31" ht="12.75">
      <c r="A268"/>
      <c r="B268"/>
      <c r="C268"/>
      <c r="D268"/>
      <c r="E268"/>
      <c r="F268"/>
      <c r="G268"/>
      <c r="H268"/>
      <c r="I268"/>
      <c r="J268"/>
      <c r="K268" s="100">
        <f t="shared" si="39"/>
        <v>0</v>
      </c>
      <c r="L268" s="95"/>
      <c r="M268" s="90">
        <f t="shared" si="33"/>
        <v>0</v>
      </c>
      <c r="N268" s="56">
        <v>0</v>
      </c>
      <c r="O268" s="44">
        <f t="shared" si="34"/>
        <v>0</v>
      </c>
      <c r="P268" s="44"/>
      <c r="Q268" s="44"/>
      <c r="R268" s="44"/>
      <c r="S268" s="44">
        <f t="shared" si="40"/>
        <v>0</v>
      </c>
      <c r="T268" s="44">
        <f t="shared" si="35"/>
        <v>0</v>
      </c>
      <c r="U268">
        <v>0</v>
      </c>
      <c r="V268" s="43">
        <v>0</v>
      </c>
      <c r="W268" s="44">
        <f t="shared" si="36"/>
        <v>0</v>
      </c>
      <c r="X268" s="44">
        <f t="shared" si="37"/>
        <v>0</v>
      </c>
      <c r="Y268" s="44">
        <f t="shared" si="38"/>
        <v>0</v>
      </c>
      <c r="Z268" s="84"/>
      <c r="AA268" s="78"/>
      <c r="AB268" s="78"/>
      <c r="AC268" s="78"/>
      <c r="AD268" s="78"/>
      <c r="AE268" s="78"/>
    </row>
    <row r="269" spans="1:31" ht="12.75">
      <c r="A269"/>
      <c r="B269"/>
      <c r="C269"/>
      <c r="D269"/>
      <c r="E269"/>
      <c r="F269"/>
      <c r="G269"/>
      <c r="H269"/>
      <c r="I269"/>
      <c r="J269"/>
      <c r="K269" s="100">
        <f t="shared" si="39"/>
        <v>0</v>
      </c>
      <c r="L269" s="95"/>
      <c r="M269" s="90">
        <f t="shared" si="33"/>
        <v>0</v>
      </c>
      <c r="N269" s="56">
        <v>0</v>
      </c>
      <c r="O269" s="44">
        <f t="shared" si="34"/>
        <v>0</v>
      </c>
      <c r="P269" s="44"/>
      <c r="Q269" s="44"/>
      <c r="R269" s="44"/>
      <c r="S269" s="44">
        <f t="shared" si="40"/>
        <v>0</v>
      </c>
      <c r="T269" s="44">
        <f t="shared" si="35"/>
        <v>0</v>
      </c>
      <c r="U269">
        <v>0</v>
      </c>
      <c r="V269" s="43">
        <v>0</v>
      </c>
      <c r="W269" s="44">
        <f t="shared" si="36"/>
        <v>0</v>
      </c>
      <c r="X269" s="44">
        <f t="shared" si="37"/>
        <v>0</v>
      </c>
      <c r="Y269" s="44">
        <f t="shared" si="38"/>
        <v>0</v>
      </c>
      <c r="Z269" s="84"/>
      <c r="AA269" s="78"/>
      <c r="AB269" s="78"/>
      <c r="AC269" s="78"/>
      <c r="AD269" s="78"/>
      <c r="AE269" s="78"/>
    </row>
    <row r="270" spans="1:31" ht="12.75">
      <c r="A270"/>
      <c r="B270"/>
      <c r="C270"/>
      <c r="D270"/>
      <c r="E270"/>
      <c r="F270"/>
      <c r="G270"/>
      <c r="H270"/>
      <c r="I270"/>
      <c r="J270"/>
      <c r="K270" s="100">
        <f t="shared" si="39"/>
        <v>0</v>
      </c>
      <c r="L270" s="95"/>
      <c r="M270" s="90">
        <f t="shared" si="33"/>
        <v>0</v>
      </c>
      <c r="N270" s="56">
        <v>0</v>
      </c>
      <c r="O270" s="44">
        <f t="shared" si="34"/>
        <v>0</v>
      </c>
      <c r="P270" s="44"/>
      <c r="Q270" s="44"/>
      <c r="R270" s="44"/>
      <c r="S270" s="44">
        <f t="shared" si="40"/>
        <v>0</v>
      </c>
      <c r="T270" s="44">
        <f t="shared" si="35"/>
        <v>0</v>
      </c>
      <c r="U270">
        <v>0</v>
      </c>
      <c r="V270" s="43">
        <v>0</v>
      </c>
      <c r="W270" s="44">
        <f t="shared" si="36"/>
        <v>0</v>
      </c>
      <c r="X270" s="44">
        <f t="shared" si="37"/>
        <v>0</v>
      </c>
      <c r="Y270" s="44">
        <f t="shared" si="38"/>
        <v>0</v>
      </c>
      <c r="Z270" s="84"/>
      <c r="AA270" s="78"/>
      <c r="AB270" s="78"/>
      <c r="AC270" s="78"/>
      <c r="AD270" s="78"/>
      <c r="AE270" s="78"/>
    </row>
    <row r="271" spans="1:31" ht="12.75">
      <c r="A271"/>
      <c r="B271"/>
      <c r="C271"/>
      <c r="D271"/>
      <c r="E271"/>
      <c r="F271"/>
      <c r="G271"/>
      <c r="H271"/>
      <c r="I271"/>
      <c r="J271"/>
      <c r="K271" s="100">
        <f t="shared" si="39"/>
        <v>0</v>
      </c>
      <c r="L271" s="95"/>
      <c r="M271" s="90">
        <f t="shared" si="33"/>
        <v>0</v>
      </c>
      <c r="N271" s="56">
        <v>0</v>
      </c>
      <c r="O271" s="44">
        <f t="shared" si="34"/>
        <v>0</v>
      </c>
      <c r="P271" s="44"/>
      <c r="Q271" s="44"/>
      <c r="R271" s="44"/>
      <c r="S271" s="44">
        <f t="shared" si="40"/>
        <v>0</v>
      </c>
      <c r="T271" s="44">
        <f t="shared" si="35"/>
        <v>0</v>
      </c>
      <c r="U271">
        <v>0</v>
      </c>
      <c r="V271" s="43">
        <v>0</v>
      </c>
      <c r="W271" s="44">
        <f t="shared" si="36"/>
        <v>0</v>
      </c>
      <c r="X271" s="44">
        <f t="shared" si="37"/>
        <v>0</v>
      </c>
      <c r="Y271" s="44">
        <f t="shared" si="38"/>
        <v>0</v>
      </c>
      <c r="Z271" s="84"/>
      <c r="AA271" s="78"/>
      <c r="AB271" s="78"/>
      <c r="AC271" s="78"/>
      <c r="AD271" s="78"/>
      <c r="AE271" s="78"/>
    </row>
    <row r="272" spans="1:31" ht="12.75">
      <c r="A272"/>
      <c r="B272"/>
      <c r="C272"/>
      <c r="D272"/>
      <c r="E272"/>
      <c r="F272"/>
      <c r="G272"/>
      <c r="H272"/>
      <c r="I272"/>
      <c r="J272"/>
      <c r="K272" s="100">
        <f t="shared" si="39"/>
        <v>0</v>
      </c>
      <c r="L272" s="95"/>
      <c r="M272" s="90">
        <f t="shared" si="33"/>
        <v>0</v>
      </c>
      <c r="N272" s="56">
        <v>0</v>
      </c>
      <c r="O272" s="44">
        <f t="shared" si="34"/>
        <v>0</v>
      </c>
      <c r="P272" s="44"/>
      <c r="Q272" s="44"/>
      <c r="R272" s="44"/>
      <c r="S272" s="44">
        <f t="shared" si="40"/>
        <v>0</v>
      </c>
      <c r="T272" s="44">
        <f t="shared" si="35"/>
        <v>0</v>
      </c>
      <c r="U272">
        <v>0</v>
      </c>
      <c r="V272" s="43">
        <v>0</v>
      </c>
      <c r="W272" s="44">
        <f t="shared" si="36"/>
        <v>0</v>
      </c>
      <c r="X272" s="44">
        <f t="shared" si="37"/>
        <v>0</v>
      </c>
      <c r="Y272" s="44">
        <f t="shared" si="38"/>
        <v>0</v>
      </c>
      <c r="Z272" s="84"/>
      <c r="AA272" s="78"/>
      <c r="AB272" s="78"/>
      <c r="AC272" s="78"/>
      <c r="AD272" s="78"/>
      <c r="AE272" s="78"/>
    </row>
    <row r="273" spans="1:31" ht="12.75">
      <c r="A273"/>
      <c r="B273"/>
      <c r="C273"/>
      <c r="D273"/>
      <c r="E273"/>
      <c r="F273"/>
      <c r="G273"/>
      <c r="H273"/>
      <c r="I273"/>
      <c r="J273"/>
      <c r="K273" s="100">
        <f t="shared" si="39"/>
        <v>0</v>
      </c>
      <c r="L273" s="95"/>
      <c r="M273" s="90">
        <f t="shared" si="33"/>
        <v>0</v>
      </c>
      <c r="N273" s="56">
        <v>0</v>
      </c>
      <c r="O273" s="44">
        <f t="shared" si="34"/>
        <v>0</v>
      </c>
      <c r="P273" s="44"/>
      <c r="Q273" s="44"/>
      <c r="R273" s="44"/>
      <c r="S273" s="44">
        <f t="shared" si="40"/>
        <v>0</v>
      </c>
      <c r="T273" s="44">
        <f t="shared" si="35"/>
        <v>0</v>
      </c>
      <c r="U273">
        <v>0</v>
      </c>
      <c r="V273" s="43">
        <v>0</v>
      </c>
      <c r="W273" s="44">
        <f t="shared" si="36"/>
        <v>0</v>
      </c>
      <c r="X273" s="44">
        <f t="shared" si="37"/>
        <v>0</v>
      </c>
      <c r="Y273" s="44">
        <f t="shared" si="38"/>
        <v>0</v>
      </c>
      <c r="Z273" s="84"/>
      <c r="AA273" s="78"/>
      <c r="AB273" s="78"/>
      <c r="AC273" s="78"/>
      <c r="AD273" s="78"/>
      <c r="AE273" s="78"/>
    </row>
    <row r="274" spans="1:31" ht="12.75">
      <c r="A274"/>
      <c r="B274"/>
      <c r="C274"/>
      <c r="D274"/>
      <c r="E274"/>
      <c r="F274"/>
      <c r="G274"/>
      <c r="H274"/>
      <c r="I274"/>
      <c r="J274"/>
      <c r="K274" s="100">
        <f t="shared" si="39"/>
        <v>0</v>
      </c>
      <c r="L274" s="95"/>
      <c r="M274" s="90">
        <f t="shared" si="33"/>
        <v>0</v>
      </c>
      <c r="N274" s="56">
        <v>0</v>
      </c>
      <c r="O274" s="44">
        <f t="shared" si="34"/>
        <v>0</v>
      </c>
      <c r="P274" s="44"/>
      <c r="Q274" s="44"/>
      <c r="R274" s="44"/>
      <c r="S274" s="44">
        <f t="shared" si="40"/>
        <v>0</v>
      </c>
      <c r="T274" s="44">
        <f t="shared" si="35"/>
        <v>0</v>
      </c>
      <c r="U274">
        <v>0</v>
      </c>
      <c r="V274" s="43">
        <v>0</v>
      </c>
      <c r="W274" s="44">
        <f t="shared" si="36"/>
        <v>0</v>
      </c>
      <c r="X274" s="44">
        <f t="shared" si="37"/>
        <v>0</v>
      </c>
      <c r="Y274" s="44">
        <f t="shared" si="38"/>
        <v>0</v>
      </c>
      <c r="Z274" s="84"/>
      <c r="AA274" s="78"/>
      <c r="AB274" s="78"/>
      <c r="AC274" s="78"/>
      <c r="AD274" s="78"/>
      <c r="AE274" s="78"/>
    </row>
    <row r="275" spans="1:31" ht="12.75">
      <c r="A275"/>
      <c r="B275"/>
      <c r="C275"/>
      <c r="D275"/>
      <c r="E275"/>
      <c r="F275"/>
      <c r="G275"/>
      <c r="H275"/>
      <c r="I275"/>
      <c r="J275"/>
      <c r="K275" s="100">
        <f t="shared" si="39"/>
        <v>0</v>
      </c>
      <c r="L275" s="95"/>
      <c r="M275" s="90">
        <f t="shared" si="33"/>
        <v>0</v>
      </c>
      <c r="N275" s="56">
        <v>0</v>
      </c>
      <c r="O275" s="44">
        <f t="shared" si="34"/>
        <v>0</v>
      </c>
      <c r="P275" s="44"/>
      <c r="Q275" s="44"/>
      <c r="R275" s="44"/>
      <c r="S275" s="44">
        <f t="shared" si="40"/>
        <v>0</v>
      </c>
      <c r="T275" s="44">
        <f t="shared" si="35"/>
        <v>0</v>
      </c>
      <c r="U275">
        <v>0</v>
      </c>
      <c r="V275" s="43">
        <v>0</v>
      </c>
      <c r="W275" s="44">
        <f t="shared" si="36"/>
        <v>0</v>
      </c>
      <c r="X275" s="44">
        <f t="shared" si="37"/>
        <v>0</v>
      </c>
      <c r="Y275" s="44">
        <f t="shared" si="38"/>
        <v>0</v>
      </c>
      <c r="Z275" s="84"/>
      <c r="AA275" s="78"/>
      <c r="AB275" s="78"/>
      <c r="AC275" s="78"/>
      <c r="AD275" s="78"/>
      <c r="AE275" s="78"/>
    </row>
    <row r="276" spans="1:31" ht="12.75">
      <c r="A276"/>
      <c r="B276"/>
      <c r="C276"/>
      <c r="D276"/>
      <c r="E276"/>
      <c r="F276"/>
      <c r="G276"/>
      <c r="H276"/>
      <c r="I276"/>
      <c r="J276"/>
      <c r="K276" s="100">
        <f t="shared" si="39"/>
        <v>0</v>
      </c>
      <c r="L276" s="95"/>
      <c r="M276" s="90">
        <f t="shared" si="33"/>
        <v>0</v>
      </c>
      <c r="N276" s="56">
        <v>0</v>
      </c>
      <c r="O276" s="44">
        <f t="shared" si="34"/>
        <v>0</v>
      </c>
      <c r="P276" s="44"/>
      <c r="Q276" s="44"/>
      <c r="R276" s="44"/>
      <c r="S276" s="44">
        <f t="shared" si="40"/>
        <v>0</v>
      </c>
      <c r="T276" s="44">
        <f t="shared" si="35"/>
        <v>0</v>
      </c>
      <c r="U276">
        <v>0</v>
      </c>
      <c r="V276" s="43">
        <v>0</v>
      </c>
      <c r="W276" s="44">
        <f t="shared" si="36"/>
        <v>0</v>
      </c>
      <c r="X276" s="44">
        <f t="shared" si="37"/>
        <v>0</v>
      </c>
      <c r="Y276" s="44">
        <f t="shared" si="38"/>
        <v>0</v>
      </c>
      <c r="Z276" s="84"/>
      <c r="AA276" s="78"/>
      <c r="AB276" s="78"/>
      <c r="AC276" s="78"/>
      <c r="AD276" s="78"/>
      <c r="AE276" s="78"/>
    </row>
    <row r="277" spans="1:31" ht="12.75">
      <c r="A277"/>
      <c r="B277"/>
      <c r="C277"/>
      <c r="D277"/>
      <c r="E277"/>
      <c r="F277"/>
      <c r="G277"/>
      <c r="H277"/>
      <c r="I277"/>
      <c r="J277"/>
      <c r="K277" s="100">
        <f t="shared" si="39"/>
        <v>0</v>
      </c>
      <c r="L277" s="95"/>
      <c r="M277" s="90">
        <f t="shared" si="33"/>
        <v>0</v>
      </c>
      <c r="N277" s="56">
        <v>0</v>
      </c>
      <c r="O277" s="44">
        <f t="shared" si="34"/>
        <v>0</v>
      </c>
      <c r="P277" s="44"/>
      <c r="Q277" s="44"/>
      <c r="R277" s="44"/>
      <c r="S277" s="44">
        <f t="shared" si="40"/>
        <v>0</v>
      </c>
      <c r="T277" s="44">
        <f t="shared" si="35"/>
        <v>0</v>
      </c>
      <c r="U277">
        <v>0</v>
      </c>
      <c r="V277" s="43">
        <v>0</v>
      </c>
      <c r="W277" s="44">
        <f t="shared" si="36"/>
        <v>0</v>
      </c>
      <c r="X277" s="44">
        <f t="shared" si="37"/>
        <v>0</v>
      </c>
      <c r="Y277" s="44">
        <f t="shared" si="38"/>
        <v>0</v>
      </c>
      <c r="Z277" s="84"/>
      <c r="AA277" s="78"/>
      <c r="AB277" s="78"/>
      <c r="AC277" s="78"/>
      <c r="AD277" s="78"/>
      <c r="AE277" s="78"/>
    </row>
    <row r="278" spans="1:31" ht="12.75">
      <c r="A278"/>
      <c r="B278"/>
      <c r="C278"/>
      <c r="D278"/>
      <c r="E278"/>
      <c r="F278"/>
      <c r="G278"/>
      <c r="H278"/>
      <c r="I278"/>
      <c r="J278"/>
      <c r="K278" s="100">
        <f t="shared" si="39"/>
        <v>0</v>
      </c>
      <c r="L278" s="95"/>
      <c r="M278" s="90">
        <f t="shared" si="33"/>
        <v>0</v>
      </c>
      <c r="N278" s="56">
        <v>0</v>
      </c>
      <c r="O278" s="44">
        <f t="shared" si="34"/>
        <v>0</v>
      </c>
      <c r="P278" s="44"/>
      <c r="Q278" s="44"/>
      <c r="R278" s="44"/>
      <c r="S278" s="44">
        <f t="shared" si="40"/>
        <v>0</v>
      </c>
      <c r="T278" s="44">
        <f t="shared" si="35"/>
        <v>0</v>
      </c>
      <c r="U278">
        <v>0</v>
      </c>
      <c r="V278" s="43">
        <v>0</v>
      </c>
      <c r="W278" s="44">
        <f t="shared" si="36"/>
        <v>0</v>
      </c>
      <c r="X278" s="44">
        <f t="shared" si="37"/>
        <v>0</v>
      </c>
      <c r="Y278" s="44">
        <f t="shared" si="38"/>
        <v>0</v>
      </c>
      <c r="Z278" s="84"/>
      <c r="AA278" s="78"/>
      <c r="AB278" s="78"/>
      <c r="AC278" s="78"/>
      <c r="AD278" s="78"/>
      <c r="AE278" s="78"/>
    </row>
    <row r="279" spans="1:31" ht="12.75">
      <c r="A279"/>
      <c r="B279"/>
      <c r="C279"/>
      <c r="D279"/>
      <c r="E279"/>
      <c r="F279"/>
      <c r="G279"/>
      <c r="H279"/>
      <c r="I279"/>
      <c r="J279"/>
      <c r="K279" s="100">
        <f t="shared" si="39"/>
        <v>0</v>
      </c>
      <c r="L279" s="95"/>
      <c r="M279" s="90">
        <f t="shared" si="33"/>
        <v>0</v>
      </c>
      <c r="N279" s="56">
        <v>0</v>
      </c>
      <c r="O279" s="44">
        <f t="shared" si="34"/>
        <v>0</v>
      </c>
      <c r="P279" s="44"/>
      <c r="Q279" s="44"/>
      <c r="R279" s="44"/>
      <c r="S279" s="44">
        <f t="shared" si="40"/>
        <v>0</v>
      </c>
      <c r="T279" s="44">
        <f t="shared" si="35"/>
        <v>0</v>
      </c>
      <c r="U279">
        <v>0</v>
      </c>
      <c r="V279" s="43">
        <v>0</v>
      </c>
      <c r="W279" s="44">
        <f t="shared" si="36"/>
        <v>0</v>
      </c>
      <c r="X279" s="44">
        <f t="shared" si="37"/>
        <v>0</v>
      </c>
      <c r="Y279" s="44">
        <f t="shared" si="38"/>
        <v>0</v>
      </c>
      <c r="Z279" s="84"/>
      <c r="AA279" s="78"/>
      <c r="AB279" s="78"/>
      <c r="AC279" s="78"/>
      <c r="AD279" s="78"/>
      <c r="AE279" s="78"/>
    </row>
    <row r="280" spans="1:31" ht="12.75">
      <c r="A280"/>
      <c r="B280"/>
      <c r="C280"/>
      <c r="D280"/>
      <c r="E280"/>
      <c r="F280"/>
      <c r="G280"/>
      <c r="H280"/>
      <c r="I280"/>
      <c r="J280"/>
      <c r="K280" s="100">
        <f t="shared" si="39"/>
        <v>0</v>
      </c>
      <c r="L280" s="95"/>
      <c r="M280" s="90">
        <f t="shared" si="33"/>
        <v>0</v>
      </c>
      <c r="N280" s="56">
        <v>0</v>
      </c>
      <c r="O280" s="44">
        <f t="shared" si="34"/>
        <v>0</v>
      </c>
      <c r="P280" s="44"/>
      <c r="Q280" s="44"/>
      <c r="R280" s="44"/>
      <c r="S280" s="44">
        <f t="shared" si="40"/>
        <v>0</v>
      </c>
      <c r="T280" s="44">
        <f t="shared" si="35"/>
        <v>0</v>
      </c>
      <c r="U280">
        <v>0</v>
      </c>
      <c r="V280" s="43">
        <v>0</v>
      </c>
      <c r="W280" s="44">
        <f t="shared" si="36"/>
        <v>0</v>
      </c>
      <c r="X280" s="44">
        <f t="shared" si="37"/>
        <v>0</v>
      </c>
      <c r="Y280" s="44">
        <f t="shared" si="38"/>
        <v>0</v>
      </c>
      <c r="Z280" s="84"/>
      <c r="AA280" s="78"/>
      <c r="AB280" s="78"/>
      <c r="AC280" s="78"/>
      <c r="AD280" s="78"/>
      <c r="AE280" s="78"/>
    </row>
    <row r="281" spans="1:31" ht="12.75">
      <c r="A281"/>
      <c r="B281"/>
      <c r="C281"/>
      <c r="D281"/>
      <c r="E281"/>
      <c r="F281"/>
      <c r="G281"/>
      <c r="H281"/>
      <c r="I281"/>
      <c r="J281"/>
      <c r="K281" s="100">
        <f t="shared" si="39"/>
        <v>0</v>
      </c>
      <c r="L281" s="95"/>
      <c r="M281" s="90">
        <f t="shared" si="33"/>
        <v>0</v>
      </c>
      <c r="N281" s="56">
        <v>0</v>
      </c>
      <c r="O281" s="44">
        <f t="shared" si="34"/>
        <v>0</v>
      </c>
      <c r="P281" s="44"/>
      <c r="Q281" s="44"/>
      <c r="R281" s="44"/>
      <c r="S281" s="44">
        <f t="shared" si="40"/>
        <v>0</v>
      </c>
      <c r="T281" s="44">
        <f t="shared" si="35"/>
        <v>0</v>
      </c>
      <c r="U281">
        <v>0</v>
      </c>
      <c r="V281" s="43">
        <v>0</v>
      </c>
      <c r="W281" s="44">
        <f t="shared" si="36"/>
        <v>0</v>
      </c>
      <c r="X281" s="44">
        <f t="shared" si="37"/>
        <v>0</v>
      </c>
      <c r="Y281" s="44">
        <f t="shared" si="38"/>
        <v>0</v>
      </c>
      <c r="Z281" s="84"/>
      <c r="AA281" s="78"/>
      <c r="AB281" s="78"/>
      <c r="AC281" s="78"/>
      <c r="AD281" s="78"/>
      <c r="AE281" s="78"/>
    </row>
    <row r="282" spans="1:31" ht="12.75">
      <c r="A282"/>
      <c r="B282"/>
      <c r="C282"/>
      <c r="D282"/>
      <c r="E282"/>
      <c r="F282"/>
      <c r="G282"/>
      <c r="H282"/>
      <c r="I282"/>
      <c r="J282"/>
      <c r="K282" s="100">
        <f t="shared" si="39"/>
        <v>0</v>
      </c>
      <c r="L282" s="95"/>
      <c r="M282" s="90">
        <f t="shared" si="33"/>
        <v>0</v>
      </c>
      <c r="N282" s="56">
        <v>0</v>
      </c>
      <c r="O282" s="44">
        <f t="shared" si="34"/>
        <v>0</v>
      </c>
      <c r="P282" s="44"/>
      <c r="Q282" s="44"/>
      <c r="R282" s="44"/>
      <c r="S282" s="44">
        <f t="shared" si="40"/>
        <v>0</v>
      </c>
      <c r="T282" s="44">
        <f t="shared" si="35"/>
        <v>0</v>
      </c>
      <c r="U282">
        <v>0</v>
      </c>
      <c r="V282" s="43">
        <v>0</v>
      </c>
      <c r="W282" s="44">
        <f t="shared" si="36"/>
        <v>0</v>
      </c>
      <c r="X282" s="44">
        <f t="shared" si="37"/>
        <v>0</v>
      </c>
      <c r="Y282" s="44">
        <f t="shared" si="38"/>
        <v>0</v>
      </c>
      <c r="Z282" s="84"/>
      <c r="AA282" s="78"/>
      <c r="AB282" s="78"/>
      <c r="AC282" s="78"/>
      <c r="AD282" s="78"/>
      <c r="AE282" s="78"/>
    </row>
    <row r="283" spans="1:31" ht="12.75">
      <c r="A283"/>
      <c r="B283"/>
      <c r="C283"/>
      <c r="D283"/>
      <c r="E283"/>
      <c r="F283"/>
      <c r="G283"/>
      <c r="H283"/>
      <c r="I283"/>
      <c r="J283"/>
      <c r="K283" s="100">
        <f t="shared" si="39"/>
        <v>0</v>
      </c>
      <c r="L283" s="95"/>
      <c r="M283" s="90">
        <f t="shared" si="33"/>
        <v>0</v>
      </c>
      <c r="N283" s="56">
        <v>0</v>
      </c>
      <c r="O283" s="44">
        <f t="shared" si="34"/>
        <v>0</v>
      </c>
      <c r="P283" s="44"/>
      <c r="Q283" s="44"/>
      <c r="R283" s="44"/>
      <c r="S283" s="44">
        <f t="shared" si="40"/>
        <v>0</v>
      </c>
      <c r="T283" s="44">
        <f t="shared" si="35"/>
        <v>0</v>
      </c>
      <c r="U283">
        <v>0</v>
      </c>
      <c r="V283" s="43">
        <v>0</v>
      </c>
      <c r="W283" s="44">
        <f t="shared" si="36"/>
        <v>0</v>
      </c>
      <c r="X283" s="44">
        <f t="shared" si="37"/>
        <v>0</v>
      </c>
      <c r="Y283" s="44">
        <f t="shared" si="38"/>
        <v>0</v>
      </c>
      <c r="Z283" s="84"/>
      <c r="AA283" s="78"/>
      <c r="AB283" s="78"/>
      <c r="AC283" s="78"/>
      <c r="AD283" s="78"/>
      <c r="AE283" s="78"/>
    </row>
    <row r="284" spans="1:31" ht="12.75">
      <c r="A284"/>
      <c r="B284"/>
      <c r="C284"/>
      <c r="D284"/>
      <c r="E284"/>
      <c r="F284"/>
      <c r="G284"/>
      <c r="H284"/>
      <c r="I284"/>
      <c r="J284"/>
      <c r="K284" s="100">
        <f t="shared" si="39"/>
        <v>0</v>
      </c>
      <c r="L284" s="95"/>
      <c r="M284" s="90">
        <f t="shared" si="33"/>
        <v>0</v>
      </c>
      <c r="N284" s="56">
        <v>0</v>
      </c>
      <c r="O284" s="44">
        <f t="shared" si="34"/>
        <v>0</v>
      </c>
      <c r="P284" s="44"/>
      <c r="Q284" s="44"/>
      <c r="R284" s="44"/>
      <c r="S284" s="44">
        <f t="shared" si="40"/>
        <v>0</v>
      </c>
      <c r="T284" s="44">
        <f t="shared" si="35"/>
        <v>0</v>
      </c>
      <c r="U284">
        <v>0</v>
      </c>
      <c r="V284" s="43">
        <v>0</v>
      </c>
      <c r="W284" s="44">
        <f t="shared" si="36"/>
        <v>0</v>
      </c>
      <c r="X284" s="44">
        <f t="shared" si="37"/>
        <v>0</v>
      </c>
      <c r="Y284" s="44">
        <f t="shared" si="38"/>
        <v>0</v>
      </c>
      <c r="Z284" s="84"/>
      <c r="AA284" s="78"/>
      <c r="AB284" s="78"/>
      <c r="AC284" s="78"/>
      <c r="AD284" s="78"/>
      <c r="AE284" s="78"/>
    </row>
    <row r="285" spans="1:31" ht="12.75">
      <c r="A285"/>
      <c r="B285"/>
      <c r="C285"/>
      <c r="D285"/>
      <c r="E285"/>
      <c r="F285"/>
      <c r="G285"/>
      <c r="H285"/>
      <c r="I285"/>
      <c r="J285"/>
      <c r="K285" s="100">
        <f t="shared" si="39"/>
        <v>0</v>
      </c>
      <c r="L285" s="95"/>
      <c r="M285" s="90">
        <f t="shared" si="33"/>
        <v>0</v>
      </c>
      <c r="N285" s="56">
        <v>0</v>
      </c>
      <c r="O285" s="44">
        <f t="shared" si="34"/>
        <v>0</v>
      </c>
      <c r="P285" s="44"/>
      <c r="Q285" s="44"/>
      <c r="R285" s="44"/>
      <c r="S285" s="44">
        <f t="shared" si="40"/>
        <v>0</v>
      </c>
      <c r="T285" s="44">
        <f t="shared" si="35"/>
        <v>0</v>
      </c>
      <c r="U285">
        <v>0</v>
      </c>
      <c r="V285" s="43">
        <v>0</v>
      </c>
      <c r="W285" s="44">
        <f t="shared" si="36"/>
        <v>0</v>
      </c>
      <c r="X285" s="44">
        <f t="shared" si="37"/>
        <v>0</v>
      </c>
      <c r="Y285" s="44">
        <f t="shared" si="38"/>
        <v>0</v>
      </c>
      <c r="Z285" s="84"/>
      <c r="AA285" s="78"/>
      <c r="AB285" s="78"/>
      <c r="AC285" s="78"/>
      <c r="AD285" s="78"/>
      <c r="AE285" s="78"/>
    </row>
    <row r="286" spans="1:31" ht="12.75">
      <c r="A286"/>
      <c r="B286"/>
      <c r="C286"/>
      <c r="D286"/>
      <c r="E286"/>
      <c r="F286"/>
      <c r="G286"/>
      <c r="H286"/>
      <c r="I286"/>
      <c r="J286"/>
      <c r="K286" s="100">
        <f t="shared" si="39"/>
        <v>0</v>
      </c>
      <c r="L286" s="95"/>
      <c r="M286" s="90">
        <f t="shared" si="33"/>
        <v>0</v>
      </c>
      <c r="N286" s="56">
        <v>0</v>
      </c>
      <c r="O286" s="44">
        <f t="shared" si="34"/>
        <v>0</v>
      </c>
      <c r="P286" s="44"/>
      <c r="Q286" s="44"/>
      <c r="R286" s="44"/>
      <c r="S286" s="44">
        <f t="shared" si="40"/>
        <v>0</v>
      </c>
      <c r="T286" s="44">
        <f t="shared" si="35"/>
        <v>0</v>
      </c>
      <c r="U286">
        <v>0</v>
      </c>
      <c r="V286" s="43">
        <v>0</v>
      </c>
      <c r="W286" s="44">
        <f t="shared" si="36"/>
        <v>0</v>
      </c>
      <c r="X286" s="44">
        <f t="shared" si="37"/>
        <v>0</v>
      </c>
      <c r="Y286" s="44">
        <f t="shared" si="38"/>
        <v>0</v>
      </c>
      <c r="Z286" s="84"/>
      <c r="AA286" s="78"/>
      <c r="AB286" s="78"/>
      <c r="AC286" s="78"/>
      <c r="AD286" s="78"/>
      <c r="AE286" s="78"/>
    </row>
    <row r="287" spans="1:31" ht="12.75">
      <c r="A287"/>
      <c r="B287"/>
      <c r="C287"/>
      <c r="D287"/>
      <c r="E287"/>
      <c r="F287"/>
      <c r="G287"/>
      <c r="H287"/>
      <c r="I287"/>
      <c r="J287"/>
      <c r="K287" s="100">
        <f t="shared" si="39"/>
        <v>0</v>
      </c>
      <c r="L287" s="95"/>
      <c r="M287" s="90">
        <f t="shared" si="33"/>
        <v>0</v>
      </c>
      <c r="N287" s="56">
        <v>0</v>
      </c>
      <c r="O287" s="44">
        <f t="shared" si="34"/>
        <v>0</v>
      </c>
      <c r="P287" s="44"/>
      <c r="Q287" s="44"/>
      <c r="R287" s="44"/>
      <c r="S287" s="44">
        <f t="shared" si="40"/>
        <v>0</v>
      </c>
      <c r="T287" s="44">
        <f t="shared" si="35"/>
        <v>0</v>
      </c>
      <c r="U287">
        <v>0</v>
      </c>
      <c r="V287" s="43">
        <v>0</v>
      </c>
      <c r="W287" s="44">
        <f t="shared" si="36"/>
        <v>0</v>
      </c>
      <c r="X287" s="44">
        <f t="shared" si="37"/>
        <v>0</v>
      </c>
      <c r="Y287" s="44">
        <f t="shared" si="38"/>
        <v>0</v>
      </c>
      <c r="Z287" s="84"/>
      <c r="AA287" s="78"/>
      <c r="AB287" s="78"/>
      <c r="AC287" s="78"/>
      <c r="AD287" s="78"/>
      <c r="AE287" s="78"/>
    </row>
    <row r="288" spans="1:31" ht="12.75">
      <c r="A288"/>
      <c r="B288"/>
      <c r="C288"/>
      <c r="D288"/>
      <c r="E288"/>
      <c r="F288"/>
      <c r="G288"/>
      <c r="H288"/>
      <c r="I288"/>
      <c r="J288"/>
      <c r="K288" s="100">
        <f t="shared" si="39"/>
        <v>0</v>
      </c>
      <c r="L288" s="95"/>
      <c r="M288" s="90">
        <f t="shared" si="33"/>
        <v>0</v>
      </c>
      <c r="N288" s="56">
        <v>0</v>
      </c>
      <c r="O288" s="44">
        <f t="shared" si="34"/>
        <v>0</v>
      </c>
      <c r="P288" s="44"/>
      <c r="Q288" s="44"/>
      <c r="R288" s="44"/>
      <c r="S288" s="44">
        <f t="shared" si="40"/>
        <v>0</v>
      </c>
      <c r="T288" s="44">
        <f t="shared" si="35"/>
        <v>0</v>
      </c>
      <c r="U288">
        <v>0</v>
      </c>
      <c r="V288" s="43">
        <v>0</v>
      </c>
      <c r="W288" s="44">
        <f t="shared" si="36"/>
        <v>0</v>
      </c>
      <c r="X288" s="44">
        <f t="shared" si="37"/>
        <v>0</v>
      </c>
      <c r="Y288" s="44">
        <f t="shared" si="38"/>
        <v>0</v>
      </c>
      <c r="Z288" s="84"/>
      <c r="AA288" s="78"/>
      <c r="AB288" s="78"/>
      <c r="AC288" s="78"/>
      <c r="AD288" s="78"/>
      <c r="AE288" s="78"/>
    </row>
    <row r="289" spans="1:31" ht="12.75">
      <c r="A289"/>
      <c r="B289"/>
      <c r="C289"/>
      <c r="D289"/>
      <c r="E289"/>
      <c r="F289"/>
      <c r="G289"/>
      <c r="H289"/>
      <c r="I289"/>
      <c r="J289"/>
      <c r="K289" s="100">
        <f t="shared" si="39"/>
        <v>0</v>
      </c>
      <c r="L289" s="95"/>
      <c r="M289" s="90">
        <f t="shared" si="33"/>
        <v>0</v>
      </c>
      <c r="N289" s="56">
        <v>0</v>
      </c>
      <c r="O289" s="44">
        <f t="shared" si="34"/>
        <v>0</v>
      </c>
      <c r="P289" s="44"/>
      <c r="Q289" s="44"/>
      <c r="R289" s="44"/>
      <c r="S289" s="44">
        <f t="shared" si="40"/>
        <v>0</v>
      </c>
      <c r="T289" s="44">
        <f t="shared" si="35"/>
        <v>0</v>
      </c>
      <c r="U289">
        <v>0</v>
      </c>
      <c r="V289" s="43">
        <v>0</v>
      </c>
      <c r="W289" s="44">
        <f t="shared" si="36"/>
        <v>0</v>
      </c>
      <c r="X289" s="44">
        <f t="shared" si="37"/>
        <v>0</v>
      </c>
      <c r="Y289" s="44">
        <f t="shared" si="38"/>
        <v>0</v>
      </c>
      <c r="Z289" s="84"/>
      <c r="AA289" s="78"/>
      <c r="AB289" s="78"/>
      <c r="AC289" s="78"/>
      <c r="AD289" s="78"/>
      <c r="AE289" s="78"/>
    </row>
    <row r="290" spans="1:31" ht="12.75">
      <c r="A290"/>
      <c r="B290"/>
      <c r="C290"/>
      <c r="D290"/>
      <c r="E290"/>
      <c r="F290"/>
      <c r="G290"/>
      <c r="H290"/>
      <c r="I290"/>
      <c r="J290"/>
      <c r="K290" s="100">
        <f t="shared" si="39"/>
        <v>0</v>
      </c>
      <c r="L290" s="95"/>
      <c r="M290" s="90">
        <f t="shared" si="33"/>
        <v>0</v>
      </c>
      <c r="N290" s="56">
        <v>0</v>
      </c>
      <c r="O290" s="44">
        <f t="shared" si="34"/>
        <v>0</v>
      </c>
      <c r="P290" s="44"/>
      <c r="Q290" s="44"/>
      <c r="R290" s="44"/>
      <c r="S290" s="44">
        <f t="shared" si="40"/>
        <v>0</v>
      </c>
      <c r="T290" s="44">
        <f t="shared" si="35"/>
        <v>0</v>
      </c>
      <c r="U290">
        <v>0</v>
      </c>
      <c r="V290" s="43">
        <v>0</v>
      </c>
      <c r="W290" s="44">
        <f t="shared" si="36"/>
        <v>0</v>
      </c>
      <c r="X290" s="44">
        <f t="shared" si="37"/>
        <v>0</v>
      </c>
      <c r="Y290" s="44">
        <f t="shared" si="38"/>
        <v>0</v>
      </c>
      <c r="Z290" s="84"/>
      <c r="AA290" s="78"/>
      <c r="AB290" s="78"/>
      <c r="AC290" s="78"/>
      <c r="AD290" s="78"/>
      <c r="AE290" s="78"/>
    </row>
    <row r="291" spans="1:31" ht="12.75">
      <c r="A291"/>
      <c r="B291"/>
      <c r="C291"/>
      <c r="D291"/>
      <c r="E291"/>
      <c r="F291"/>
      <c r="G291"/>
      <c r="H291"/>
      <c r="I291"/>
      <c r="J291"/>
      <c r="K291" s="100">
        <f t="shared" si="39"/>
        <v>0</v>
      </c>
      <c r="L291" s="95"/>
      <c r="M291" s="90">
        <f t="shared" si="33"/>
        <v>0</v>
      </c>
      <c r="N291" s="56">
        <v>0</v>
      </c>
      <c r="O291" s="44">
        <f t="shared" si="34"/>
        <v>0</v>
      </c>
      <c r="P291" s="44"/>
      <c r="Q291" s="44"/>
      <c r="R291" s="44"/>
      <c r="S291" s="44">
        <f t="shared" si="40"/>
        <v>0</v>
      </c>
      <c r="T291" s="44">
        <f t="shared" si="35"/>
        <v>0</v>
      </c>
      <c r="U291">
        <v>0</v>
      </c>
      <c r="V291" s="43">
        <v>0</v>
      </c>
      <c r="W291" s="44">
        <f t="shared" si="36"/>
        <v>0</v>
      </c>
      <c r="X291" s="44">
        <f t="shared" si="37"/>
        <v>0</v>
      </c>
      <c r="Y291" s="44">
        <f t="shared" si="38"/>
        <v>0</v>
      </c>
      <c r="Z291" s="84"/>
      <c r="AA291" s="78"/>
      <c r="AB291" s="78"/>
      <c r="AC291" s="78"/>
      <c r="AD291" s="78"/>
      <c r="AE291" s="78"/>
    </row>
    <row r="292" spans="1:31" ht="12.75">
      <c r="A292"/>
      <c r="B292"/>
      <c r="C292"/>
      <c r="D292"/>
      <c r="E292"/>
      <c r="F292"/>
      <c r="G292"/>
      <c r="H292"/>
      <c r="I292"/>
      <c r="J292"/>
      <c r="K292" s="100">
        <f t="shared" si="39"/>
        <v>0</v>
      </c>
      <c r="L292" s="95"/>
      <c r="M292" s="90">
        <f t="shared" si="33"/>
        <v>0</v>
      </c>
      <c r="N292" s="56">
        <v>0</v>
      </c>
      <c r="O292" s="44">
        <f t="shared" si="34"/>
        <v>0</v>
      </c>
      <c r="P292" s="44"/>
      <c r="Q292" s="44"/>
      <c r="R292" s="44"/>
      <c r="S292" s="44">
        <f t="shared" si="40"/>
        <v>0</v>
      </c>
      <c r="T292" s="44">
        <f t="shared" si="35"/>
        <v>0</v>
      </c>
      <c r="U292">
        <v>0</v>
      </c>
      <c r="V292" s="43">
        <v>0</v>
      </c>
      <c r="W292" s="44">
        <f t="shared" si="36"/>
        <v>0</v>
      </c>
      <c r="X292" s="44">
        <f t="shared" si="37"/>
        <v>0</v>
      </c>
      <c r="Y292" s="44">
        <f t="shared" si="38"/>
        <v>0</v>
      </c>
      <c r="Z292" s="84"/>
      <c r="AA292" s="78"/>
      <c r="AB292" s="78"/>
      <c r="AC292" s="78"/>
      <c r="AD292" s="78"/>
      <c r="AE292" s="78"/>
    </row>
    <row r="293" spans="1:31" ht="12.75">
      <c r="A293"/>
      <c r="B293"/>
      <c r="C293"/>
      <c r="D293"/>
      <c r="E293"/>
      <c r="F293"/>
      <c r="G293"/>
      <c r="H293"/>
      <c r="I293"/>
      <c r="J293"/>
      <c r="K293" s="100">
        <f t="shared" si="39"/>
        <v>0</v>
      </c>
      <c r="L293" s="95"/>
      <c r="M293" s="90">
        <f t="shared" si="33"/>
        <v>0</v>
      </c>
      <c r="N293" s="56">
        <v>0</v>
      </c>
      <c r="O293" s="44">
        <f t="shared" si="34"/>
        <v>0</v>
      </c>
      <c r="P293" s="44"/>
      <c r="Q293" s="44"/>
      <c r="R293" s="44"/>
      <c r="S293" s="44">
        <f t="shared" si="40"/>
        <v>0</v>
      </c>
      <c r="T293" s="44">
        <f t="shared" si="35"/>
        <v>0</v>
      </c>
      <c r="U293">
        <v>0</v>
      </c>
      <c r="V293" s="43">
        <v>0</v>
      </c>
      <c r="W293" s="44">
        <f t="shared" si="36"/>
        <v>0</v>
      </c>
      <c r="X293" s="44">
        <f t="shared" si="37"/>
        <v>0</v>
      </c>
      <c r="Y293" s="44">
        <f t="shared" si="38"/>
        <v>0</v>
      </c>
      <c r="Z293" s="84"/>
      <c r="AA293" s="78"/>
      <c r="AB293" s="78"/>
      <c r="AC293" s="78"/>
      <c r="AD293" s="78"/>
      <c r="AE293" s="78"/>
    </row>
    <row r="294" spans="1:31" ht="12.75">
      <c r="A294"/>
      <c r="B294"/>
      <c r="C294"/>
      <c r="D294"/>
      <c r="E294"/>
      <c r="F294"/>
      <c r="G294"/>
      <c r="H294"/>
      <c r="I294"/>
      <c r="J294"/>
      <c r="K294" s="100">
        <f t="shared" si="39"/>
        <v>0</v>
      </c>
      <c r="L294" s="95"/>
      <c r="M294" s="90">
        <f t="shared" si="33"/>
        <v>0</v>
      </c>
      <c r="N294" s="56">
        <v>0</v>
      </c>
      <c r="O294" s="44">
        <f t="shared" si="34"/>
        <v>0</v>
      </c>
      <c r="P294" s="44"/>
      <c r="Q294" s="44"/>
      <c r="R294" s="44"/>
      <c r="S294" s="44">
        <f t="shared" si="40"/>
        <v>0</v>
      </c>
      <c r="T294" s="44">
        <f t="shared" si="35"/>
        <v>0</v>
      </c>
      <c r="U294">
        <v>0</v>
      </c>
      <c r="V294" s="43">
        <v>0</v>
      </c>
      <c r="W294" s="44">
        <f t="shared" si="36"/>
        <v>0</v>
      </c>
      <c r="X294" s="44">
        <f t="shared" si="37"/>
        <v>0</v>
      </c>
      <c r="Y294" s="44">
        <f t="shared" si="38"/>
        <v>0</v>
      </c>
      <c r="Z294" s="84"/>
      <c r="AA294" s="78"/>
      <c r="AB294" s="78"/>
      <c r="AC294" s="78"/>
      <c r="AD294" s="78"/>
      <c r="AE294" s="78"/>
    </row>
    <row r="295" spans="1:31" ht="12.75">
      <c r="A295"/>
      <c r="B295"/>
      <c r="C295"/>
      <c r="D295"/>
      <c r="E295"/>
      <c r="F295"/>
      <c r="G295"/>
      <c r="H295"/>
      <c r="I295"/>
      <c r="J295"/>
      <c r="K295" s="100">
        <f t="shared" si="39"/>
        <v>0</v>
      </c>
      <c r="L295" s="95"/>
      <c r="M295" s="90">
        <f t="shared" si="33"/>
        <v>0</v>
      </c>
      <c r="N295" s="56">
        <v>0</v>
      </c>
      <c r="O295" s="44">
        <f t="shared" si="34"/>
        <v>0</v>
      </c>
      <c r="P295" s="44"/>
      <c r="Q295" s="44"/>
      <c r="R295" s="44"/>
      <c r="S295" s="44">
        <f t="shared" si="40"/>
        <v>0</v>
      </c>
      <c r="T295" s="44">
        <f t="shared" si="35"/>
        <v>0</v>
      </c>
      <c r="U295">
        <v>0</v>
      </c>
      <c r="V295" s="43">
        <v>0</v>
      </c>
      <c r="W295" s="44">
        <f t="shared" si="36"/>
        <v>0</v>
      </c>
      <c r="X295" s="44">
        <f t="shared" si="37"/>
        <v>0</v>
      </c>
      <c r="Y295" s="44">
        <f t="shared" si="38"/>
        <v>0</v>
      </c>
      <c r="Z295" s="84"/>
      <c r="AA295" s="78"/>
      <c r="AB295" s="78"/>
      <c r="AC295" s="78"/>
      <c r="AD295" s="78"/>
      <c r="AE295" s="78"/>
    </row>
    <row r="296" spans="1:31" ht="12.75">
      <c r="A296"/>
      <c r="B296"/>
      <c r="C296"/>
      <c r="D296"/>
      <c r="E296"/>
      <c r="F296"/>
      <c r="G296"/>
      <c r="H296"/>
      <c r="I296"/>
      <c r="J296"/>
      <c r="K296" s="100">
        <f t="shared" si="39"/>
        <v>0</v>
      </c>
      <c r="L296" s="95"/>
      <c r="M296" s="90">
        <f t="shared" si="33"/>
        <v>0</v>
      </c>
      <c r="N296" s="56">
        <v>0</v>
      </c>
      <c r="O296" s="44">
        <f t="shared" si="34"/>
        <v>0</v>
      </c>
      <c r="P296" s="44"/>
      <c r="Q296" s="44"/>
      <c r="R296" s="44"/>
      <c r="S296" s="44">
        <f t="shared" si="40"/>
        <v>0</v>
      </c>
      <c r="T296" s="44">
        <f t="shared" si="35"/>
        <v>0</v>
      </c>
      <c r="U296">
        <v>0</v>
      </c>
      <c r="V296" s="43">
        <v>0</v>
      </c>
      <c r="W296" s="44">
        <f t="shared" si="36"/>
        <v>0</v>
      </c>
      <c r="X296" s="44">
        <f t="shared" si="37"/>
        <v>0</v>
      </c>
      <c r="Y296" s="44">
        <f t="shared" si="38"/>
        <v>0</v>
      </c>
      <c r="Z296" s="84"/>
      <c r="AA296" s="78"/>
      <c r="AB296" s="78"/>
      <c r="AC296" s="78"/>
      <c r="AD296" s="78"/>
      <c r="AE296" s="78"/>
    </row>
    <row r="297" spans="1:31" ht="12.75">
      <c r="A297"/>
      <c r="B297"/>
      <c r="C297"/>
      <c r="D297"/>
      <c r="E297"/>
      <c r="F297"/>
      <c r="G297"/>
      <c r="H297"/>
      <c r="I297"/>
      <c r="J297"/>
      <c r="K297" s="100">
        <f t="shared" si="39"/>
        <v>0</v>
      </c>
      <c r="L297" s="95"/>
      <c r="M297" s="90">
        <f t="shared" si="33"/>
        <v>0</v>
      </c>
      <c r="N297" s="56">
        <v>0</v>
      </c>
      <c r="O297" s="44">
        <f t="shared" si="34"/>
        <v>0</v>
      </c>
      <c r="P297" s="44"/>
      <c r="Q297" s="44"/>
      <c r="R297" s="44"/>
      <c r="S297" s="44">
        <f t="shared" si="40"/>
        <v>0</v>
      </c>
      <c r="T297" s="44">
        <f t="shared" si="35"/>
        <v>0</v>
      </c>
      <c r="U297">
        <v>0</v>
      </c>
      <c r="V297" s="43">
        <v>0</v>
      </c>
      <c r="W297" s="44">
        <f t="shared" si="36"/>
        <v>0</v>
      </c>
      <c r="X297" s="44">
        <f t="shared" si="37"/>
        <v>0</v>
      </c>
      <c r="Y297" s="44">
        <f t="shared" si="38"/>
        <v>0</v>
      </c>
      <c r="Z297" s="84"/>
      <c r="AA297" s="78"/>
      <c r="AB297" s="78"/>
      <c r="AC297" s="78"/>
      <c r="AD297" s="78"/>
      <c r="AE297" s="78"/>
    </row>
    <row r="298" spans="1:31" ht="12.75">
      <c r="A298"/>
      <c r="B298"/>
      <c r="C298"/>
      <c r="D298"/>
      <c r="E298"/>
      <c r="F298"/>
      <c r="G298"/>
      <c r="H298"/>
      <c r="I298"/>
      <c r="J298"/>
      <c r="K298" s="100">
        <f t="shared" si="39"/>
        <v>0</v>
      </c>
      <c r="L298" s="95"/>
      <c r="M298" s="90">
        <f t="shared" si="33"/>
        <v>0</v>
      </c>
      <c r="N298" s="56">
        <v>0</v>
      </c>
      <c r="O298" s="44">
        <f t="shared" si="34"/>
        <v>0</v>
      </c>
      <c r="P298" s="44"/>
      <c r="Q298" s="44"/>
      <c r="R298" s="44"/>
      <c r="S298" s="44">
        <f t="shared" si="40"/>
        <v>0</v>
      </c>
      <c r="T298" s="44">
        <f t="shared" si="35"/>
        <v>0</v>
      </c>
      <c r="U298">
        <v>0</v>
      </c>
      <c r="V298" s="43">
        <v>0</v>
      </c>
      <c r="W298" s="44">
        <f t="shared" si="36"/>
        <v>0</v>
      </c>
      <c r="X298" s="44">
        <f t="shared" si="37"/>
        <v>0</v>
      </c>
      <c r="Y298" s="44">
        <f t="shared" si="38"/>
        <v>0</v>
      </c>
      <c r="Z298" s="84"/>
      <c r="AA298" s="78"/>
      <c r="AB298" s="78"/>
      <c r="AC298" s="78"/>
      <c r="AD298" s="78"/>
      <c r="AE298" s="78"/>
    </row>
    <row r="299" spans="1:31" ht="12.75">
      <c r="A299"/>
      <c r="B299"/>
      <c r="C299"/>
      <c r="D299"/>
      <c r="E299"/>
      <c r="F299"/>
      <c r="G299"/>
      <c r="H299"/>
      <c r="I299"/>
      <c r="J299"/>
      <c r="K299" s="100">
        <f t="shared" si="39"/>
        <v>0</v>
      </c>
      <c r="L299" s="95"/>
      <c r="M299" s="90">
        <f t="shared" si="33"/>
        <v>0</v>
      </c>
      <c r="N299" s="56">
        <v>0</v>
      </c>
      <c r="O299" s="44">
        <f t="shared" si="34"/>
        <v>0</v>
      </c>
      <c r="P299" s="44"/>
      <c r="Q299" s="44"/>
      <c r="R299" s="44"/>
      <c r="S299" s="44">
        <f t="shared" si="40"/>
        <v>0</v>
      </c>
      <c r="T299" s="44">
        <f t="shared" si="35"/>
        <v>0</v>
      </c>
      <c r="U299">
        <v>0</v>
      </c>
      <c r="V299" s="43">
        <v>0</v>
      </c>
      <c r="W299" s="44">
        <f t="shared" si="36"/>
        <v>0</v>
      </c>
      <c r="X299" s="44">
        <f t="shared" si="37"/>
        <v>0</v>
      </c>
      <c r="Y299" s="44">
        <f t="shared" si="38"/>
        <v>0</v>
      </c>
      <c r="Z299" s="84"/>
      <c r="AA299" s="78"/>
      <c r="AB299" s="78"/>
      <c r="AC299" s="78"/>
      <c r="AD299" s="78"/>
      <c r="AE299" s="78"/>
    </row>
    <row r="300" spans="1:31" ht="12.75">
      <c r="A300"/>
      <c r="B300"/>
      <c r="C300"/>
      <c r="D300"/>
      <c r="E300"/>
      <c r="F300"/>
      <c r="G300"/>
      <c r="H300"/>
      <c r="I300"/>
      <c r="J300"/>
      <c r="K300" s="100">
        <f t="shared" si="39"/>
        <v>0</v>
      </c>
      <c r="L300" s="95"/>
      <c r="M300" s="90">
        <f t="shared" si="33"/>
        <v>0</v>
      </c>
      <c r="N300" s="56">
        <v>0</v>
      </c>
      <c r="O300" s="44">
        <f t="shared" si="34"/>
        <v>0</v>
      </c>
      <c r="P300" s="44"/>
      <c r="Q300" s="44"/>
      <c r="R300" s="44"/>
      <c r="S300" s="44">
        <f t="shared" si="40"/>
        <v>0</v>
      </c>
      <c r="T300" s="44">
        <f t="shared" si="35"/>
        <v>0</v>
      </c>
      <c r="U300">
        <v>0</v>
      </c>
      <c r="V300" s="43">
        <v>0</v>
      </c>
      <c r="W300" s="44">
        <f t="shared" si="36"/>
        <v>0</v>
      </c>
      <c r="X300" s="44">
        <f t="shared" si="37"/>
        <v>0</v>
      </c>
      <c r="Y300" s="44">
        <f t="shared" si="38"/>
        <v>0</v>
      </c>
      <c r="Z300" s="84"/>
      <c r="AA300" s="78"/>
      <c r="AB300" s="78"/>
      <c r="AC300" s="78"/>
      <c r="AD300" s="78"/>
      <c r="AE300" s="78"/>
    </row>
    <row r="301" spans="1:31" ht="12.75">
      <c r="A301"/>
      <c r="B301"/>
      <c r="C301"/>
      <c r="D301"/>
      <c r="E301"/>
      <c r="F301"/>
      <c r="G301"/>
      <c r="H301"/>
      <c r="I301"/>
      <c r="J301"/>
      <c r="K301" s="100">
        <f t="shared" si="39"/>
        <v>0</v>
      </c>
      <c r="L301" s="95"/>
      <c r="M301" s="90">
        <f t="shared" si="33"/>
        <v>0</v>
      </c>
      <c r="N301" s="56">
        <v>0</v>
      </c>
      <c r="O301" s="44">
        <f t="shared" si="34"/>
        <v>0</v>
      </c>
      <c r="P301" s="44"/>
      <c r="Q301" s="44"/>
      <c r="R301" s="44"/>
      <c r="S301" s="44">
        <f t="shared" si="40"/>
        <v>0</v>
      </c>
      <c r="T301" s="44">
        <f t="shared" si="35"/>
        <v>0</v>
      </c>
      <c r="U301">
        <v>0</v>
      </c>
      <c r="V301" s="43">
        <v>0</v>
      </c>
      <c r="W301" s="44">
        <f t="shared" si="36"/>
        <v>0</v>
      </c>
      <c r="X301" s="44">
        <f t="shared" si="37"/>
        <v>0</v>
      </c>
      <c r="Y301" s="44">
        <f t="shared" si="38"/>
        <v>0</v>
      </c>
      <c r="Z301" s="84"/>
      <c r="AA301" s="78"/>
      <c r="AB301" s="78"/>
      <c r="AC301" s="78"/>
      <c r="AD301" s="78"/>
      <c r="AE301" s="78"/>
    </row>
    <row r="302" spans="1:31" ht="12.75">
      <c r="A302"/>
      <c r="B302"/>
      <c r="C302"/>
      <c r="D302"/>
      <c r="E302"/>
      <c r="F302"/>
      <c r="G302"/>
      <c r="H302"/>
      <c r="I302"/>
      <c r="J302"/>
      <c r="K302" s="100">
        <f t="shared" si="39"/>
        <v>0</v>
      </c>
      <c r="L302" s="95"/>
      <c r="M302" s="90">
        <f t="shared" si="33"/>
        <v>0</v>
      </c>
      <c r="N302" s="56">
        <v>0</v>
      </c>
      <c r="O302" s="44">
        <f t="shared" si="34"/>
        <v>0</v>
      </c>
      <c r="P302" s="44"/>
      <c r="Q302" s="44"/>
      <c r="R302" s="44"/>
      <c r="S302" s="44">
        <f t="shared" si="40"/>
        <v>0</v>
      </c>
      <c r="T302" s="44">
        <f t="shared" si="35"/>
        <v>0</v>
      </c>
      <c r="U302">
        <v>0</v>
      </c>
      <c r="V302" s="43">
        <v>0</v>
      </c>
      <c r="W302" s="44">
        <f t="shared" si="36"/>
        <v>0</v>
      </c>
      <c r="X302" s="44">
        <f t="shared" si="37"/>
        <v>0</v>
      </c>
      <c r="Y302" s="44">
        <f t="shared" si="38"/>
        <v>0</v>
      </c>
      <c r="Z302" s="84"/>
      <c r="AA302" s="78"/>
      <c r="AB302" s="78"/>
      <c r="AC302" s="78"/>
      <c r="AD302" s="78"/>
      <c r="AE302" s="78"/>
    </row>
    <row r="303" spans="1:31" ht="12.75">
      <c r="A303"/>
      <c r="B303"/>
      <c r="C303"/>
      <c r="D303"/>
      <c r="E303"/>
      <c r="F303"/>
      <c r="G303"/>
      <c r="H303"/>
      <c r="I303"/>
      <c r="J303"/>
      <c r="K303" s="100">
        <f t="shared" si="39"/>
        <v>0</v>
      </c>
      <c r="L303" s="95"/>
      <c r="M303" s="90">
        <f t="shared" si="33"/>
        <v>0</v>
      </c>
      <c r="N303" s="56">
        <v>0</v>
      </c>
      <c r="O303" s="44">
        <f t="shared" si="34"/>
        <v>0</v>
      </c>
      <c r="P303" s="44"/>
      <c r="Q303" s="44"/>
      <c r="R303" s="44"/>
      <c r="S303" s="44">
        <f t="shared" si="40"/>
        <v>0</v>
      </c>
      <c r="T303" s="44">
        <f t="shared" si="35"/>
        <v>0</v>
      </c>
      <c r="U303">
        <v>0</v>
      </c>
      <c r="V303" s="43">
        <v>0</v>
      </c>
      <c r="W303" s="44">
        <f t="shared" si="36"/>
        <v>0</v>
      </c>
      <c r="X303" s="44">
        <f t="shared" si="37"/>
        <v>0</v>
      </c>
      <c r="Y303" s="44">
        <f t="shared" si="38"/>
        <v>0</v>
      </c>
      <c r="Z303" s="84"/>
      <c r="AA303" s="78"/>
      <c r="AB303" s="78"/>
      <c r="AC303" s="78"/>
      <c r="AD303" s="78"/>
      <c r="AE303" s="78"/>
    </row>
    <row r="304" spans="1:31" ht="12.75">
      <c r="A304"/>
      <c r="B304"/>
      <c r="C304"/>
      <c r="D304"/>
      <c r="E304"/>
      <c r="F304"/>
      <c r="G304"/>
      <c r="H304"/>
      <c r="I304"/>
      <c r="J304"/>
      <c r="K304" s="100">
        <f t="shared" si="39"/>
        <v>0</v>
      </c>
      <c r="L304" s="95"/>
      <c r="M304" s="90">
        <f t="shared" si="33"/>
        <v>0</v>
      </c>
      <c r="N304" s="56">
        <v>0</v>
      </c>
      <c r="O304" s="44">
        <f t="shared" si="34"/>
        <v>0</v>
      </c>
      <c r="P304" s="44"/>
      <c r="Q304" s="44"/>
      <c r="R304" s="44"/>
      <c r="S304" s="44">
        <f t="shared" si="40"/>
        <v>0</v>
      </c>
      <c r="T304" s="44">
        <f t="shared" si="35"/>
        <v>0</v>
      </c>
      <c r="U304">
        <v>0</v>
      </c>
      <c r="V304" s="43">
        <v>0</v>
      </c>
      <c r="W304" s="44">
        <f t="shared" si="36"/>
        <v>0</v>
      </c>
      <c r="X304" s="44">
        <f t="shared" si="37"/>
        <v>0</v>
      </c>
      <c r="Y304" s="44">
        <f t="shared" si="38"/>
        <v>0</v>
      </c>
      <c r="Z304" s="84"/>
      <c r="AA304" s="78"/>
      <c r="AB304" s="78"/>
      <c r="AC304" s="78"/>
      <c r="AD304" s="78"/>
      <c r="AE304" s="78"/>
    </row>
    <row r="305" spans="1:31" ht="12.75">
      <c r="A305"/>
      <c r="B305"/>
      <c r="C305"/>
      <c r="D305"/>
      <c r="E305"/>
      <c r="F305"/>
      <c r="G305"/>
      <c r="H305"/>
      <c r="I305"/>
      <c r="J305"/>
      <c r="K305" s="100">
        <f t="shared" si="39"/>
        <v>0</v>
      </c>
      <c r="L305" s="95"/>
      <c r="M305" s="90">
        <f t="shared" si="33"/>
        <v>0</v>
      </c>
      <c r="N305" s="56">
        <v>0</v>
      </c>
      <c r="O305" s="44">
        <f t="shared" si="34"/>
        <v>0</v>
      </c>
      <c r="P305" s="44"/>
      <c r="Q305" s="44"/>
      <c r="R305" s="44"/>
      <c r="S305" s="44">
        <f t="shared" si="40"/>
        <v>0</v>
      </c>
      <c r="T305" s="44">
        <f t="shared" si="35"/>
        <v>0</v>
      </c>
      <c r="U305">
        <v>0</v>
      </c>
      <c r="V305" s="43">
        <v>0</v>
      </c>
      <c r="W305" s="44">
        <f t="shared" si="36"/>
        <v>0</v>
      </c>
      <c r="X305" s="44">
        <f t="shared" si="37"/>
        <v>0</v>
      </c>
      <c r="Y305" s="44">
        <f t="shared" si="38"/>
        <v>0</v>
      </c>
      <c r="Z305" s="84"/>
      <c r="AA305" s="78"/>
      <c r="AB305" s="78"/>
      <c r="AC305" s="78"/>
      <c r="AD305" s="78"/>
      <c r="AE305" s="78"/>
    </row>
    <row r="306" spans="1:31" ht="12.75">
      <c r="A306"/>
      <c r="B306"/>
      <c r="C306"/>
      <c r="D306"/>
      <c r="E306"/>
      <c r="F306"/>
      <c r="G306"/>
      <c r="H306"/>
      <c r="I306"/>
      <c r="J306"/>
      <c r="K306" s="100">
        <f t="shared" si="39"/>
        <v>0</v>
      </c>
      <c r="L306" s="95"/>
      <c r="M306" s="90">
        <f t="shared" si="33"/>
        <v>0</v>
      </c>
      <c r="N306" s="56">
        <v>0</v>
      </c>
      <c r="O306" s="44">
        <f t="shared" si="34"/>
        <v>0</v>
      </c>
      <c r="P306" s="44"/>
      <c r="Q306" s="44"/>
      <c r="R306" s="44"/>
      <c r="S306" s="44">
        <f t="shared" si="40"/>
        <v>0</v>
      </c>
      <c r="T306" s="44">
        <f t="shared" si="35"/>
        <v>0</v>
      </c>
      <c r="U306">
        <v>0</v>
      </c>
      <c r="V306" s="43">
        <v>0</v>
      </c>
      <c r="W306" s="44">
        <f t="shared" si="36"/>
        <v>0</v>
      </c>
      <c r="X306" s="44">
        <f t="shared" si="37"/>
        <v>0</v>
      </c>
      <c r="Y306" s="44">
        <f t="shared" si="38"/>
        <v>0</v>
      </c>
      <c r="Z306" s="84"/>
      <c r="AA306" s="78"/>
      <c r="AB306" s="78"/>
      <c r="AC306" s="78"/>
      <c r="AD306" s="78"/>
      <c r="AE306" s="78"/>
    </row>
    <row r="307" spans="1:31" ht="12.75">
      <c r="A307"/>
      <c r="B307"/>
      <c r="C307"/>
      <c r="D307"/>
      <c r="E307"/>
      <c r="F307"/>
      <c r="G307"/>
      <c r="H307"/>
      <c r="I307"/>
      <c r="J307"/>
      <c r="K307" s="100">
        <f t="shared" si="39"/>
        <v>0</v>
      </c>
      <c r="L307" s="95"/>
      <c r="M307" s="90">
        <f t="shared" si="33"/>
        <v>0</v>
      </c>
      <c r="N307" s="56">
        <v>0</v>
      </c>
      <c r="O307" s="44">
        <f t="shared" si="34"/>
        <v>0</v>
      </c>
      <c r="P307" s="44"/>
      <c r="Q307" s="44"/>
      <c r="R307" s="44"/>
      <c r="S307" s="44">
        <f t="shared" si="40"/>
        <v>0</v>
      </c>
      <c r="T307" s="44">
        <f t="shared" si="35"/>
        <v>0</v>
      </c>
      <c r="U307">
        <v>0</v>
      </c>
      <c r="V307" s="43">
        <v>0</v>
      </c>
      <c r="W307" s="44">
        <f t="shared" si="36"/>
        <v>0</v>
      </c>
      <c r="X307" s="44">
        <f t="shared" si="37"/>
        <v>0</v>
      </c>
      <c r="Y307" s="44">
        <f t="shared" si="38"/>
        <v>0</v>
      </c>
      <c r="Z307" s="84"/>
      <c r="AA307" s="78"/>
      <c r="AB307" s="78"/>
      <c r="AC307" s="78"/>
      <c r="AD307" s="78"/>
      <c r="AE307" s="78"/>
    </row>
    <row r="308" spans="1:31" ht="12.75">
      <c r="A308"/>
      <c r="B308"/>
      <c r="C308"/>
      <c r="D308"/>
      <c r="E308"/>
      <c r="F308"/>
      <c r="G308"/>
      <c r="H308"/>
      <c r="I308"/>
      <c r="J308"/>
      <c r="K308" s="100">
        <f t="shared" si="39"/>
        <v>0</v>
      </c>
      <c r="L308" s="95"/>
      <c r="M308" s="90">
        <f t="shared" si="33"/>
        <v>0</v>
      </c>
      <c r="N308" s="56">
        <v>0</v>
      </c>
      <c r="O308" s="44">
        <f t="shared" si="34"/>
        <v>0</v>
      </c>
      <c r="P308" s="44"/>
      <c r="Q308" s="44"/>
      <c r="R308" s="44"/>
      <c r="S308" s="44">
        <f t="shared" si="40"/>
        <v>0</v>
      </c>
      <c r="T308" s="44">
        <f t="shared" si="35"/>
        <v>0</v>
      </c>
      <c r="U308">
        <v>0</v>
      </c>
      <c r="V308" s="43">
        <v>0</v>
      </c>
      <c r="W308" s="44">
        <f t="shared" si="36"/>
        <v>0</v>
      </c>
      <c r="X308" s="44">
        <f t="shared" si="37"/>
        <v>0</v>
      </c>
      <c r="Y308" s="44">
        <f t="shared" si="38"/>
        <v>0</v>
      </c>
      <c r="Z308" s="84"/>
      <c r="AA308" s="78"/>
      <c r="AB308" s="78"/>
      <c r="AC308" s="78"/>
      <c r="AD308" s="78"/>
      <c r="AE308" s="78"/>
    </row>
    <row r="309" spans="1:31" ht="12.75">
      <c r="A309"/>
      <c r="B309"/>
      <c r="C309"/>
      <c r="D309"/>
      <c r="E309"/>
      <c r="F309"/>
      <c r="G309"/>
      <c r="H309"/>
      <c r="I309"/>
      <c r="J309"/>
      <c r="K309" s="100">
        <f t="shared" si="39"/>
        <v>0</v>
      </c>
      <c r="L309" s="95"/>
      <c r="M309" s="90">
        <f t="shared" si="33"/>
        <v>0</v>
      </c>
      <c r="N309" s="56">
        <v>0</v>
      </c>
      <c r="O309" s="44">
        <f t="shared" si="34"/>
        <v>0</v>
      </c>
      <c r="P309" s="44"/>
      <c r="Q309" s="44"/>
      <c r="R309" s="44"/>
      <c r="S309" s="44">
        <f t="shared" si="40"/>
        <v>0</v>
      </c>
      <c r="T309" s="44">
        <f t="shared" si="35"/>
        <v>0</v>
      </c>
      <c r="U309">
        <v>0</v>
      </c>
      <c r="V309" s="43">
        <v>0</v>
      </c>
      <c r="W309" s="44">
        <f t="shared" si="36"/>
        <v>0</v>
      </c>
      <c r="X309" s="44">
        <f t="shared" si="37"/>
        <v>0</v>
      </c>
      <c r="Y309" s="44">
        <f t="shared" si="38"/>
        <v>0</v>
      </c>
      <c r="Z309" s="84"/>
      <c r="AA309" s="78"/>
      <c r="AB309" s="78"/>
      <c r="AC309" s="78"/>
      <c r="AD309" s="78"/>
      <c r="AE309" s="78"/>
    </row>
    <row r="310" spans="1:31" ht="12.75">
      <c r="A310"/>
      <c r="B310"/>
      <c r="C310"/>
      <c r="D310"/>
      <c r="E310"/>
      <c r="F310"/>
      <c r="G310"/>
      <c r="H310"/>
      <c r="I310"/>
      <c r="J310"/>
      <c r="K310" s="100">
        <f t="shared" si="39"/>
        <v>0</v>
      </c>
      <c r="L310" s="95"/>
      <c r="M310" s="90">
        <f t="shared" si="33"/>
        <v>0</v>
      </c>
      <c r="N310" s="56">
        <v>0</v>
      </c>
      <c r="O310" s="44">
        <f t="shared" si="34"/>
        <v>0</v>
      </c>
      <c r="P310" s="44"/>
      <c r="Q310" s="44"/>
      <c r="R310" s="44"/>
      <c r="S310" s="44">
        <f t="shared" si="40"/>
        <v>0</v>
      </c>
      <c r="T310" s="44">
        <f t="shared" si="35"/>
        <v>0</v>
      </c>
      <c r="U310">
        <v>0</v>
      </c>
      <c r="V310" s="43">
        <v>0</v>
      </c>
      <c r="W310" s="44">
        <f t="shared" si="36"/>
        <v>0</v>
      </c>
      <c r="X310" s="44">
        <f t="shared" si="37"/>
        <v>0</v>
      </c>
      <c r="Y310" s="44">
        <f t="shared" si="38"/>
        <v>0</v>
      </c>
      <c r="Z310" s="84"/>
      <c r="AA310" s="78"/>
      <c r="AB310" s="78"/>
      <c r="AC310" s="78"/>
      <c r="AD310" s="78"/>
      <c r="AE310" s="78"/>
    </row>
    <row r="311" spans="1:31" ht="12.75">
      <c r="A311"/>
      <c r="B311"/>
      <c r="C311"/>
      <c r="D311"/>
      <c r="E311"/>
      <c r="F311"/>
      <c r="G311"/>
      <c r="H311"/>
      <c r="I311"/>
      <c r="J311"/>
      <c r="K311" s="100">
        <f t="shared" si="39"/>
        <v>0</v>
      </c>
      <c r="L311" s="95"/>
      <c r="M311" s="90">
        <f t="shared" si="33"/>
        <v>0</v>
      </c>
      <c r="N311" s="56">
        <v>0</v>
      </c>
      <c r="O311" s="44">
        <f t="shared" si="34"/>
        <v>0</v>
      </c>
      <c r="P311" s="44"/>
      <c r="Q311" s="44"/>
      <c r="R311" s="44"/>
      <c r="S311" s="44">
        <f t="shared" si="40"/>
        <v>0</v>
      </c>
      <c r="T311" s="44">
        <f t="shared" si="35"/>
        <v>0</v>
      </c>
      <c r="U311">
        <v>0</v>
      </c>
      <c r="V311" s="43">
        <v>0</v>
      </c>
      <c r="W311" s="44">
        <f t="shared" si="36"/>
        <v>0</v>
      </c>
      <c r="X311" s="44">
        <f t="shared" si="37"/>
        <v>0</v>
      </c>
      <c r="Y311" s="44">
        <f t="shared" si="38"/>
        <v>0</v>
      </c>
      <c r="Z311" s="84"/>
      <c r="AA311" s="78"/>
      <c r="AB311" s="78"/>
      <c r="AC311" s="78"/>
      <c r="AD311" s="78"/>
      <c r="AE311" s="78"/>
    </row>
    <row r="312" spans="1:31" ht="12.75">
      <c r="A312"/>
      <c r="B312"/>
      <c r="C312"/>
      <c r="D312"/>
      <c r="E312"/>
      <c r="F312"/>
      <c r="G312"/>
      <c r="H312"/>
      <c r="I312"/>
      <c r="J312"/>
      <c r="K312" s="100">
        <f t="shared" si="39"/>
        <v>0</v>
      </c>
      <c r="L312" s="95"/>
      <c r="M312" s="90">
        <f t="shared" si="33"/>
        <v>0</v>
      </c>
      <c r="N312" s="56">
        <v>0</v>
      </c>
      <c r="O312" s="44">
        <f t="shared" si="34"/>
        <v>0</v>
      </c>
      <c r="P312" s="44"/>
      <c r="Q312" s="44"/>
      <c r="R312" s="44"/>
      <c r="S312" s="44">
        <f t="shared" si="40"/>
        <v>0</v>
      </c>
      <c r="T312" s="44">
        <f t="shared" si="35"/>
        <v>0</v>
      </c>
      <c r="U312">
        <v>0</v>
      </c>
      <c r="V312" s="43">
        <v>0</v>
      </c>
      <c r="W312" s="44">
        <f t="shared" si="36"/>
        <v>0</v>
      </c>
      <c r="X312" s="44">
        <f t="shared" si="37"/>
        <v>0</v>
      </c>
      <c r="Y312" s="44">
        <f t="shared" si="38"/>
        <v>0</v>
      </c>
      <c r="Z312" s="84"/>
      <c r="AA312" s="78"/>
      <c r="AB312" s="78"/>
      <c r="AC312" s="78"/>
      <c r="AD312" s="78"/>
      <c r="AE312" s="78"/>
    </row>
    <row r="313" spans="1:31" ht="12.75">
      <c r="A313"/>
      <c r="B313"/>
      <c r="C313"/>
      <c r="D313"/>
      <c r="E313"/>
      <c r="F313"/>
      <c r="G313"/>
      <c r="H313"/>
      <c r="I313"/>
      <c r="J313"/>
      <c r="K313" s="100">
        <f t="shared" si="39"/>
        <v>0</v>
      </c>
      <c r="L313" s="95"/>
      <c r="M313" s="90">
        <f t="shared" si="33"/>
        <v>0</v>
      </c>
      <c r="N313" s="56">
        <v>0</v>
      </c>
      <c r="O313" s="44">
        <f t="shared" si="34"/>
        <v>0</v>
      </c>
      <c r="P313" s="44"/>
      <c r="Q313" s="44"/>
      <c r="R313" s="44"/>
      <c r="S313" s="44">
        <f t="shared" si="40"/>
        <v>0</v>
      </c>
      <c r="T313" s="44">
        <f t="shared" si="35"/>
        <v>0</v>
      </c>
      <c r="U313">
        <v>0</v>
      </c>
      <c r="V313" s="43">
        <v>0</v>
      </c>
      <c r="W313" s="44">
        <f t="shared" si="36"/>
        <v>0</v>
      </c>
      <c r="X313" s="44">
        <f t="shared" si="37"/>
        <v>0</v>
      </c>
      <c r="Y313" s="44">
        <f t="shared" si="38"/>
        <v>0</v>
      </c>
      <c r="Z313" s="84"/>
      <c r="AA313" s="78"/>
      <c r="AB313" s="78"/>
      <c r="AC313" s="78"/>
      <c r="AD313" s="78"/>
      <c r="AE313" s="78"/>
    </row>
    <row r="314" spans="1:31" ht="12.75">
      <c r="A314"/>
      <c r="B314"/>
      <c r="C314"/>
      <c r="D314"/>
      <c r="E314"/>
      <c r="F314"/>
      <c r="G314"/>
      <c r="H314"/>
      <c r="I314"/>
      <c r="J314"/>
      <c r="K314" s="100">
        <f t="shared" si="39"/>
        <v>0</v>
      </c>
      <c r="L314" s="95"/>
      <c r="M314" s="90">
        <f t="shared" si="33"/>
        <v>0</v>
      </c>
      <c r="N314" s="56">
        <v>0</v>
      </c>
      <c r="O314" s="44">
        <f t="shared" si="34"/>
        <v>0</v>
      </c>
      <c r="P314" s="44"/>
      <c r="Q314" s="44"/>
      <c r="R314" s="44"/>
      <c r="S314" s="44">
        <f t="shared" si="40"/>
        <v>0</v>
      </c>
      <c r="T314" s="44">
        <f t="shared" si="35"/>
        <v>0</v>
      </c>
      <c r="U314">
        <v>0</v>
      </c>
      <c r="V314" s="43">
        <v>0</v>
      </c>
      <c r="W314" s="44">
        <f t="shared" si="36"/>
        <v>0</v>
      </c>
      <c r="X314" s="44">
        <f t="shared" si="37"/>
        <v>0</v>
      </c>
      <c r="Y314" s="44">
        <f t="shared" si="38"/>
        <v>0</v>
      </c>
      <c r="Z314" s="84"/>
      <c r="AA314" s="78"/>
      <c r="AB314" s="78"/>
      <c r="AC314" s="78"/>
      <c r="AD314" s="78"/>
      <c r="AE314" s="78"/>
    </row>
    <row r="315" spans="1:31" ht="12.75">
      <c r="A315"/>
      <c r="B315"/>
      <c r="C315"/>
      <c r="D315"/>
      <c r="E315"/>
      <c r="F315"/>
      <c r="G315"/>
      <c r="H315"/>
      <c r="I315"/>
      <c r="J315"/>
      <c r="K315" s="100">
        <f t="shared" si="39"/>
        <v>0</v>
      </c>
      <c r="L315" s="95"/>
      <c r="M315" s="90">
        <f t="shared" si="33"/>
        <v>0</v>
      </c>
      <c r="N315" s="56">
        <v>0</v>
      </c>
      <c r="O315" s="44">
        <f t="shared" si="34"/>
        <v>0</v>
      </c>
      <c r="P315" s="44"/>
      <c r="Q315" s="44"/>
      <c r="R315" s="44"/>
      <c r="S315" s="44">
        <f t="shared" si="40"/>
        <v>0</v>
      </c>
      <c r="T315" s="44">
        <f t="shared" si="35"/>
        <v>0</v>
      </c>
      <c r="U315">
        <v>0</v>
      </c>
      <c r="V315" s="43">
        <v>0</v>
      </c>
      <c r="W315" s="44">
        <f t="shared" si="36"/>
        <v>0</v>
      </c>
      <c r="X315" s="44">
        <f t="shared" si="37"/>
        <v>0</v>
      </c>
      <c r="Y315" s="44">
        <f t="shared" si="38"/>
        <v>0</v>
      </c>
      <c r="Z315" s="84"/>
      <c r="AA315" s="78"/>
      <c r="AB315" s="78"/>
      <c r="AC315" s="78"/>
      <c r="AD315" s="78"/>
      <c r="AE315" s="78"/>
    </row>
    <row r="316" spans="1:31" ht="12.75">
      <c r="A316"/>
      <c r="B316"/>
      <c r="C316"/>
      <c r="D316"/>
      <c r="E316"/>
      <c r="F316"/>
      <c r="G316"/>
      <c r="H316"/>
      <c r="I316"/>
      <c r="J316"/>
      <c r="K316" s="100">
        <f t="shared" si="39"/>
        <v>0</v>
      </c>
      <c r="L316" s="95"/>
      <c r="M316" s="90">
        <f t="shared" si="33"/>
        <v>0</v>
      </c>
      <c r="N316" s="56">
        <v>0</v>
      </c>
      <c r="O316" s="44">
        <f t="shared" si="34"/>
        <v>0</v>
      </c>
      <c r="P316" s="44"/>
      <c r="Q316" s="44"/>
      <c r="R316" s="44"/>
      <c r="S316" s="44">
        <f t="shared" si="40"/>
        <v>0</v>
      </c>
      <c r="T316" s="44">
        <f t="shared" si="35"/>
        <v>0</v>
      </c>
      <c r="U316">
        <v>0</v>
      </c>
      <c r="V316" s="43">
        <v>0</v>
      </c>
      <c r="W316" s="44">
        <f t="shared" si="36"/>
        <v>0</v>
      </c>
      <c r="X316" s="44">
        <f t="shared" si="37"/>
        <v>0</v>
      </c>
      <c r="Y316" s="44">
        <f t="shared" si="38"/>
        <v>0</v>
      </c>
      <c r="Z316" s="84"/>
      <c r="AA316" s="78"/>
      <c r="AB316" s="78"/>
      <c r="AC316" s="78"/>
      <c r="AD316" s="78"/>
      <c r="AE316" s="78"/>
    </row>
    <row r="317" spans="1:31" ht="12.75">
      <c r="A317"/>
      <c r="B317"/>
      <c r="C317"/>
      <c r="D317"/>
      <c r="E317"/>
      <c r="F317"/>
      <c r="G317"/>
      <c r="H317"/>
      <c r="I317"/>
      <c r="J317"/>
      <c r="K317" s="100">
        <f t="shared" si="39"/>
        <v>0</v>
      </c>
      <c r="L317" s="95"/>
      <c r="M317" s="90">
        <f t="shared" si="33"/>
        <v>0</v>
      </c>
      <c r="N317" s="56">
        <v>0</v>
      </c>
      <c r="O317" s="44">
        <f t="shared" si="34"/>
        <v>0</v>
      </c>
      <c r="P317" s="44"/>
      <c r="Q317" s="44"/>
      <c r="R317" s="44"/>
      <c r="S317" s="44">
        <f t="shared" si="40"/>
        <v>0</v>
      </c>
      <c r="T317" s="44">
        <f t="shared" si="35"/>
        <v>0</v>
      </c>
      <c r="U317">
        <v>0</v>
      </c>
      <c r="V317" s="43">
        <v>0</v>
      </c>
      <c r="W317" s="44">
        <f t="shared" si="36"/>
        <v>0</v>
      </c>
      <c r="X317" s="44">
        <f t="shared" si="37"/>
        <v>0</v>
      </c>
      <c r="Y317" s="44">
        <f t="shared" si="38"/>
        <v>0</v>
      </c>
      <c r="Z317" s="84"/>
      <c r="AA317" s="78"/>
      <c r="AB317" s="78"/>
      <c r="AC317" s="78"/>
      <c r="AD317" s="78"/>
      <c r="AE317" s="78"/>
    </row>
    <row r="318" spans="1:31" ht="12.75">
      <c r="A318"/>
      <c r="B318"/>
      <c r="C318"/>
      <c r="D318"/>
      <c r="E318"/>
      <c r="F318"/>
      <c r="G318"/>
      <c r="H318"/>
      <c r="I318"/>
      <c r="J318"/>
      <c r="K318" s="100">
        <f t="shared" si="39"/>
        <v>0</v>
      </c>
      <c r="L318" s="95"/>
      <c r="M318" s="90">
        <f t="shared" si="33"/>
        <v>0</v>
      </c>
      <c r="N318" s="56">
        <v>0</v>
      </c>
      <c r="O318" s="44">
        <f t="shared" si="34"/>
        <v>0</v>
      </c>
      <c r="P318" s="44"/>
      <c r="Q318" s="44"/>
      <c r="R318" s="44"/>
      <c r="S318" s="44">
        <f t="shared" si="40"/>
        <v>0</v>
      </c>
      <c r="T318" s="44">
        <f t="shared" si="35"/>
        <v>0</v>
      </c>
      <c r="U318">
        <v>0</v>
      </c>
      <c r="V318" s="43">
        <v>0</v>
      </c>
      <c r="W318" s="44">
        <f t="shared" si="36"/>
        <v>0</v>
      </c>
      <c r="X318" s="44">
        <f t="shared" si="37"/>
        <v>0</v>
      </c>
      <c r="Y318" s="44">
        <f t="shared" si="38"/>
        <v>0</v>
      </c>
      <c r="Z318" s="84"/>
      <c r="AA318" s="78"/>
      <c r="AB318" s="78"/>
      <c r="AC318" s="78"/>
      <c r="AD318" s="78"/>
      <c r="AE318" s="78"/>
    </row>
    <row r="319" spans="1:31" ht="12.75">
      <c r="A319"/>
      <c r="B319"/>
      <c r="C319"/>
      <c r="D319"/>
      <c r="E319"/>
      <c r="F319"/>
      <c r="G319"/>
      <c r="H319"/>
      <c r="I319"/>
      <c r="J319"/>
      <c r="K319" s="100">
        <f t="shared" si="39"/>
        <v>0</v>
      </c>
      <c r="L319" s="95"/>
      <c r="M319" s="90">
        <f t="shared" si="33"/>
        <v>0</v>
      </c>
      <c r="N319" s="56">
        <v>0</v>
      </c>
      <c r="O319" s="44">
        <f t="shared" si="34"/>
        <v>0</v>
      </c>
      <c r="P319" s="44"/>
      <c r="Q319" s="44"/>
      <c r="R319" s="44"/>
      <c r="S319" s="44">
        <f t="shared" si="40"/>
        <v>0</v>
      </c>
      <c r="T319" s="44">
        <f t="shared" si="35"/>
        <v>0</v>
      </c>
      <c r="U319">
        <v>0</v>
      </c>
      <c r="V319" s="43">
        <v>0</v>
      </c>
      <c r="W319" s="44">
        <f t="shared" si="36"/>
        <v>0</v>
      </c>
      <c r="X319" s="44">
        <f t="shared" si="37"/>
        <v>0</v>
      </c>
      <c r="Y319" s="44">
        <f t="shared" si="38"/>
        <v>0</v>
      </c>
      <c r="Z319" s="84"/>
      <c r="AA319" s="78"/>
      <c r="AB319" s="78"/>
      <c r="AC319" s="78"/>
      <c r="AD319" s="78"/>
      <c r="AE319" s="78"/>
    </row>
    <row r="320" spans="1:31" ht="12.75">
      <c r="A320"/>
      <c r="B320"/>
      <c r="C320"/>
      <c r="D320"/>
      <c r="E320"/>
      <c r="F320"/>
      <c r="G320"/>
      <c r="H320"/>
      <c r="I320"/>
      <c r="J320"/>
      <c r="K320" s="100">
        <f t="shared" si="39"/>
        <v>0</v>
      </c>
      <c r="L320" s="95"/>
      <c r="M320" s="90">
        <f t="shared" si="33"/>
        <v>0</v>
      </c>
      <c r="N320" s="56">
        <v>0</v>
      </c>
      <c r="O320" s="44">
        <f t="shared" si="34"/>
        <v>0</v>
      </c>
      <c r="P320" s="44"/>
      <c r="Q320" s="44"/>
      <c r="R320" s="44"/>
      <c r="S320" s="44">
        <f t="shared" si="40"/>
        <v>0</v>
      </c>
      <c r="T320" s="44">
        <f t="shared" si="35"/>
        <v>0</v>
      </c>
      <c r="U320">
        <v>0</v>
      </c>
      <c r="V320" s="43">
        <v>0</v>
      </c>
      <c r="W320" s="44">
        <f t="shared" si="36"/>
        <v>0</v>
      </c>
      <c r="X320" s="44">
        <f t="shared" si="37"/>
        <v>0</v>
      </c>
      <c r="Y320" s="44">
        <f t="shared" si="38"/>
        <v>0</v>
      </c>
      <c r="Z320" s="84"/>
      <c r="AA320" s="78"/>
      <c r="AB320" s="78"/>
      <c r="AC320" s="78"/>
      <c r="AD320" s="78"/>
      <c r="AE320" s="78"/>
    </row>
    <row r="321" spans="1:31" ht="12.75">
      <c r="A321"/>
      <c r="B321"/>
      <c r="C321"/>
      <c r="D321"/>
      <c r="E321"/>
      <c r="F321"/>
      <c r="G321"/>
      <c r="H321"/>
      <c r="I321"/>
      <c r="J321"/>
      <c r="K321" s="100">
        <f t="shared" si="39"/>
        <v>0</v>
      </c>
      <c r="L321" s="95"/>
      <c r="M321" s="90">
        <f t="shared" si="33"/>
        <v>0</v>
      </c>
      <c r="N321" s="56">
        <v>0</v>
      </c>
      <c r="O321" s="44">
        <f t="shared" si="34"/>
        <v>0</v>
      </c>
      <c r="P321" s="44"/>
      <c r="Q321" s="44"/>
      <c r="R321" s="44"/>
      <c r="S321" s="44">
        <f t="shared" si="40"/>
        <v>0</v>
      </c>
      <c r="T321" s="44">
        <f t="shared" si="35"/>
        <v>0</v>
      </c>
      <c r="U321">
        <v>0</v>
      </c>
      <c r="V321" s="43">
        <v>0</v>
      </c>
      <c r="W321" s="44">
        <f t="shared" si="36"/>
        <v>0</v>
      </c>
      <c r="X321" s="44">
        <f t="shared" si="37"/>
        <v>0</v>
      </c>
      <c r="Y321" s="44">
        <f t="shared" si="38"/>
        <v>0</v>
      </c>
      <c r="Z321" s="84"/>
      <c r="AA321" s="78"/>
      <c r="AB321" s="78"/>
      <c r="AC321" s="78"/>
      <c r="AD321" s="78"/>
      <c r="AE321" s="78"/>
    </row>
    <row r="322" spans="1:31" ht="12.75">
      <c r="A322"/>
      <c r="B322"/>
      <c r="C322"/>
      <c r="D322"/>
      <c r="E322"/>
      <c r="F322"/>
      <c r="G322"/>
      <c r="H322"/>
      <c r="I322"/>
      <c r="J322"/>
      <c r="K322" s="100">
        <f t="shared" si="39"/>
        <v>0</v>
      </c>
      <c r="L322" s="95"/>
      <c r="M322" s="90">
        <f t="shared" si="33"/>
        <v>0</v>
      </c>
      <c r="N322" s="56">
        <v>0</v>
      </c>
      <c r="O322" s="44">
        <f t="shared" si="34"/>
        <v>0</v>
      </c>
      <c r="P322" s="44"/>
      <c r="Q322" s="44"/>
      <c r="R322" s="44"/>
      <c r="S322" s="44">
        <f t="shared" si="40"/>
        <v>0</v>
      </c>
      <c r="T322" s="44">
        <f t="shared" si="35"/>
        <v>0</v>
      </c>
      <c r="U322">
        <v>0</v>
      </c>
      <c r="V322" s="43">
        <v>0</v>
      </c>
      <c r="W322" s="44">
        <f t="shared" si="36"/>
        <v>0</v>
      </c>
      <c r="X322" s="44">
        <f t="shared" si="37"/>
        <v>0</v>
      </c>
      <c r="Y322" s="44">
        <f t="shared" si="38"/>
        <v>0</v>
      </c>
      <c r="Z322" s="84"/>
      <c r="AA322" s="78"/>
      <c r="AB322" s="78"/>
      <c r="AC322" s="78"/>
      <c r="AD322" s="78"/>
      <c r="AE322" s="78"/>
    </row>
    <row r="323" spans="1:31" ht="12.75">
      <c r="A323"/>
      <c r="B323"/>
      <c r="C323"/>
      <c r="D323"/>
      <c r="E323"/>
      <c r="F323"/>
      <c r="G323"/>
      <c r="H323"/>
      <c r="I323"/>
      <c r="J323"/>
      <c r="K323" s="100">
        <f t="shared" si="39"/>
        <v>0</v>
      </c>
      <c r="L323" s="95"/>
      <c r="M323" s="90">
        <f t="shared" si="33"/>
        <v>0</v>
      </c>
      <c r="N323" s="56">
        <v>0</v>
      </c>
      <c r="O323" s="44">
        <f t="shared" si="34"/>
        <v>0</v>
      </c>
      <c r="P323" s="44"/>
      <c r="Q323" s="44"/>
      <c r="R323" s="44"/>
      <c r="S323" s="44">
        <f t="shared" si="40"/>
        <v>0</v>
      </c>
      <c r="T323" s="44">
        <f t="shared" si="35"/>
        <v>0</v>
      </c>
      <c r="U323">
        <v>0</v>
      </c>
      <c r="V323" s="43">
        <v>0</v>
      </c>
      <c r="W323" s="44">
        <f t="shared" si="36"/>
        <v>0</v>
      </c>
      <c r="X323" s="44">
        <f t="shared" si="37"/>
        <v>0</v>
      </c>
      <c r="Y323" s="44">
        <f t="shared" si="38"/>
        <v>0</v>
      </c>
      <c r="Z323" s="84"/>
      <c r="AA323" s="78"/>
      <c r="AB323" s="78"/>
      <c r="AC323" s="78"/>
      <c r="AD323" s="78"/>
      <c r="AE323" s="78"/>
    </row>
    <row r="324" spans="1:31" ht="12.75">
      <c r="A324"/>
      <c r="B324"/>
      <c r="C324"/>
      <c r="D324"/>
      <c r="E324"/>
      <c r="F324"/>
      <c r="G324"/>
      <c r="H324"/>
      <c r="I324"/>
      <c r="J324"/>
      <c r="K324" s="100">
        <f t="shared" si="39"/>
        <v>0</v>
      </c>
      <c r="L324" s="95"/>
      <c r="M324" s="90">
        <f t="shared" si="33"/>
        <v>0</v>
      </c>
      <c r="N324" s="56">
        <v>0</v>
      </c>
      <c r="O324" s="44">
        <f t="shared" si="34"/>
        <v>0</v>
      </c>
      <c r="P324" s="44"/>
      <c r="Q324" s="44"/>
      <c r="R324" s="44"/>
      <c r="S324" s="44">
        <f t="shared" si="40"/>
        <v>0</v>
      </c>
      <c r="T324" s="44">
        <f t="shared" si="35"/>
        <v>0</v>
      </c>
      <c r="U324">
        <v>0</v>
      </c>
      <c r="V324" s="43">
        <v>0</v>
      </c>
      <c r="W324" s="44">
        <f t="shared" si="36"/>
        <v>0</v>
      </c>
      <c r="X324" s="44">
        <f t="shared" si="37"/>
        <v>0</v>
      </c>
      <c r="Y324" s="44">
        <f t="shared" si="38"/>
        <v>0</v>
      </c>
      <c r="Z324" s="84"/>
      <c r="AA324" s="78"/>
      <c r="AB324" s="78"/>
      <c r="AC324" s="78"/>
      <c r="AD324" s="78"/>
      <c r="AE324" s="78"/>
    </row>
    <row r="325" spans="1:31" ht="12.75">
      <c r="A325"/>
      <c r="B325"/>
      <c r="C325"/>
      <c r="D325"/>
      <c r="E325"/>
      <c r="F325"/>
      <c r="G325"/>
      <c r="H325"/>
      <c r="I325"/>
      <c r="J325"/>
      <c r="K325" s="100">
        <f t="shared" si="39"/>
        <v>0</v>
      </c>
      <c r="L325" s="95"/>
      <c r="M325" s="90">
        <f t="shared" si="33"/>
        <v>0</v>
      </c>
      <c r="N325" s="56">
        <v>0</v>
      </c>
      <c r="O325" s="44">
        <f t="shared" si="34"/>
        <v>0</v>
      </c>
      <c r="P325" s="44"/>
      <c r="Q325" s="44"/>
      <c r="R325" s="44"/>
      <c r="S325" s="44">
        <f t="shared" si="40"/>
        <v>0</v>
      </c>
      <c r="T325" s="44">
        <f t="shared" si="35"/>
        <v>0</v>
      </c>
      <c r="U325">
        <v>0</v>
      </c>
      <c r="V325" s="43">
        <v>0</v>
      </c>
      <c r="W325" s="44">
        <f t="shared" si="36"/>
        <v>0</v>
      </c>
      <c r="X325" s="44">
        <f t="shared" si="37"/>
        <v>0</v>
      </c>
      <c r="Y325" s="44">
        <f t="shared" si="38"/>
        <v>0</v>
      </c>
      <c r="Z325" s="84"/>
      <c r="AA325" s="78"/>
      <c r="AB325" s="78"/>
      <c r="AC325" s="78"/>
      <c r="AD325" s="78"/>
      <c r="AE325" s="78"/>
    </row>
    <row r="326" spans="1:31" ht="12.75">
      <c r="A326"/>
      <c r="B326"/>
      <c r="C326"/>
      <c r="D326"/>
      <c r="E326"/>
      <c r="F326"/>
      <c r="G326"/>
      <c r="H326"/>
      <c r="I326"/>
      <c r="J326"/>
      <c r="K326" s="100">
        <f t="shared" si="39"/>
        <v>0</v>
      </c>
      <c r="L326" s="95"/>
      <c r="M326" s="90">
        <f t="shared" si="33"/>
        <v>0</v>
      </c>
      <c r="N326" s="56">
        <v>0</v>
      </c>
      <c r="O326" s="44">
        <f t="shared" si="34"/>
        <v>0</v>
      </c>
      <c r="P326" s="44"/>
      <c r="Q326" s="44"/>
      <c r="R326" s="44"/>
      <c r="S326" s="44">
        <f t="shared" si="40"/>
        <v>0</v>
      </c>
      <c r="T326" s="44">
        <f t="shared" si="35"/>
        <v>0</v>
      </c>
      <c r="U326">
        <v>0</v>
      </c>
      <c r="V326" s="43">
        <v>0</v>
      </c>
      <c r="W326" s="44">
        <f t="shared" si="36"/>
        <v>0</v>
      </c>
      <c r="X326" s="44">
        <f t="shared" si="37"/>
        <v>0</v>
      </c>
      <c r="Y326" s="44">
        <f t="shared" si="38"/>
        <v>0</v>
      </c>
      <c r="Z326" s="84"/>
      <c r="AA326" s="78"/>
      <c r="AB326" s="78"/>
      <c r="AC326" s="78"/>
      <c r="AD326" s="78"/>
      <c r="AE326" s="78"/>
    </row>
    <row r="327" spans="1:31" ht="12.75">
      <c r="A327"/>
      <c r="B327"/>
      <c r="C327"/>
      <c r="D327"/>
      <c r="E327"/>
      <c r="F327"/>
      <c r="G327"/>
      <c r="H327"/>
      <c r="I327"/>
      <c r="J327"/>
      <c r="K327" s="100">
        <f t="shared" si="39"/>
        <v>0</v>
      </c>
      <c r="L327" s="95"/>
      <c r="M327" s="90">
        <f t="shared" si="33"/>
        <v>0</v>
      </c>
      <c r="N327" s="56">
        <v>0</v>
      </c>
      <c r="O327" s="44">
        <f t="shared" si="34"/>
        <v>0</v>
      </c>
      <c r="P327" s="44"/>
      <c r="Q327" s="44"/>
      <c r="R327" s="44"/>
      <c r="S327" s="44">
        <f t="shared" si="40"/>
        <v>0</v>
      </c>
      <c r="T327" s="44">
        <f t="shared" si="35"/>
        <v>0</v>
      </c>
      <c r="U327">
        <v>0</v>
      </c>
      <c r="V327" s="43">
        <v>0</v>
      </c>
      <c r="W327" s="44">
        <f t="shared" si="36"/>
        <v>0</v>
      </c>
      <c r="X327" s="44">
        <f t="shared" si="37"/>
        <v>0</v>
      </c>
      <c r="Y327" s="44">
        <f t="shared" si="38"/>
        <v>0</v>
      </c>
      <c r="Z327" s="84"/>
      <c r="AA327" s="78"/>
      <c r="AB327" s="78"/>
      <c r="AC327" s="78"/>
      <c r="AD327" s="78"/>
      <c r="AE327" s="78"/>
    </row>
    <row r="328" spans="1:31" ht="12.75">
      <c r="A328"/>
      <c r="B328"/>
      <c r="C328"/>
      <c r="D328"/>
      <c r="E328"/>
      <c r="F328"/>
      <c r="G328"/>
      <c r="H328"/>
      <c r="I328"/>
      <c r="J328"/>
      <c r="K328" s="100">
        <f t="shared" si="39"/>
        <v>0</v>
      </c>
      <c r="L328" s="95"/>
      <c r="M328" s="90">
        <f t="shared" ref="M328:M391" si="41">ROUND(K328*L328,2)</f>
        <v>0</v>
      </c>
      <c r="N328" s="56">
        <v>0</v>
      </c>
      <c r="O328" s="44">
        <f t="shared" ref="O328:O391" si="42">+M328-(M328*N328)</f>
        <v>0</v>
      </c>
      <c r="P328" s="44"/>
      <c r="Q328" s="44"/>
      <c r="R328" s="44"/>
      <c r="S328" s="44">
        <f t="shared" si="40"/>
        <v>0</v>
      </c>
      <c r="T328" s="44">
        <f t="shared" ref="T328:T391" si="43">+O328+P328+Q328+R328</f>
        <v>0</v>
      </c>
      <c r="U328">
        <v>0</v>
      </c>
      <c r="V328" s="43">
        <v>0</v>
      </c>
      <c r="W328" s="44">
        <f t="shared" ref="W328:W391" si="44">+O328-U328-V328-Z328</f>
        <v>0</v>
      </c>
      <c r="X328" s="44">
        <f t="shared" ref="X328:X391" si="45">(+O328-U328-Z328)*$X$1</f>
        <v>0</v>
      </c>
      <c r="Y328" s="44">
        <f t="shared" ref="Y328:Y391" si="46">+W328-X328</f>
        <v>0</v>
      </c>
      <c r="Z328" s="84"/>
      <c r="AA328" s="78"/>
      <c r="AB328" s="78"/>
      <c r="AC328" s="78"/>
      <c r="AD328" s="78"/>
      <c r="AE328" s="78"/>
    </row>
    <row r="329" spans="1:31" ht="12.75">
      <c r="A329"/>
      <c r="B329"/>
      <c r="C329"/>
      <c r="D329"/>
      <c r="E329"/>
      <c r="F329"/>
      <c r="G329"/>
      <c r="H329"/>
      <c r="I329"/>
      <c r="J329"/>
      <c r="K329" s="100">
        <f t="shared" ref="K329:K392" si="47">+I329*J329</f>
        <v>0</v>
      </c>
      <c r="L329" s="95"/>
      <c r="M329" s="90">
        <f t="shared" si="41"/>
        <v>0</v>
      </c>
      <c r="N329" s="56">
        <v>0</v>
      </c>
      <c r="O329" s="44">
        <f t="shared" si="42"/>
        <v>0</v>
      </c>
      <c r="P329" s="44"/>
      <c r="Q329" s="44"/>
      <c r="R329" s="44"/>
      <c r="S329" s="44">
        <f t="shared" ref="S329:S392" si="48">IF(R329="y",+P329*0.01,0)</f>
        <v>0</v>
      </c>
      <c r="T329" s="44">
        <f t="shared" si="43"/>
        <v>0</v>
      </c>
      <c r="U329">
        <v>0</v>
      </c>
      <c r="V329" s="43">
        <v>0</v>
      </c>
      <c r="W329" s="44">
        <f t="shared" si="44"/>
        <v>0</v>
      </c>
      <c r="X329" s="44">
        <f t="shared" si="45"/>
        <v>0</v>
      </c>
      <c r="Y329" s="44">
        <f t="shared" si="46"/>
        <v>0</v>
      </c>
      <c r="Z329" s="84"/>
      <c r="AA329" s="78"/>
      <c r="AB329" s="78"/>
      <c r="AC329" s="78"/>
      <c r="AD329" s="78"/>
      <c r="AE329" s="78"/>
    </row>
    <row r="330" spans="1:31" ht="12.75">
      <c r="A330"/>
      <c r="B330"/>
      <c r="C330"/>
      <c r="D330"/>
      <c r="E330"/>
      <c r="F330"/>
      <c r="G330"/>
      <c r="H330"/>
      <c r="I330"/>
      <c r="J330"/>
      <c r="K330" s="100">
        <f t="shared" si="47"/>
        <v>0</v>
      </c>
      <c r="L330" s="95"/>
      <c r="M330" s="90">
        <f t="shared" si="41"/>
        <v>0</v>
      </c>
      <c r="N330" s="56">
        <v>0</v>
      </c>
      <c r="O330" s="44">
        <f t="shared" si="42"/>
        <v>0</v>
      </c>
      <c r="P330" s="44"/>
      <c r="Q330" s="44"/>
      <c r="R330" s="44"/>
      <c r="S330" s="44">
        <f t="shared" si="48"/>
        <v>0</v>
      </c>
      <c r="T330" s="44">
        <f t="shared" si="43"/>
        <v>0</v>
      </c>
      <c r="U330">
        <v>0</v>
      </c>
      <c r="V330" s="43">
        <v>0</v>
      </c>
      <c r="W330" s="44">
        <f t="shared" si="44"/>
        <v>0</v>
      </c>
      <c r="X330" s="44">
        <f t="shared" si="45"/>
        <v>0</v>
      </c>
      <c r="Y330" s="44">
        <f t="shared" si="46"/>
        <v>0</v>
      </c>
      <c r="Z330" s="84"/>
      <c r="AA330" s="78"/>
      <c r="AB330" s="78"/>
      <c r="AC330" s="78"/>
      <c r="AD330" s="78"/>
      <c r="AE330" s="78"/>
    </row>
    <row r="331" spans="1:31" ht="12.75">
      <c r="A331"/>
      <c r="B331"/>
      <c r="C331"/>
      <c r="D331"/>
      <c r="E331"/>
      <c r="F331"/>
      <c r="G331"/>
      <c r="H331"/>
      <c r="I331"/>
      <c r="J331"/>
      <c r="K331" s="100">
        <f t="shared" si="47"/>
        <v>0</v>
      </c>
      <c r="L331" s="95"/>
      <c r="M331" s="90">
        <f t="shared" si="41"/>
        <v>0</v>
      </c>
      <c r="N331" s="56">
        <v>0</v>
      </c>
      <c r="O331" s="44">
        <f t="shared" si="42"/>
        <v>0</v>
      </c>
      <c r="P331" s="44"/>
      <c r="Q331" s="44"/>
      <c r="R331" s="44"/>
      <c r="S331" s="44">
        <f t="shared" si="48"/>
        <v>0</v>
      </c>
      <c r="T331" s="44">
        <f t="shared" si="43"/>
        <v>0</v>
      </c>
      <c r="U331">
        <v>0</v>
      </c>
      <c r="V331" s="43">
        <v>0</v>
      </c>
      <c r="W331" s="44">
        <f t="shared" si="44"/>
        <v>0</v>
      </c>
      <c r="X331" s="44">
        <f t="shared" si="45"/>
        <v>0</v>
      </c>
      <c r="Y331" s="44">
        <f t="shared" si="46"/>
        <v>0</v>
      </c>
      <c r="Z331" s="84"/>
      <c r="AA331" s="78"/>
      <c r="AB331" s="78"/>
      <c r="AC331" s="78"/>
      <c r="AD331" s="78"/>
      <c r="AE331" s="78"/>
    </row>
    <row r="332" spans="1:31" ht="12.75">
      <c r="A332"/>
      <c r="B332"/>
      <c r="C332"/>
      <c r="D332"/>
      <c r="E332"/>
      <c r="F332"/>
      <c r="G332"/>
      <c r="H332"/>
      <c r="I332"/>
      <c r="J332"/>
      <c r="K332" s="100">
        <f t="shared" si="47"/>
        <v>0</v>
      </c>
      <c r="L332" s="95"/>
      <c r="M332" s="90">
        <f t="shared" si="41"/>
        <v>0</v>
      </c>
      <c r="N332" s="56">
        <v>0</v>
      </c>
      <c r="O332" s="44">
        <f t="shared" si="42"/>
        <v>0</v>
      </c>
      <c r="P332" s="44"/>
      <c r="Q332" s="44"/>
      <c r="R332" s="44"/>
      <c r="S332" s="44">
        <f t="shared" si="48"/>
        <v>0</v>
      </c>
      <c r="T332" s="44">
        <f t="shared" si="43"/>
        <v>0</v>
      </c>
      <c r="U332">
        <v>0</v>
      </c>
      <c r="V332" s="43">
        <v>0</v>
      </c>
      <c r="W332" s="44">
        <f t="shared" si="44"/>
        <v>0</v>
      </c>
      <c r="X332" s="44">
        <f t="shared" si="45"/>
        <v>0</v>
      </c>
      <c r="Y332" s="44">
        <f t="shared" si="46"/>
        <v>0</v>
      </c>
      <c r="Z332" s="84"/>
      <c r="AA332" s="78"/>
      <c r="AB332" s="78"/>
      <c r="AC332" s="78"/>
      <c r="AD332" s="78"/>
      <c r="AE332" s="78"/>
    </row>
    <row r="333" spans="1:31" ht="12.75">
      <c r="A333"/>
      <c r="B333"/>
      <c r="C333"/>
      <c r="D333"/>
      <c r="E333"/>
      <c r="F333"/>
      <c r="G333"/>
      <c r="H333"/>
      <c r="I333"/>
      <c r="J333"/>
      <c r="K333" s="100">
        <f t="shared" si="47"/>
        <v>0</v>
      </c>
      <c r="L333" s="95"/>
      <c r="M333" s="90">
        <f t="shared" si="41"/>
        <v>0</v>
      </c>
      <c r="N333" s="56">
        <v>0</v>
      </c>
      <c r="O333" s="44">
        <f t="shared" si="42"/>
        <v>0</v>
      </c>
      <c r="P333" s="44"/>
      <c r="Q333" s="44"/>
      <c r="R333" s="44"/>
      <c r="S333" s="44">
        <f t="shared" si="48"/>
        <v>0</v>
      </c>
      <c r="T333" s="44">
        <f t="shared" si="43"/>
        <v>0</v>
      </c>
      <c r="U333">
        <v>0</v>
      </c>
      <c r="V333" s="43">
        <v>0</v>
      </c>
      <c r="W333" s="44">
        <f t="shared" si="44"/>
        <v>0</v>
      </c>
      <c r="X333" s="44">
        <f t="shared" si="45"/>
        <v>0</v>
      </c>
      <c r="Y333" s="44">
        <f t="shared" si="46"/>
        <v>0</v>
      </c>
      <c r="Z333" s="84"/>
      <c r="AA333" s="78"/>
      <c r="AB333" s="78"/>
      <c r="AC333" s="78"/>
      <c r="AD333" s="78"/>
      <c r="AE333" s="78"/>
    </row>
    <row r="334" spans="1:31" ht="12.75">
      <c r="A334"/>
      <c r="B334"/>
      <c r="C334"/>
      <c r="D334"/>
      <c r="E334"/>
      <c r="F334"/>
      <c r="G334"/>
      <c r="H334"/>
      <c r="I334"/>
      <c r="J334"/>
      <c r="K334" s="100">
        <f t="shared" si="47"/>
        <v>0</v>
      </c>
      <c r="L334" s="95"/>
      <c r="M334" s="90">
        <f t="shared" si="41"/>
        <v>0</v>
      </c>
      <c r="N334" s="56">
        <v>0</v>
      </c>
      <c r="O334" s="44">
        <f t="shared" si="42"/>
        <v>0</v>
      </c>
      <c r="P334" s="44"/>
      <c r="Q334" s="44"/>
      <c r="R334" s="44"/>
      <c r="S334" s="44">
        <f t="shared" si="48"/>
        <v>0</v>
      </c>
      <c r="T334" s="44">
        <f t="shared" si="43"/>
        <v>0</v>
      </c>
      <c r="U334">
        <v>0</v>
      </c>
      <c r="V334" s="43">
        <v>0</v>
      </c>
      <c r="W334" s="44">
        <f t="shared" si="44"/>
        <v>0</v>
      </c>
      <c r="X334" s="44">
        <f t="shared" si="45"/>
        <v>0</v>
      </c>
      <c r="Y334" s="44">
        <f t="shared" si="46"/>
        <v>0</v>
      </c>
      <c r="Z334" s="84"/>
      <c r="AA334" s="78"/>
      <c r="AB334" s="78"/>
      <c r="AC334" s="78"/>
      <c r="AD334" s="78"/>
      <c r="AE334" s="78"/>
    </row>
    <row r="335" spans="1:31" ht="12.75">
      <c r="A335"/>
      <c r="B335"/>
      <c r="C335"/>
      <c r="D335"/>
      <c r="E335"/>
      <c r="F335"/>
      <c r="G335"/>
      <c r="H335"/>
      <c r="I335"/>
      <c r="J335"/>
      <c r="K335" s="100">
        <f t="shared" si="47"/>
        <v>0</v>
      </c>
      <c r="L335" s="95"/>
      <c r="M335" s="90">
        <f t="shared" si="41"/>
        <v>0</v>
      </c>
      <c r="N335" s="56">
        <v>0</v>
      </c>
      <c r="O335" s="44">
        <f t="shared" si="42"/>
        <v>0</v>
      </c>
      <c r="P335" s="44"/>
      <c r="Q335" s="44"/>
      <c r="R335" s="44"/>
      <c r="S335" s="44">
        <f t="shared" si="48"/>
        <v>0</v>
      </c>
      <c r="T335" s="44">
        <f t="shared" si="43"/>
        <v>0</v>
      </c>
      <c r="U335">
        <v>0</v>
      </c>
      <c r="V335" s="43">
        <v>0</v>
      </c>
      <c r="W335" s="44">
        <f t="shared" si="44"/>
        <v>0</v>
      </c>
      <c r="X335" s="44">
        <f t="shared" si="45"/>
        <v>0</v>
      </c>
      <c r="Y335" s="44">
        <f t="shared" si="46"/>
        <v>0</v>
      </c>
      <c r="Z335" s="84"/>
      <c r="AA335" s="78"/>
      <c r="AB335" s="78"/>
      <c r="AC335" s="78"/>
      <c r="AD335" s="78"/>
      <c r="AE335" s="78"/>
    </row>
    <row r="336" spans="1:31" ht="12.75">
      <c r="A336"/>
      <c r="B336"/>
      <c r="C336"/>
      <c r="D336"/>
      <c r="E336"/>
      <c r="F336"/>
      <c r="G336"/>
      <c r="H336"/>
      <c r="I336"/>
      <c r="J336"/>
      <c r="K336" s="100">
        <f t="shared" si="47"/>
        <v>0</v>
      </c>
      <c r="L336" s="95"/>
      <c r="M336" s="90">
        <f t="shared" si="41"/>
        <v>0</v>
      </c>
      <c r="N336" s="56">
        <v>0</v>
      </c>
      <c r="O336" s="44">
        <f t="shared" si="42"/>
        <v>0</v>
      </c>
      <c r="P336" s="44"/>
      <c r="Q336" s="44"/>
      <c r="R336" s="44"/>
      <c r="S336" s="44">
        <f t="shared" si="48"/>
        <v>0</v>
      </c>
      <c r="T336" s="44">
        <f t="shared" si="43"/>
        <v>0</v>
      </c>
      <c r="U336">
        <v>0</v>
      </c>
      <c r="V336" s="43">
        <v>0</v>
      </c>
      <c r="W336" s="44">
        <f t="shared" si="44"/>
        <v>0</v>
      </c>
      <c r="X336" s="44">
        <f t="shared" si="45"/>
        <v>0</v>
      </c>
      <c r="Y336" s="44">
        <f t="shared" si="46"/>
        <v>0</v>
      </c>
      <c r="Z336" s="84"/>
      <c r="AA336" s="78"/>
      <c r="AB336" s="78"/>
      <c r="AC336" s="78"/>
      <c r="AD336" s="78"/>
      <c r="AE336" s="78"/>
    </row>
    <row r="337" spans="1:31" ht="12.75">
      <c r="A337"/>
      <c r="B337"/>
      <c r="C337"/>
      <c r="D337"/>
      <c r="E337"/>
      <c r="F337"/>
      <c r="G337"/>
      <c r="H337"/>
      <c r="I337"/>
      <c r="J337"/>
      <c r="K337" s="100">
        <f t="shared" si="47"/>
        <v>0</v>
      </c>
      <c r="L337" s="95"/>
      <c r="M337" s="90">
        <f t="shared" si="41"/>
        <v>0</v>
      </c>
      <c r="N337" s="56">
        <v>0</v>
      </c>
      <c r="O337" s="44">
        <f t="shared" si="42"/>
        <v>0</v>
      </c>
      <c r="P337" s="44"/>
      <c r="Q337" s="44"/>
      <c r="R337" s="44"/>
      <c r="S337" s="44">
        <f t="shared" si="48"/>
        <v>0</v>
      </c>
      <c r="T337" s="44">
        <f t="shared" si="43"/>
        <v>0</v>
      </c>
      <c r="U337">
        <v>0</v>
      </c>
      <c r="V337" s="43">
        <v>0</v>
      </c>
      <c r="W337" s="44">
        <f t="shared" si="44"/>
        <v>0</v>
      </c>
      <c r="X337" s="44">
        <f t="shared" si="45"/>
        <v>0</v>
      </c>
      <c r="Y337" s="44">
        <f t="shared" si="46"/>
        <v>0</v>
      </c>
      <c r="Z337" s="84"/>
      <c r="AA337" s="78"/>
      <c r="AB337" s="78"/>
      <c r="AC337" s="78"/>
      <c r="AD337" s="78"/>
      <c r="AE337" s="78"/>
    </row>
    <row r="338" spans="1:31" ht="12.75">
      <c r="A338"/>
      <c r="B338"/>
      <c r="C338"/>
      <c r="D338"/>
      <c r="E338"/>
      <c r="F338"/>
      <c r="G338"/>
      <c r="H338"/>
      <c r="I338"/>
      <c r="J338"/>
      <c r="K338" s="100">
        <f t="shared" si="47"/>
        <v>0</v>
      </c>
      <c r="L338" s="95"/>
      <c r="M338" s="90">
        <f t="shared" si="41"/>
        <v>0</v>
      </c>
      <c r="N338" s="56">
        <v>0</v>
      </c>
      <c r="O338" s="44">
        <f t="shared" si="42"/>
        <v>0</v>
      </c>
      <c r="P338" s="44"/>
      <c r="Q338" s="44"/>
      <c r="R338" s="44"/>
      <c r="S338" s="44">
        <f t="shared" si="48"/>
        <v>0</v>
      </c>
      <c r="T338" s="44">
        <f t="shared" si="43"/>
        <v>0</v>
      </c>
      <c r="U338">
        <v>0</v>
      </c>
      <c r="V338" s="43">
        <v>0</v>
      </c>
      <c r="W338" s="44">
        <f t="shared" si="44"/>
        <v>0</v>
      </c>
      <c r="X338" s="44">
        <f t="shared" si="45"/>
        <v>0</v>
      </c>
      <c r="Y338" s="44">
        <f t="shared" si="46"/>
        <v>0</v>
      </c>
      <c r="Z338" s="84"/>
      <c r="AA338" s="78"/>
      <c r="AB338" s="78"/>
      <c r="AC338" s="78"/>
      <c r="AD338" s="78"/>
      <c r="AE338" s="78"/>
    </row>
    <row r="339" spans="1:31" ht="12.75">
      <c r="A339"/>
      <c r="B339"/>
      <c r="C339"/>
      <c r="D339"/>
      <c r="E339"/>
      <c r="F339"/>
      <c r="G339"/>
      <c r="H339"/>
      <c r="I339"/>
      <c r="J339"/>
      <c r="K339" s="100">
        <f t="shared" si="47"/>
        <v>0</v>
      </c>
      <c r="L339" s="95"/>
      <c r="M339" s="90">
        <f t="shared" si="41"/>
        <v>0</v>
      </c>
      <c r="N339" s="56">
        <v>0</v>
      </c>
      <c r="O339" s="44">
        <f t="shared" si="42"/>
        <v>0</v>
      </c>
      <c r="P339" s="44"/>
      <c r="Q339" s="44"/>
      <c r="R339" s="44"/>
      <c r="S339" s="44">
        <f t="shared" si="48"/>
        <v>0</v>
      </c>
      <c r="T339" s="44">
        <f t="shared" si="43"/>
        <v>0</v>
      </c>
      <c r="U339">
        <v>0</v>
      </c>
      <c r="V339" s="43">
        <v>0</v>
      </c>
      <c r="W339" s="44">
        <f t="shared" si="44"/>
        <v>0</v>
      </c>
      <c r="X339" s="44">
        <f t="shared" si="45"/>
        <v>0</v>
      </c>
      <c r="Y339" s="44">
        <f t="shared" si="46"/>
        <v>0</v>
      </c>
      <c r="Z339" s="84"/>
      <c r="AA339" s="78"/>
      <c r="AB339" s="78"/>
      <c r="AC339" s="78"/>
      <c r="AD339" s="78"/>
      <c r="AE339" s="78"/>
    </row>
    <row r="340" spans="1:31" ht="12.75">
      <c r="A340"/>
      <c r="B340"/>
      <c r="C340"/>
      <c r="D340"/>
      <c r="E340"/>
      <c r="F340"/>
      <c r="G340"/>
      <c r="H340"/>
      <c r="I340"/>
      <c r="J340"/>
      <c r="K340" s="100">
        <f t="shared" si="47"/>
        <v>0</v>
      </c>
      <c r="L340" s="95"/>
      <c r="M340" s="90">
        <f t="shared" si="41"/>
        <v>0</v>
      </c>
      <c r="N340" s="56">
        <v>0</v>
      </c>
      <c r="O340" s="44">
        <f t="shared" si="42"/>
        <v>0</v>
      </c>
      <c r="P340" s="44"/>
      <c r="Q340" s="44"/>
      <c r="R340" s="44"/>
      <c r="S340" s="44">
        <f t="shared" si="48"/>
        <v>0</v>
      </c>
      <c r="T340" s="44">
        <f t="shared" si="43"/>
        <v>0</v>
      </c>
      <c r="U340">
        <v>0</v>
      </c>
      <c r="V340" s="43">
        <v>0</v>
      </c>
      <c r="W340" s="44">
        <f t="shared" si="44"/>
        <v>0</v>
      </c>
      <c r="X340" s="44">
        <f t="shared" si="45"/>
        <v>0</v>
      </c>
      <c r="Y340" s="44">
        <f t="shared" si="46"/>
        <v>0</v>
      </c>
      <c r="Z340" s="84"/>
      <c r="AA340" s="78"/>
      <c r="AB340" s="78"/>
      <c r="AC340" s="78"/>
      <c r="AD340" s="78"/>
      <c r="AE340" s="78"/>
    </row>
    <row r="341" spans="1:31" ht="12.75">
      <c r="A341"/>
      <c r="B341"/>
      <c r="C341"/>
      <c r="D341"/>
      <c r="E341"/>
      <c r="F341"/>
      <c r="G341"/>
      <c r="H341"/>
      <c r="I341"/>
      <c r="J341"/>
      <c r="K341" s="100">
        <f t="shared" si="47"/>
        <v>0</v>
      </c>
      <c r="L341" s="95"/>
      <c r="M341" s="90">
        <f t="shared" si="41"/>
        <v>0</v>
      </c>
      <c r="N341" s="56">
        <v>0</v>
      </c>
      <c r="O341" s="44">
        <f t="shared" si="42"/>
        <v>0</v>
      </c>
      <c r="P341" s="44"/>
      <c r="Q341" s="44"/>
      <c r="R341" s="44"/>
      <c r="S341" s="44">
        <f t="shared" si="48"/>
        <v>0</v>
      </c>
      <c r="T341" s="44">
        <f t="shared" si="43"/>
        <v>0</v>
      </c>
      <c r="U341">
        <v>0</v>
      </c>
      <c r="V341" s="43">
        <v>0</v>
      </c>
      <c r="W341" s="44">
        <f t="shared" si="44"/>
        <v>0</v>
      </c>
      <c r="X341" s="44">
        <f t="shared" si="45"/>
        <v>0</v>
      </c>
      <c r="Y341" s="44">
        <f t="shared" si="46"/>
        <v>0</v>
      </c>
      <c r="Z341" s="84"/>
      <c r="AA341" s="78"/>
      <c r="AB341" s="78"/>
      <c r="AC341" s="78"/>
      <c r="AD341" s="78"/>
      <c r="AE341" s="78"/>
    </row>
    <row r="342" spans="1:31" ht="12.75">
      <c r="A342"/>
      <c r="B342"/>
      <c r="C342"/>
      <c r="D342"/>
      <c r="E342"/>
      <c r="F342"/>
      <c r="G342"/>
      <c r="H342"/>
      <c r="I342"/>
      <c r="J342"/>
      <c r="K342" s="100">
        <f t="shared" si="47"/>
        <v>0</v>
      </c>
      <c r="L342" s="95"/>
      <c r="M342" s="90">
        <f t="shared" si="41"/>
        <v>0</v>
      </c>
      <c r="N342" s="56">
        <v>0</v>
      </c>
      <c r="O342" s="44">
        <f t="shared" si="42"/>
        <v>0</v>
      </c>
      <c r="P342" s="44"/>
      <c r="Q342" s="44"/>
      <c r="R342" s="44"/>
      <c r="S342" s="44">
        <f t="shared" si="48"/>
        <v>0</v>
      </c>
      <c r="T342" s="44">
        <f t="shared" si="43"/>
        <v>0</v>
      </c>
      <c r="U342">
        <v>0</v>
      </c>
      <c r="V342" s="43">
        <v>0</v>
      </c>
      <c r="W342" s="44">
        <f t="shared" si="44"/>
        <v>0</v>
      </c>
      <c r="X342" s="44">
        <f t="shared" si="45"/>
        <v>0</v>
      </c>
      <c r="Y342" s="44">
        <f t="shared" si="46"/>
        <v>0</v>
      </c>
      <c r="Z342" s="84"/>
      <c r="AA342" s="78"/>
      <c r="AB342" s="78"/>
      <c r="AC342" s="78"/>
      <c r="AD342" s="78"/>
      <c r="AE342" s="78"/>
    </row>
    <row r="343" spans="1:31" ht="12.75">
      <c r="A343"/>
      <c r="B343"/>
      <c r="C343"/>
      <c r="D343"/>
      <c r="E343"/>
      <c r="F343"/>
      <c r="G343"/>
      <c r="H343"/>
      <c r="I343"/>
      <c r="J343"/>
      <c r="K343" s="100">
        <f t="shared" si="47"/>
        <v>0</v>
      </c>
      <c r="L343" s="95"/>
      <c r="M343" s="90">
        <f t="shared" si="41"/>
        <v>0</v>
      </c>
      <c r="N343" s="56">
        <v>0</v>
      </c>
      <c r="O343" s="44">
        <f t="shared" si="42"/>
        <v>0</v>
      </c>
      <c r="P343" s="44"/>
      <c r="Q343" s="44"/>
      <c r="R343" s="44"/>
      <c r="S343" s="44">
        <f t="shared" si="48"/>
        <v>0</v>
      </c>
      <c r="T343" s="44">
        <f t="shared" si="43"/>
        <v>0</v>
      </c>
      <c r="U343">
        <v>0</v>
      </c>
      <c r="V343" s="43">
        <v>0</v>
      </c>
      <c r="W343" s="44">
        <f t="shared" si="44"/>
        <v>0</v>
      </c>
      <c r="X343" s="44">
        <f t="shared" si="45"/>
        <v>0</v>
      </c>
      <c r="Y343" s="44">
        <f t="shared" si="46"/>
        <v>0</v>
      </c>
      <c r="Z343" s="84"/>
      <c r="AA343" s="78"/>
      <c r="AB343" s="78"/>
      <c r="AC343" s="78"/>
      <c r="AD343" s="78"/>
      <c r="AE343" s="78"/>
    </row>
    <row r="344" spans="1:31" ht="12.75">
      <c r="A344"/>
      <c r="B344"/>
      <c r="C344"/>
      <c r="D344"/>
      <c r="E344"/>
      <c r="F344"/>
      <c r="G344"/>
      <c r="H344"/>
      <c r="I344"/>
      <c r="J344"/>
      <c r="K344" s="100">
        <f t="shared" si="47"/>
        <v>0</v>
      </c>
      <c r="L344" s="95"/>
      <c r="M344" s="90">
        <f t="shared" si="41"/>
        <v>0</v>
      </c>
      <c r="N344" s="56">
        <v>0</v>
      </c>
      <c r="O344" s="44">
        <f t="shared" si="42"/>
        <v>0</v>
      </c>
      <c r="P344" s="44"/>
      <c r="Q344" s="44"/>
      <c r="R344" s="44"/>
      <c r="S344" s="44">
        <f t="shared" si="48"/>
        <v>0</v>
      </c>
      <c r="T344" s="44">
        <f t="shared" si="43"/>
        <v>0</v>
      </c>
      <c r="U344">
        <v>0</v>
      </c>
      <c r="V344" s="43">
        <v>0</v>
      </c>
      <c r="W344" s="44">
        <f t="shared" si="44"/>
        <v>0</v>
      </c>
      <c r="X344" s="44">
        <f t="shared" si="45"/>
        <v>0</v>
      </c>
      <c r="Y344" s="44">
        <f t="shared" si="46"/>
        <v>0</v>
      </c>
      <c r="Z344" s="84"/>
      <c r="AA344" s="78"/>
      <c r="AB344" s="78"/>
      <c r="AC344" s="78"/>
      <c r="AD344" s="78"/>
      <c r="AE344" s="78"/>
    </row>
    <row r="345" spans="1:31" ht="12.75">
      <c r="A345"/>
      <c r="B345"/>
      <c r="C345"/>
      <c r="D345"/>
      <c r="E345"/>
      <c r="F345"/>
      <c r="G345"/>
      <c r="H345"/>
      <c r="I345"/>
      <c r="J345"/>
      <c r="K345" s="100">
        <f t="shared" si="47"/>
        <v>0</v>
      </c>
      <c r="L345" s="95"/>
      <c r="M345" s="90">
        <f t="shared" si="41"/>
        <v>0</v>
      </c>
      <c r="N345" s="56">
        <v>0</v>
      </c>
      <c r="O345" s="44">
        <f t="shared" si="42"/>
        <v>0</v>
      </c>
      <c r="P345" s="44"/>
      <c r="Q345" s="44"/>
      <c r="R345" s="44"/>
      <c r="S345" s="44">
        <f t="shared" si="48"/>
        <v>0</v>
      </c>
      <c r="T345" s="44">
        <f t="shared" si="43"/>
        <v>0</v>
      </c>
      <c r="U345">
        <v>0</v>
      </c>
      <c r="V345" s="43">
        <v>0</v>
      </c>
      <c r="W345" s="44">
        <f t="shared" si="44"/>
        <v>0</v>
      </c>
      <c r="X345" s="44">
        <f t="shared" si="45"/>
        <v>0</v>
      </c>
      <c r="Y345" s="44">
        <f t="shared" si="46"/>
        <v>0</v>
      </c>
      <c r="Z345" s="84"/>
      <c r="AA345" s="78"/>
      <c r="AB345" s="78"/>
      <c r="AC345" s="78"/>
      <c r="AD345" s="78"/>
      <c r="AE345" s="78"/>
    </row>
    <row r="346" spans="1:31" ht="12.75">
      <c r="A346"/>
      <c r="B346"/>
      <c r="C346"/>
      <c r="D346"/>
      <c r="E346"/>
      <c r="F346"/>
      <c r="G346"/>
      <c r="H346"/>
      <c r="I346"/>
      <c r="J346"/>
      <c r="K346" s="100">
        <f t="shared" si="47"/>
        <v>0</v>
      </c>
      <c r="L346" s="95"/>
      <c r="M346" s="90">
        <f t="shared" si="41"/>
        <v>0</v>
      </c>
      <c r="N346" s="56">
        <v>0</v>
      </c>
      <c r="O346" s="44">
        <f t="shared" si="42"/>
        <v>0</v>
      </c>
      <c r="P346" s="44"/>
      <c r="Q346" s="44"/>
      <c r="R346" s="44"/>
      <c r="S346" s="44">
        <f t="shared" si="48"/>
        <v>0</v>
      </c>
      <c r="T346" s="44">
        <f t="shared" si="43"/>
        <v>0</v>
      </c>
      <c r="U346">
        <v>0</v>
      </c>
      <c r="V346" s="43">
        <v>0</v>
      </c>
      <c r="W346" s="44">
        <f t="shared" si="44"/>
        <v>0</v>
      </c>
      <c r="X346" s="44">
        <f t="shared" si="45"/>
        <v>0</v>
      </c>
      <c r="Y346" s="44">
        <f t="shared" si="46"/>
        <v>0</v>
      </c>
      <c r="Z346" s="84"/>
      <c r="AA346" s="78"/>
      <c r="AB346" s="78"/>
      <c r="AC346" s="78"/>
      <c r="AD346" s="78"/>
      <c r="AE346" s="78"/>
    </row>
    <row r="347" spans="1:31" ht="12.75">
      <c r="A347"/>
      <c r="B347"/>
      <c r="C347"/>
      <c r="D347"/>
      <c r="E347"/>
      <c r="F347"/>
      <c r="G347"/>
      <c r="H347"/>
      <c r="I347"/>
      <c r="J347"/>
      <c r="K347" s="100">
        <f t="shared" si="47"/>
        <v>0</v>
      </c>
      <c r="L347" s="95"/>
      <c r="M347" s="90">
        <f t="shared" si="41"/>
        <v>0</v>
      </c>
      <c r="N347" s="56">
        <v>0</v>
      </c>
      <c r="O347" s="44">
        <f t="shared" si="42"/>
        <v>0</v>
      </c>
      <c r="P347" s="44"/>
      <c r="Q347" s="44"/>
      <c r="R347" s="44"/>
      <c r="S347" s="44">
        <f t="shared" si="48"/>
        <v>0</v>
      </c>
      <c r="T347" s="44">
        <f t="shared" si="43"/>
        <v>0</v>
      </c>
      <c r="U347">
        <v>0</v>
      </c>
      <c r="V347" s="43">
        <v>0</v>
      </c>
      <c r="W347" s="44">
        <f t="shared" si="44"/>
        <v>0</v>
      </c>
      <c r="X347" s="44">
        <f t="shared" si="45"/>
        <v>0</v>
      </c>
      <c r="Y347" s="44">
        <f t="shared" si="46"/>
        <v>0</v>
      </c>
      <c r="Z347" s="84"/>
      <c r="AA347" s="78"/>
      <c r="AB347" s="78"/>
      <c r="AC347" s="78"/>
      <c r="AD347" s="78"/>
      <c r="AE347" s="78"/>
    </row>
    <row r="348" spans="1:31" ht="12.75">
      <c r="A348"/>
      <c r="B348"/>
      <c r="C348"/>
      <c r="D348"/>
      <c r="E348"/>
      <c r="F348"/>
      <c r="G348"/>
      <c r="H348"/>
      <c r="I348"/>
      <c r="J348"/>
      <c r="K348" s="100">
        <f t="shared" si="47"/>
        <v>0</v>
      </c>
      <c r="L348" s="95"/>
      <c r="M348" s="90">
        <f t="shared" si="41"/>
        <v>0</v>
      </c>
      <c r="N348" s="56">
        <v>0</v>
      </c>
      <c r="O348" s="44">
        <f t="shared" si="42"/>
        <v>0</v>
      </c>
      <c r="P348" s="44"/>
      <c r="Q348" s="44"/>
      <c r="R348" s="44"/>
      <c r="S348" s="44">
        <f t="shared" si="48"/>
        <v>0</v>
      </c>
      <c r="T348" s="44">
        <f t="shared" si="43"/>
        <v>0</v>
      </c>
      <c r="U348">
        <v>0</v>
      </c>
      <c r="V348" s="43">
        <v>0</v>
      </c>
      <c r="W348" s="44">
        <f t="shared" si="44"/>
        <v>0</v>
      </c>
      <c r="X348" s="44">
        <f t="shared" si="45"/>
        <v>0</v>
      </c>
      <c r="Y348" s="44">
        <f t="shared" si="46"/>
        <v>0</v>
      </c>
      <c r="Z348" s="84"/>
      <c r="AA348" s="78"/>
      <c r="AB348" s="78"/>
      <c r="AC348" s="78"/>
      <c r="AD348" s="78"/>
      <c r="AE348" s="78"/>
    </row>
    <row r="349" spans="1:31" ht="12.75">
      <c r="A349"/>
      <c r="B349"/>
      <c r="C349"/>
      <c r="D349"/>
      <c r="E349"/>
      <c r="F349"/>
      <c r="G349"/>
      <c r="H349"/>
      <c r="I349"/>
      <c r="J349"/>
      <c r="K349" s="100">
        <f t="shared" si="47"/>
        <v>0</v>
      </c>
      <c r="L349" s="95"/>
      <c r="M349" s="90">
        <f t="shared" si="41"/>
        <v>0</v>
      </c>
      <c r="N349" s="56">
        <v>0</v>
      </c>
      <c r="O349" s="44">
        <f t="shared" si="42"/>
        <v>0</v>
      </c>
      <c r="P349" s="44"/>
      <c r="Q349" s="44"/>
      <c r="R349" s="44"/>
      <c r="S349" s="44">
        <f t="shared" si="48"/>
        <v>0</v>
      </c>
      <c r="T349" s="44">
        <f t="shared" si="43"/>
        <v>0</v>
      </c>
      <c r="U349">
        <v>0</v>
      </c>
      <c r="V349" s="43">
        <v>0</v>
      </c>
      <c r="W349" s="44">
        <f t="shared" si="44"/>
        <v>0</v>
      </c>
      <c r="X349" s="44">
        <f t="shared" si="45"/>
        <v>0</v>
      </c>
      <c r="Y349" s="44">
        <f t="shared" si="46"/>
        <v>0</v>
      </c>
      <c r="Z349" s="84"/>
      <c r="AA349" s="78"/>
      <c r="AB349" s="78"/>
      <c r="AC349" s="78"/>
      <c r="AD349" s="78"/>
      <c r="AE349" s="78"/>
    </row>
    <row r="350" spans="1:31" ht="12.75">
      <c r="A350"/>
      <c r="B350"/>
      <c r="C350"/>
      <c r="D350"/>
      <c r="E350"/>
      <c r="F350"/>
      <c r="G350"/>
      <c r="H350"/>
      <c r="I350"/>
      <c r="J350"/>
      <c r="K350" s="100">
        <f t="shared" si="47"/>
        <v>0</v>
      </c>
      <c r="L350" s="95"/>
      <c r="M350" s="90">
        <f t="shared" si="41"/>
        <v>0</v>
      </c>
      <c r="N350" s="56">
        <v>0</v>
      </c>
      <c r="O350" s="44">
        <f t="shared" si="42"/>
        <v>0</v>
      </c>
      <c r="P350" s="44"/>
      <c r="Q350" s="44"/>
      <c r="R350" s="44"/>
      <c r="S350" s="44">
        <f t="shared" si="48"/>
        <v>0</v>
      </c>
      <c r="T350" s="44">
        <f t="shared" si="43"/>
        <v>0</v>
      </c>
      <c r="U350">
        <v>0</v>
      </c>
      <c r="V350" s="43">
        <v>0</v>
      </c>
      <c r="W350" s="44">
        <f t="shared" si="44"/>
        <v>0</v>
      </c>
      <c r="X350" s="44">
        <f t="shared" si="45"/>
        <v>0</v>
      </c>
      <c r="Y350" s="44">
        <f t="shared" si="46"/>
        <v>0</v>
      </c>
      <c r="Z350" s="84"/>
      <c r="AA350" s="78"/>
      <c r="AB350" s="78"/>
      <c r="AC350" s="78"/>
      <c r="AD350" s="78"/>
      <c r="AE350" s="78"/>
    </row>
    <row r="351" spans="1:31" ht="12.75">
      <c r="A351"/>
      <c r="B351"/>
      <c r="C351"/>
      <c r="D351"/>
      <c r="E351"/>
      <c r="F351"/>
      <c r="G351"/>
      <c r="H351"/>
      <c r="I351"/>
      <c r="J351"/>
      <c r="K351" s="100">
        <f t="shared" si="47"/>
        <v>0</v>
      </c>
      <c r="L351" s="95"/>
      <c r="M351" s="90">
        <f t="shared" si="41"/>
        <v>0</v>
      </c>
      <c r="N351" s="56">
        <v>0</v>
      </c>
      <c r="O351" s="44">
        <f t="shared" si="42"/>
        <v>0</v>
      </c>
      <c r="P351" s="44"/>
      <c r="Q351" s="44"/>
      <c r="R351" s="44"/>
      <c r="S351" s="44">
        <f t="shared" si="48"/>
        <v>0</v>
      </c>
      <c r="T351" s="44">
        <f t="shared" si="43"/>
        <v>0</v>
      </c>
      <c r="U351">
        <v>0</v>
      </c>
      <c r="V351" s="43">
        <v>0</v>
      </c>
      <c r="W351" s="44">
        <f t="shared" si="44"/>
        <v>0</v>
      </c>
      <c r="X351" s="44">
        <f t="shared" si="45"/>
        <v>0</v>
      </c>
      <c r="Y351" s="44">
        <f t="shared" si="46"/>
        <v>0</v>
      </c>
      <c r="Z351" s="84"/>
      <c r="AA351" s="78"/>
      <c r="AB351" s="78"/>
      <c r="AC351" s="78"/>
      <c r="AD351" s="78"/>
      <c r="AE351" s="78"/>
    </row>
    <row r="352" spans="1:31" ht="12.75">
      <c r="A352"/>
      <c r="B352"/>
      <c r="C352"/>
      <c r="D352"/>
      <c r="E352"/>
      <c r="F352"/>
      <c r="G352"/>
      <c r="H352"/>
      <c r="I352"/>
      <c r="J352"/>
      <c r="K352" s="100">
        <f t="shared" si="47"/>
        <v>0</v>
      </c>
      <c r="L352" s="95"/>
      <c r="M352" s="90">
        <f t="shared" si="41"/>
        <v>0</v>
      </c>
      <c r="N352" s="56">
        <v>0</v>
      </c>
      <c r="O352" s="44">
        <f t="shared" si="42"/>
        <v>0</v>
      </c>
      <c r="P352" s="44"/>
      <c r="Q352" s="44"/>
      <c r="R352" s="44"/>
      <c r="S352" s="44">
        <f t="shared" si="48"/>
        <v>0</v>
      </c>
      <c r="T352" s="44">
        <f t="shared" si="43"/>
        <v>0</v>
      </c>
      <c r="U352">
        <v>0</v>
      </c>
      <c r="V352" s="43">
        <v>0</v>
      </c>
      <c r="W352" s="44">
        <f t="shared" si="44"/>
        <v>0</v>
      </c>
      <c r="X352" s="44">
        <f t="shared" si="45"/>
        <v>0</v>
      </c>
      <c r="Y352" s="44">
        <f t="shared" si="46"/>
        <v>0</v>
      </c>
      <c r="Z352" s="84"/>
      <c r="AA352" s="78"/>
      <c r="AB352" s="78"/>
      <c r="AC352" s="78"/>
      <c r="AD352" s="78"/>
      <c r="AE352" s="78"/>
    </row>
    <row r="353" spans="1:31" ht="12.75">
      <c r="A353"/>
      <c r="B353"/>
      <c r="C353"/>
      <c r="D353"/>
      <c r="E353"/>
      <c r="F353"/>
      <c r="G353"/>
      <c r="H353"/>
      <c r="I353"/>
      <c r="J353"/>
      <c r="K353" s="100">
        <f t="shared" si="47"/>
        <v>0</v>
      </c>
      <c r="L353" s="95"/>
      <c r="M353" s="90">
        <f t="shared" si="41"/>
        <v>0</v>
      </c>
      <c r="N353" s="56">
        <v>0</v>
      </c>
      <c r="O353" s="44">
        <f t="shared" si="42"/>
        <v>0</v>
      </c>
      <c r="P353" s="44"/>
      <c r="Q353" s="44"/>
      <c r="R353" s="44"/>
      <c r="S353" s="44">
        <f t="shared" si="48"/>
        <v>0</v>
      </c>
      <c r="T353" s="44">
        <f t="shared" si="43"/>
        <v>0</v>
      </c>
      <c r="U353">
        <v>0</v>
      </c>
      <c r="V353" s="43">
        <v>0</v>
      </c>
      <c r="W353" s="44">
        <f t="shared" si="44"/>
        <v>0</v>
      </c>
      <c r="X353" s="44">
        <f t="shared" si="45"/>
        <v>0</v>
      </c>
      <c r="Y353" s="44">
        <f t="shared" si="46"/>
        <v>0</v>
      </c>
      <c r="Z353" s="84"/>
      <c r="AA353" s="78"/>
      <c r="AB353" s="78"/>
      <c r="AC353" s="78"/>
      <c r="AD353" s="78"/>
      <c r="AE353" s="78"/>
    </row>
    <row r="354" spans="1:31" ht="12.75">
      <c r="A354"/>
      <c r="B354"/>
      <c r="C354"/>
      <c r="D354"/>
      <c r="E354"/>
      <c r="F354"/>
      <c r="G354"/>
      <c r="H354"/>
      <c r="I354"/>
      <c r="J354"/>
      <c r="K354" s="100">
        <f t="shared" si="47"/>
        <v>0</v>
      </c>
      <c r="L354" s="95"/>
      <c r="M354" s="90">
        <f t="shared" si="41"/>
        <v>0</v>
      </c>
      <c r="N354" s="56">
        <v>0</v>
      </c>
      <c r="O354" s="44">
        <f t="shared" si="42"/>
        <v>0</v>
      </c>
      <c r="P354" s="44"/>
      <c r="Q354" s="44"/>
      <c r="R354" s="44"/>
      <c r="S354" s="44">
        <f t="shared" si="48"/>
        <v>0</v>
      </c>
      <c r="T354" s="44">
        <f t="shared" si="43"/>
        <v>0</v>
      </c>
      <c r="U354">
        <v>0</v>
      </c>
      <c r="V354" s="43">
        <v>0</v>
      </c>
      <c r="W354" s="44">
        <f t="shared" si="44"/>
        <v>0</v>
      </c>
      <c r="X354" s="44">
        <f t="shared" si="45"/>
        <v>0</v>
      </c>
      <c r="Y354" s="44">
        <f t="shared" si="46"/>
        <v>0</v>
      </c>
      <c r="Z354" s="84"/>
      <c r="AA354" s="78"/>
      <c r="AB354" s="78"/>
      <c r="AC354" s="78"/>
      <c r="AD354" s="78"/>
      <c r="AE354" s="78"/>
    </row>
    <row r="355" spans="1:31" ht="12.75">
      <c r="A355"/>
      <c r="B355"/>
      <c r="C355"/>
      <c r="D355"/>
      <c r="E355"/>
      <c r="F355"/>
      <c r="G355"/>
      <c r="H355"/>
      <c r="I355"/>
      <c r="J355"/>
      <c r="K355" s="100">
        <f t="shared" si="47"/>
        <v>0</v>
      </c>
      <c r="L355" s="95"/>
      <c r="M355" s="90">
        <f t="shared" si="41"/>
        <v>0</v>
      </c>
      <c r="N355" s="56">
        <v>0</v>
      </c>
      <c r="O355" s="44">
        <f t="shared" si="42"/>
        <v>0</v>
      </c>
      <c r="P355" s="44"/>
      <c r="Q355" s="44"/>
      <c r="R355" s="44"/>
      <c r="S355" s="44">
        <f t="shared" si="48"/>
        <v>0</v>
      </c>
      <c r="T355" s="44">
        <f t="shared" si="43"/>
        <v>0</v>
      </c>
      <c r="U355">
        <v>0</v>
      </c>
      <c r="V355" s="43">
        <v>0</v>
      </c>
      <c r="W355" s="44">
        <f t="shared" si="44"/>
        <v>0</v>
      </c>
      <c r="X355" s="44">
        <f t="shared" si="45"/>
        <v>0</v>
      </c>
      <c r="Y355" s="44">
        <f t="shared" si="46"/>
        <v>0</v>
      </c>
      <c r="Z355" s="84"/>
      <c r="AA355" s="78"/>
      <c r="AB355" s="78"/>
      <c r="AC355" s="78"/>
      <c r="AD355" s="78"/>
      <c r="AE355" s="78"/>
    </row>
    <row r="356" spans="1:31" ht="12.75">
      <c r="A356"/>
      <c r="B356"/>
      <c r="C356"/>
      <c r="D356"/>
      <c r="E356"/>
      <c r="F356"/>
      <c r="G356"/>
      <c r="H356"/>
      <c r="I356"/>
      <c r="J356"/>
      <c r="K356" s="100">
        <f t="shared" si="47"/>
        <v>0</v>
      </c>
      <c r="L356" s="95"/>
      <c r="M356" s="90">
        <f t="shared" si="41"/>
        <v>0</v>
      </c>
      <c r="N356" s="56">
        <v>0</v>
      </c>
      <c r="O356" s="44">
        <f t="shared" si="42"/>
        <v>0</v>
      </c>
      <c r="P356" s="44"/>
      <c r="Q356" s="44"/>
      <c r="R356" s="44"/>
      <c r="S356" s="44">
        <f t="shared" si="48"/>
        <v>0</v>
      </c>
      <c r="T356" s="44">
        <f t="shared" si="43"/>
        <v>0</v>
      </c>
      <c r="U356">
        <v>0</v>
      </c>
      <c r="V356" s="43">
        <v>0</v>
      </c>
      <c r="W356" s="44">
        <f t="shared" si="44"/>
        <v>0</v>
      </c>
      <c r="X356" s="44">
        <f t="shared" si="45"/>
        <v>0</v>
      </c>
      <c r="Y356" s="44">
        <f t="shared" si="46"/>
        <v>0</v>
      </c>
      <c r="Z356" s="84"/>
      <c r="AA356" s="78"/>
      <c r="AB356" s="78"/>
      <c r="AC356" s="78"/>
      <c r="AD356" s="78"/>
      <c r="AE356" s="78"/>
    </row>
    <row r="357" spans="1:31" ht="12.75">
      <c r="A357"/>
      <c r="B357"/>
      <c r="C357"/>
      <c r="D357"/>
      <c r="E357"/>
      <c r="F357"/>
      <c r="G357"/>
      <c r="H357"/>
      <c r="I357"/>
      <c r="J357"/>
      <c r="K357" s="100">
        <f t="shared" si="47"/>
        <v>0</v>
      </c>
      <c r="L357" s="95"/>
      <c r="M357" s="90">
        <f t="shared" si="41"/>
        <v>0</v>
      </c>
      <c r="N357" s="56">
        <v>0</v>
      </c>
      <c r="O357" s="44">
        <f t="shared" si="42"/>
        <v>0</v>
      </c>
      <c r="P357" s="44"/>
      <c r="Q357" s="44"/>
      <c r="R357" s="44"/>
      <c r="S357" s="44">
        <f t="shared" si="48"/>
        <v>0</v>
      </c>
      <c r="T357" s="44">
        <f t="shared" si="43"/>
        <v>0</v>
      </c>
      <c r="U357">
        <v>0</v>
      </c>
      <c r="V357" s="43">
        <v>0</v>
      </c>
      <c r="W357" s="44">
        <f t="shared" si="44"/>
        <v>0</v>
      </c>
      <c r="X357" s="44">
        <f t="shared" si="45"/>
        <v>0</v>
      </c>
      <c r="Y357" s="44">
        <f t="shared" si="46"/>
        <v>0</v>
      </c>
      <c r="Z357" s="84"/>
      <c r="AA357" s="78"/>
      <c r="AB357" s="78"/>
      <c r="AC357" s="78"/>
      <c r="AD357" s="78"/>
      <c r="AE357" s="78"/>
    </row>
    <row r="358" spans="1:31" ht="12.75">
      <c r="A358"/>
      <c r="B358"/>
      <c r="C358"/>
      <c r="D358"/>
      <c r="E358"/>
      <c r="F358"/>
      <c r="G358"/>
      <c r="H358"/>
      <c r="I358"/>
      <c r="J358"/>
      <c r="K358" s="100">
        <f t="shared" si="47"/>
        <v>0</v>
      </c>
      <c r="L358" s="95"/>
      <c r="M358" s="90">
        <f t="shared" si="41"/>
        <v>0</v>
      </c>
      <c r="N358" s="56">
        <v>0</v>
      </c>
      <c r="O358" s="44">
        <f t="shared" si="42"/>
        <v>0</v>
      </c>
      <c r="P358" s="44"/>
      <c r="Q358" s="44"/>
      <c r="R358" s="44"/>
      <c r="S358" s="44">
        <f t="shared" si="48"/>
        <v>0</v>
      </c>
      <c r="T358" s="44">
        <f t="shared" si="43"/>
        <v>0</v>
      </c>
      <c r="U358">
        <v>0</v>
      </c>
      <c r="V358" s="43">
        <v>0</v>
      </c>
      <c r="W358" s="44">
        <f t="shared" si="44"/>
        <v>0</v>
      </c>
      <c r="X358" s="44">
        <f t="shared" si="45"/>
        <v>0</v>
      </c>
      <c r="Y358" s="44">
        <f t="shared" si="46"/>
        <v>0</v>
      </c>
      <c r="Z358" s="84"/>
      <c r="AA358" s="78"/>
      <c r="AB358" s="78"/>
      <c r="AC358" s="78"/>
      <c r="AD358" s="78"/>
      <c r="AE358" s="78"/>
    </row>
    <row r="359" spans="1:31" ht="12.75">
      <c r="A359"/>
      <c r="B359"/>
      <c r="C359"/>
      <c r="D359"/>
      <c r="E359"/>
      <c r="F359"/>
      <c r="G359"/>
      <c r="H359"/>
      <c r="I359"/>
      <c r="J359"/>
      <c r="K359" s="100">
        <f t="shared" si="47"/>
        <v>0</v>
      </c>
      <c r="L359" s="95"/>
      <c r="M359" s="90">
        <f t="shared" si="41"/>
        <v>0</v>
      </c>
      <c r="N359" s="56">
        <v>0</v>
      </c>
      <c r="O359" s="44">
        <f t="shared" si="42"/>
        <v>0</v>
      </c>
      <c r="P359" s="44"/>
      <c r="Q359" s="44"/>
      <c r="R359" s="44"/>
      <c r="S359" s="44">
        <f t="shared" si="48"/>
        <v>0</v>
      </c>
      <c r="T359" s="44">
        <f t="shared" si="43"/>
        <v>0</v>
      </c>
      <c r="U359">
        <v>0</v>
      </c>
      <c r="V359" s="43">
        <v>0</v>
      </c>
      <c r="W359" s="44">
        <f t="shared" si="44"/>
        <v>0</v>
      </c>
      <c r="X359" s="44">
        <f t="shared" si="45"/>
        <v>0</v>
      </c>
      <c r="Y359" s="44">
        <f t="shared" si="46"/>
        <v>0</v>
      </c>
      <c r="Z359" s="84"/>
      <c r="AA359" s="78"/>
      <c r="AB359" s="78"/>
      <c r="AC359" s="78"/>
      <c r="AD359" s="78"/>
      <c r="AE359" s="78"/>
    </row>
    <row r="360" spans="1:31" ht="12.75">
      <c r="A360"/>
      <c r="B360"/>
      <c r="C360"/>
      <c r="D360"/>
      <c r="E360"/>
      <c r="F360"/>
      <c r="G360"/>
      <c r="H360"/>
      <c r="I360"/>
      <c r="J360"/>
      <c r="K360" s="100">
        <f t="shared" si="47"/>
        <v>0</v>
      </c>
      <c r="L360" s="95"/>
      <c r="M360" s="90">
        <f t="shared" si="41"/>
        <v>0</v>
      </c>
      <c r="N360" s="56">
        <v>0</v>
      </c>
      <c r="O360" s="44">
        <f t="shared" si="42"/>
        <v>0</v>
      </c>
      <c r="P360" s="44"/>
      <c r="Q360" s="44"/>
      <c r="R360" s="44"/>
      <c r="S360" s="44">
        <f t="shared" si="48"/>
        <v>0</v>
      </c>
      <c r="T360" s="44">
        <f t="shared" si="43"/>
        <v>0</v>
      </c>
      <c r="U360">
        <v>0</v>
      </c>
      <c r="V360" s="43">
        <v>0</v>
      </c>
      <c r="W360" s="44">
        <f t="shared" si="44"/>
        <v>0</v>
      </c>
      <c r="X360" s="44">
        <f t="shared" si="45"/>
        <v>0</v>
      </c>
      <c r="Y360" s="44">
        <f t="shared" si="46"/>
        <v>0</v>
      </c>
      <c r="Z360" s="84"/>
      <c r="AA360" s="78"/>
      <c r="AB360" s="78"/>
      <c r="AC360" s="78"/>
      <c r="AD360" s="78"/>
      <c r="AE360" s="78"/>
    </row>
    <row r="361" spans="1:31" ht="12.75">
      <c r="A361"/>
      <c r="B361"/>
      <c r="C361"/>
      <c r="D361"/>
      <c r="E361"/>
      <c r="F361"/>
      <c r="G361"/>
      <c r="H361"/>
      <c r="I361"/>
      <c r="J361"/>
      <c r="K361" s="100">
        <f t="shared" si="47"/>
        <v>0</v>
      </c>
      <c r="L361" s="95"/>
      <c r="M361" s="90">
        <f t="shared" si="41"/>
        <v>0</v>
      </c>
      <c r="N361" s="56">
        <v>0</v>
      </c>
      <c r="O361" s="44">
        <f t="shared" si="42"/>
        <v>0</v>
      </c>
      <c r="P361" s="44"/>
      <c r="Q361" s="44"/>
      <c r="R361" s="44"/>
      <c r="S361" s="44">
        <f t="shared" si="48"/>
        <v>0</v>
      </c>
      <c r="T361" s="44">
        <f t="shared" si="43"/>
        <v>0</v>
      </c>
      <c r="U361">
        <v>0</v>
      </c>
      <c r="V361" s="43">
        <v>0</v>
      </c>
      <c r="W361" s="44">
        <f t="shared" si="44"/>
        <v>0</v>
      </c>
      <c r="X361" s="44">
        <f t="shared" si="45"/>
        <v>0</v>
      </c>
      <c r="Y361" s="44">
        <f t="shared" si="46"/>
        <v>0</v>
      </c>
      <c r="Z361" s="84"/>
      <c r="AA361" s="78"/>
      <c r="AB361" s="78"/>
      <c r="AC361" s="78"/>
      <c r="AD361" s="78"/>
      <c r="AE361" s="78"/>
    </row>
    <row r="362" spans="1:31" ht="12.75">
      <c r="A362"/>
      <c r="B362"/>
      <c r="C362"/>
      <c r="D362"/>
      <c r="E362"/>
      <c r="F362"/>
      <c r="G362"/>
      <c r="H362"/>
      <c r="I362"/>
      <c r="J362"/>
      <c r="K362" s="100">
        <f t="shared" si="47"/>
        <v>0</v>
      </c>
      <c r="L362" s="95"/>
      <c r="M362" s="90">
        <f t="shared" si="41"/>
        <v>0</v>
      </c>
      <c r="N362" s="56">
        <v>0</v>
      </c>
      <c r="O362" s="44">
        <f t="shared" si="42"/>
        <v>0</v>
      </c>
      <c r="P362" s="44"/>
      <c r="Q362" s="44"/>
      <c r="R362" s="44"/>
      <c r="S362" s="44">
        <f t="shared" si="48"/>
        <v>0</v>
      </c>
      <c r="T362" s="44">
        <f t="shared" si="43"/>
        <v>0</v>
      </c>
      <c r="U362">
        <v>0</v>
      </c>
      <c r="V362" s="43">
        <v>0</v>
      </c>
      <c r="W362" s="44">
        <f t="shared" si="44"/>
        <v>0</v>
      </c>
      <c r="X362" s="44">
        <f t="shared" si="45"/>
        <v>0</v>
      </c>
      <c r="Y362" s="44">
        <f t="shared" si="46"/>
        <v>0</v>
      </c>
      <c r="Z362" s="84"/>
      <c r="AA362" s="78"/>
      <c r="AB362" s="78"/>
      <c r="AC362" s="78"/>
      <c r="AD362" s="78"/>
      <c r="AE362" s="78"/>
    </row>
    <row r="363" spans="1:31" ht="12.75">
      <c r="A363"/>
      <c r="B363"/>
      <c r="C363"/>
      <c r="D363"/>
      <c r="E363"/>
      <c r="F363"/>
      <c r="G363"/>
      <c r="H363"/>
      <c r="I363"/>
      <c r="J363"/>
      <c r="K363" s="100">
        <f t="shared" si="47"/>
        <v>0</v>
      </c>
      <c r="L363" s="95"/>
      <c r="M363" s="90">
        <f t="shared" si="41"/>
        <v>0</v>
      </c>
      <c r="N363" s="56">
        <v>0</v>
      </c>
      <c r="O363" s="44">
        <f t="shared" si="42"/>
        <v>0</v>
      </c>
      <c r="P363" s="44"/>
      <c r="Q363" s="44"/>
      <c r="R363" s="44"/>
      <c r="S363" s="44">
        <f t="shared" si="48"/>
        <v>0</v>
      </c>
      <c r="T363" s="44">
        <f t="shared" si="43"/>
        <v>0</v>
      </c>
      <c r="U363">
        <v>0</v>
      </c>
      <c r="V363" s="43">
        <v>0</v>
      </c>
      <c r="W363" s="44">
        <f t="shared" si="44"/>
        <v>0</v>
      </c>
      <c r="X363" s="44">
        <f t="shared" si="45"/>
        <v>0</v>
      </c>
      <c r="Y363" s="44">
        <f t="shared" si="46"/>
        <v>0</v>
      </c>
      <c r="Z363" s="84"/>
      <c r="AA363" s="78"/>
      <c r="AB363" s="78"/>
      <c r="AC363" s="78"/>
      <c r="AD363" s="78"/>
      <c r="AE363" s="78"/>
    </row>
    <row r="364" spans="1:31" ht="12.75">
      <c r="A364"/>
      <c r="B364"/>
      <c r="C364"/>
      <c r="D364"/>
      <c r="E364"/>
      <c r="F364"/>
      <c r="G364"/>
      <c r="H364"/>
      <c r="I364"/>
      <c r="J364"/>
      <c r="K364" s="100">
        <f t="shared" si="47"/>
        <v>0</v>
      </c>
      <c r="L364" s="95"/>
      <c r="M364" s="90">
        <f t="shared" si="41"/>
        <v>0</v>
      </c>
      <c r="N364" s="56">
        <v>0</v>
      </c>
      <c r="O364" s="44">
        <f t="shared" si="42"/>
        <v>0</v>
      </c>
      <c r="P364" s="44"/>
      <c r="Q364" s="44"/>
      <c r="R364" s="44"/>
      <c r="S364" s="44">
        <f t="shared" si="48"/>
        <v>0</v>
      </c>
      <c r="T364" s="44">
        <f t="shared" si="43"/>
        <v>0</v>
      </c>
      <c r="U364">
        <v>0</v>
      </c>
      <c r="V364" s="43">
        <v>0</v>
      </c>
      <c r="W364" s="44">
        <f t="shared" si="44"/>
        <v>0</v>
      </c>
      <c r="X364" s="44">
        <f t="shared" si="45"/>
        <v>0</v>
      </c>
      <c r="Y364" s="44">
        <f t="shared" si="46"/>
        <v>0</v>
      </c>
      <c r="Z364" s="84"/>
      <c r="AA364" s="78"/>
      <c r="AB364" s="78"/>
      <c r="AC364" s="78"/>
      <c r="AD364" s="78"/>
      <c r="AE364" s="78"/>
    </row>
    <row r="365" spans="1:31" ht="12.75">
      <c r="A365"/>
      <c r="B365"/>
      <c r="C365"/>
      <c r="D365"/>
      <c r="E365"/>
      <c r="F365"/>
      <c r="G365"/>
      <c r="H365"/>
      <c r="I365"/>
      <c r="J365"/>
      <c r="K365" s="100">
        <f t="shared" si="47"/>
        <v>0</v>
      </c>
      <c r="L365" s="95"/>
      <c r="M365" s="90">
        <f t="shared" si="41"/>
        <v>0</v>
      </c>
      <c r="N365" s="56">
        <v>0</v>
      </c>
      <c r="O365" s="44">
        <f t="shared" si="42"/>
        <v>0</v>
      </c>
      <c r="P365" s="44"/>
      <c r="Q365" s="44"/>
      <c r="R365" s="44"/>
      <c r="S365" s="44">
        <f t="shared" si="48"/>
        <v>0</v>
      </c>
      <c r="T365" s="44">
        <f t="shared" si="43"/>
        <v>0</v>
      </c>
      <c r="U365">
        <v>0</v>
      </c>
      <c r="V365" s="43">
        <v>0</v>
      </c>
      <c r="W365" s="44">
        <f t="shared" si="44"/>
        <v>0</v>
      </c>
      <c r="X365" s="44">
        <f t="shared" si="45"/>
        <v>0</v>
      </c>
      <c r="Y365" s="44">
        <f t="shared" si="46"/>
        <v>0</v>
      </c>
      <c r="Z365" s="84"/>
      <c r="AA365" s="78"/>
      <c r="AB365" s="78"/>
      <c r="AC365" s="78"/>
      <c r="AD365" s="78"/>
      <c r="AE365" s="78"/>
    </row>
    <row r="366" spans="1:31" ht="12.75">
      <c r="A366"/>
      <c r="B366"/>
      <c r="C366"/>
      <c r="D366"/>
      <c r="E366"/>
      <c r="F366"/>
      <c r="G366"/>
      <c r="H366"/>
      <c r="I366"/>
      <c r="J366"/>
      <c r="K366" s="100">
        <f t="shared" si="47"/>
        <v>0</v>
      </c>
      <c r="L366" s="95"/>
      <c r="M366" s="90">
        <f t="shared" si="41"/>
        <v>0</v>
      </c>
      <c r="N366" s="56">
        <v>0</v>
      </c>
      <c r="O366" s="44">
        <f t="shared" si="42"/>
        <v>0</v>
      </c>
      <c r="P366" s="44"/>
      <c r="Q366" s="44"/>
      <c r="R366" s="44"/>
      <c r="S366" s="44">
        <f t="shared" si="48"/>
        <v>0</v>
      </c>
      <c r="T366" s="44">
        <f t="shared" si="43"/>
        <v>0</v>
      </c>
      <c r="U366">
        <v>0</v>
      </c>
      <c r="V366" s="43">
        <v>0</v>
      </c>
      <c r="W366" s="44">
        <f t="shared" si="44"/>
        <v>0</v>
      </c>
      <c r="X366" s="44">
        <f t="shared" si="45"/>
        <v>0</v>
      </c>
      <c r="Y366" s="44">
        <f t="shared" si="46"/>
        <v>0</v>
      </c>
      <c r="Z366" s="84"/>
      <c r="AA366" s="78"/>
      <c r="AB366" s="78"/>
      <c r="AC366" s="78"/>
      <c r="AD366" s="78"/>
      <c r="AE366" s="78"/>
    </row>
    <row r="367" spans="1:31" ht="12.75">
      <c r="A367"/>
      <c r="B367"/>
      <c r="C367"/>
      <c r="D367"/>
      <c r="E367"/>
      <c r="F367"/>
      <c r="G367"/>
      <c r="H367"/>
      <c r="I367"/>
      <c r="J367"/>
      <c r="K367" s="100">
        <f t="shared" si="47"/>
        <v>0</v>
      </c>
      <c r="L367" s="95"/>
      <c r="M367" s="90">
        <f t="shared" si="41"/>
        <v>0</v>
      </c>
      <c r="N367" s="56">
        <v>0</v>
      </c>
      <c r="O367" s="44">
        <f t="shared" si="42"/>
        <v>0</v>
      </c>
      <c r="P367" s="44"/>
      <c r="Q367" s="44"/>
      <c r="R367" s="44"/>
      <c r="S367" s="44">
        <f t="shared" si="48"/>
        <v>0</v>
      </c>
      <c r="T367" s="44">
        <f t="shared" si="43"/>
        <v>0</v>
      </c>
      <c r="U367">
        <v>0</v>
      </c>
      <c r="V367" s="43">
        <v>0</v>
      </c>
      <c r="W367" s="44">
        <f t="shared" si="44"/>
        <v>0</v>
      </c>
      <c r="X367" s="44">
        <f t="shared" si="45"/>
        <v>0</v>
      </c>
      <c r="Y367" s="44">
        <f t="shared" si="46"/>
        <v>0</v>
      </c>
      <c r="Z367" s="84"/>
      <c r="AA367" s="78"/>
      <c r="AB367" s="78"/>
      <c r="AC367" s="78"/>
      <c r="AD367" s="78"/>
      <c r="AE367" s="78"/>
    </row>
    <row r="368" spans="1:31" ht="12.75">
      <c r="A368"/>
      <c r="B368"/>
      <c r="C368"/>
      <c r="D368"/>
      <c r="E368"/>
      <c r="F368"/>
      <c r="G368"/>
      <c r="H368"/>
      <c r="I368"/>
      <c r="J368"/>
      <c r="K368" s="100">
        <f t="shared" si="47"/>
        <v>0</v>
      </c>
      <c r="L368" s="95"/>
      <c r="M368" s="90">
        <f t="shared" si="41"/>
        <v>0</v>
      </c>
      <c r="N368" s="56">
        <v>0</v>
      </c>
      <c r="O368" s="44">
        <f t="shared" si="42"/>
        <v>0</v>
      </c>
      <c r="P368" s="44"/>
      <c r="Q368" s="44"/>
      <c r="R368" s="44"/>
      <c r="S368" s="44">
        <f t="shared" si="48"/>
        <v>0</v>
      </c>
      <c r="T368" s="44">
        <f t="shared" si="43"/>
        <v>0</v>
      </c>
      <c r="U368">
        <v>0</v>
      </c>
      <c r="V368" s="43">
        <v>0</v>
      </c>
      <c r="W368" s="44">
        <f t="shared" si="44"/>
        <v>0</v>
      </c>
      <c r="X368" s="44">
        <f t="shared" si="45"/>
        <v>0</v>
      </c>
      <c r="Y368" s="44">
        <f t="shared" si="46"/>
        <v>0</v>
      </c>
      <c r="Z368" s="84"/>
      <c r="AA368" s="78"/>
      <c r="AB368" s="78"/>
      <c r="AC368" s="78"/>
      <c r="AD368" s="78"/>
      <c r="AE368" s="78"/>
    </row>
    <row r="369" spans="1:31" ht="12.75">
      <c r="A369"/>
      <c r="B369"/>
      <c r="C369"/>
      <c r="D369"/>
      <c r="E369"/>
      <c r="F369"/>
      <c r="G369"/>
      <c r="H369"/>
      <c r="I369"/>
      <c r="J369"/>
      <c r="K369" s="100">
        <f t="shared" si="47"/>
        <v>0</v>
      </c>
      <c r="L369" s="95"/>
      <c r="M369" s="90">
        <f t="shared" si="41"/>
        <v>0</v>
      </c>
      <c r="N369" s="56">
        <v>0</v>
      </c>
      <c r="O369" s="44">
        <f t="shared" si="42"/>
        <v>0</v>
      </c>
      <c r="P369" s="44"/>
      <c r="Q369" s="44"/>
      <c r="R369" s="44"/>
      <c r="S369" s="44">
        <f t="shared" si="48"/>
        <v>0</v>
      </c>
      <c r="T369" s="44">
        <f t="shared" si="43"/>
        <v>0</v>
      </c>
      <c r="U369">
        <v>0</v>
      </c>
      <c r="V369" s="43">
        <v>0</v>
      </c>
      <c r="W369" s="44">
        <f t="shared" si="44"/>
        <v>0</v>
      </c>
      <c r="X369" s="44">
        <f t="shared" si="45"/>
        <v>0</v>
      </c>
      <c r="Y369" s="44">
        <f t="shared" si="46"/>
        <v>0</v>
      </c>
      <c r="Z369" s="84"/>
      <c r="AA369" s="78"/>
      <c r="AB369" s="78"/>
      <c r="AC369" s="78"/>
      <c r="AD369" s="78"/>
      <c r="AE369" s="78"/>
    </row>
    <row r="370" spans="1:31" ht="12.75">
      <c r="A370"/>
      <c r="B370"/>
      <c r="C370"/>
      <c r="D370"/>
      <c r="E370"/>
      <c r="F370"/>
      <c r="G370"/>
      <c r="H370"/>
      <c r="I370"/>
      <c r="J370"/>
      <c r="K370" s="100">
        <f t="shared" si="47"/>
        <v>0</v>
      </c>
      <c r="L370" s="95"/>
      <c r="M370" s="90">
        <f t="shared" si="41"/>
        <v>0</v>
      </c>
      <c r="N370" s="56">
        <v>0</v>
      </c>
      <c r="O370" s="44">
        <f t="shared" si="42"/>
        <v>0</v>
      </c>
      <c r="P370" s="44"/>
      <c r="Q370" s="44"/>
      <c r="R370" s="44"/>
      <c r="S370" s="44">
        <f t="shared" si="48"/>
        <v>0</v>
      </c>
      <c r="T370" s="44">
        <f t="shared" si="43"/>
        <v>0</v>
      </c>
      <c r="U370">
        <v>0</v>
      </c>
      <c r="V370" s="43">
        <v>0</v>
      </c>
      <c r="W370" s="44">
        <f t="shared" si="44"/>
        <v>0</v>
      </c>
      <c r="X370" s="44">
        <f t="shared" si="45"/>
        <v>0</v>
      </c>
      <c r="Y370" s="44">
        <f t="shared" si="46"/>
        <v>0</v>
      </c>
      <c r="Z370" s="84"/>
      <c r="AA370" s="78"/>
      <c r="AB370" s="78"/>
      <c r="AC370" s="78"/>
      <c r="AD370" s="78"/>
      <c r="AE370" s="78"/>
    </row>
    <row r="371" spans="1:31" ht="12.75">
      <c r="A371"/>
      <c r="B371"/>
      <c r="C371"/>
      <c r="D371"/>
      <c r="E371"/>
      <c r="F371"/>
      <c r="G371"/>
      <c r="H371"/>
      <c r="I371"/>
      <c r="J371"/>
      <c r="K371" s="100">
        <f t="shared" si="47"/>
        <v>0</v>
      </c>
      <c r="L371" s="95"/>
      <c r="M371" s="90">
        <f t="shared" si="41"/>
        <v>0</v>
      </c>
      <c r="N371" s="56">
        <v>0</v>
      </c>
      <c r="O371" s="44">
        <f t="shared" si="42"/>
        <v>0</v>
      </c>
      <c r="P371" s="44"/>
      <c r="Q371" s="44"/>
      <c r="R371" s="44"/>
      <c r="S371" s="44">
        <f t="shared" si="48"/>
        <v>0</v>
      </c>
      <c r="T371" s="44">
        <f t="shared" si="43"/>
        <v>0</v>
      </c>
      <c r="U371">
        <v>0</v>
      </c>
      <c r="V371" s="43">
        <v>0</v>
      </c>
      <c r="W371" s="44">
        <f t="shared" si="44"/>
        <v>0</v>
      </c>
      <c r="X371" s="44">
        <f t="shared" si="45"/>
        <v>0</v>
      </c>
      <c r="Y371" s="44">
        <f t="shared" si="46"/>
        <v>0</v>
      </c>
      <c r="Z371" s="84"/>
      <c r="AA371" s="78"/>
      <c r="AB371" s="78"/>
      <c r="AC371" s="78"/>
      <c r="AD371" s="78"/>
      <c r="AE371" s="78"/>
    </row>
    <row r="372" spans="1:31" ht="12.75">
      <c r="A372"/>
      <c r="B372"/>
      <c r="C372"/>
      <c r="D372"/>
      <c r="E372"/>
      <c r="F372"/>
      <c r="G372"/>
      <c r="H372"/>
      <c r="I372"/>
      <c r="J372"/>
      <c r="K372" s="100">
        <f t="shared" si="47"/>
        <v>0</v>
      </c>
      <c r="L372" s="95"/>
      <c r="M372" s="90">
        <f t="shared" si="41"/>
        <v>0</v>
      </c>
      <c r="N372" s="56">
        <v>0</v>
      </c>
      <c r="O372" s="44">
        <f t="shared" si="42"/>
        <v>0</v>
      </c>
      <c r="P372" s="44"/>
      <c r="Q372" s="44"/>
      <c r="R372" s="44"/>
      <c r="S372" s="44">
        <f t="shared" si="48"/>
        <v>0</v>
      </c>
      <c r="T372" s="44">
        <f t="shared" si="43"/>
        <v>0</v>
      </c>
      <c r="U372">
        <v>0</v>
      </c>
      <c r="V372" s="43">
        <v>0</v>
      </c>
      <c r="W372" s="44">
        <f t="shared" si="44"/>
        <v>0</v>
      </c>
      <c r="X372" s="44">
        <f t="shared" si="45"/>
        <v>0</v>
      </c>
      <c r="Y372" s="44">
        <f t="shared" si="46"/>
        <v>0</v>
      </c>
      <c r="Z372" s="84"/>
      <c r="AA372" s="78"/>
      <c r="AB372" s="78"/>
      <c r="AC372" s="78"/>
      <c r="AD372" s="78"/>
      <c r="AE372" s="78"/>
    </row>
    <row r="373" spans="1:31" ht="12.75">
      <c r="A373"/>
      <c r="B373"/>
      <c r="C373"/>
      <c r="D373"/>
      <c r="E373"/>
      <c r="F373"/>
      <c r="G373"/>
      <c r="H373"/>
      <c r="I373"/>
      <c r="J373"/>
      <c r="K373" s="100">
        <f t="shared" si="47"/>
        <v>0</v>
      </c>
      <c r="L373" s="95"/>
      <c r="M373" s="90">
        <f t="shared" si="41"/>
        <v>0</v>
      </c>
      <c r="N373" s="56">
        <v>0</v>
      </c>
      <c r="O373" s="44">
        <f t="shared" si="42"/>
        <v>0</v>
      </c>
      <c r="P373" s="44"/>
      <c r="Q373" s="44"/>
      <c r="R373" s="44"/>
      <c r="S373" s="44">
        <f t="shared" si="48"/>
        <v>0</v>
      </c>
      <c r="T373" s="44">
        <f t="shared" si="43"/>
        <v>0</v>
      </c>
      <c r="U373">
        <v>0</v>
      </c>
      <c r="V373" s="43">
        <v>0</v>
      </c>
      <c r="W373" s="44">
        <f t="shared" si="44"/>
        <v>0</v>
      </c>
      <c r="X373" s="44">
        <f t="shared" si="45"/>
        <v>0</v>
      </c>
      <c r="Y373" s="44">
        <f t="shared" si="46"/>
        <v>0</v>
      </c>
      <c r="Z373" s="84"/>
      <c r="AA373" s="78"/>
      <c r="AB373" s="78"/>
      <c r="AC373" s="78"/>
      <c r="AD373" s="78"/>
      <c r="AE373" s="78"/>
    </row>
    <row r="374" spans="1:31" ht="12.75">
      <c r="A374"/>
      <c r="B374"/>
      <c r="C374"/>
      <c r="D374"/>
      <c r="E374"/>
      <c r="F374"/>
      <c r="G374"/>
      <c r="H374"/>
      <c r="I374"/>
      <c r="J374"/>
      <c r="K374" s="100">
        <f t="shared" si="47"/>
        <v>0</v>
      </c>
      <c r="L374" s="95"/>
      <c r="M374" s="90">
        <f t="shared" si="41"/>
        <v>0</v>
      </c>
      <c r="N374" s="56">
        <v>0</v>
      </c>
      <c r="O374" s="44">
        <f t="shared" si="42"/>
        <v>0</v>
      </c>
      <c r="P374" s="44"/>
      <c r="Q374" s="44"/>
      <c r="R374" s="44"/>
      <c r="S374" s="44">
        <f t="shared" si="48"/>
        <v>0</v>
      </c>
      <c r="T374" s="44">
        <f t="shared" si="43"/>
        <v>0</v>
      </c>
      <c r="U374">
        <v>0</v>
      </c>
      <c r="V374" s="43">
        <v>0</v>
      </c>
      <c r="W374" s="44">
        <f t="shared" si="44"/>
        <v>0</v>
      </c>
      <c r="X374" s="44">
        <f t="shared" si="45"/>
        <v>0</v>
      </c>
      <c r="Y374" s="44">
        <f t="shared" si="46"/>
        <v>0</v>
      </c>
      <c r="Z374" s="84"/>
      <c r="AA374" s="78"/>
      <c r="AB374" s="78"/>
      <c r="AC374" s="78"/>
      <c r="AD374" s="78"/>
      <c r="AE374" s="78"/>
    </row>
    <row r="375" spans="1:31" ht="12.75">
      <c r="A375"/>
      <c r="B375"/>
      <c r="C375"/>
      <c r="D375"/>
      <c r="E375"/>
      <c r="F375"/>
      <c r="G375"/>
      <c r="H375"/>
      <c r="I375"/>
      <c r="J375"/>
      <c r="K375" s="100">
        <f t="shared" si="47"/>
        <v>0</v>
      </c>
      <c r="L375" s="95"/>
      <c r="M375" s="90">
        <f t="shared" si="41"/>
        <v>0</v>
      </c>
      <c r="N375" s="56">
        <v>0</v>
      </c>
      <c r="O375" s="44">
        <f t="shared" si="42"/>
        <v>0</v>
      </c>
      <c r="P375" s="44"/>
      <c r="Q375" s="44"/>
      <c r="R375" s="44"/>
      <c r="S375" s="44">
        <f t="shared" si="48"/>
        <v>0</v>
      </c>
      <c r="T375" s="44">
        <f t="shared" si="43"/>
        <v>0</v>
      </c>
      <c r="U375">
        <v>0</v>
      </c>
      <c r="V375" s="43">
        <v>0</v>
      </c>
      <c r="W375" s="44">
        <f t="shared" si="44"/>
        <v>0</v>
      </c>
      <c r="X375" s="44">
        <f t="shared" si="45"/>
        <v>0</v>
      </c>
      <c r="Y375" s="44">
        <f t="shared" si="46"/>
        <v>0</v>
      </c>
      <c r="Z375" s="84"/>
      <c r="AA375" s="78"/>
      <c r="AB375" s="78"/>
      <c r="AC375" s="78"/>
      <c r="AD375" s="78"/>
      <c r="AE375" s="78"/>
    </row>
    <row r="376" spans="1:31" ht="12.75">
      <c r="A376"/>
      <c r="B376"/>
      <c r="C376"/>
      <c r="D376"/>
      <c r="E376"/>
      <c r="F376"/>
      <c r="G376"/>
      <c r="H376"/>
      <c r="I376"/>
      <c r="J376"/>
      <c r="K376" s="100">
        <f t="shared" si="47"/>
        <v>0</v>
      </c>
      <c r="L376" s="95"/>
      <c r="M376" s="90">
        <f t="shared" si="41"/>
        <v>0</v>
      </c>
      <c r="N376" s="56">
        <v>0</v>
      </c>
      <c r="O376" s="44">
        <f t="shared" si="42"/>
        <v>0</v>
      </c>
      <c r="P376" s="44"/>
      <c r="Q376" s="44"/>
      <c r="R376" s="44"/>
      <c r="S376" s="44">
        <f t="shared" si="48"/>
        <v>0</v>
      </c>
      <c r="T376" s="44">
        <f t="shared" si="43"/>
        <v>0</v>
      </c>
      <c r="U376">
        <v>0</v>
      </c>
      <c r="V376" s="43">
        <v>0</v>
      </c>
      <c r="W376" s="44">
        <f t="shared" si="44"/>
        <v>0</v>
      </c>
      <c r="X376" s="44">
        <f t="shared" si="45"/>
        <v>0</v>
      </c>
      <c r="Y376" s="44">
        <f t="shared" si="46"/>
        <v>0</v>
      </c>
      <c r="Z376" s="84"/>
      <c r="AA376" s="78"/>
      <c r="AB376" s="78"/>
      <c r="AC376" s="78"/>
      <c r="AD376" s="78"/>
      <c r="AE376" s="78"/>
    </row>
    <row r="377" spans="1:31" ht="12.75">
      <c r="A377"/>
      <c r="B377"/>
      <c r="C377"/>
      <c r="D377"/>
      <c r="E377"/>
      <c r="F377"/>
      <c r="G377"/>
      <c r="H377"/>
      <c r="I377"/>
      <c r="J377"/>
      <c r="K377" s="100">
        <f t="shared" si="47"/>
        <v>0</v>
      </c>
      <c r="L377" s="95"/>
      <c r="M377" s="90">
        <f t="shared" si="41"/>
        <v>0</v>
      </c>
      <c r="N377" s="56">
        <v>0</v>
      </c>
      <c r="O377" s="44">
        <f t="shared" si="42"/>
        <v>0</v>
      </c>
      <c r="P377" s="44"/>
      <c r="Q377" s="44"/>
      <c r="R377" s="44"/>
      <c r="S377" s="44">
        <f t="shared" si="48"/>
        <v>0</v>
      </c>
      <c r="T377" s="44">
        <f t="shared" si="43"/>
        <v>0</v>
      </c>
      <c r="U377">
        <v>0</v>
      </c>
      <c r="V377" s="43">
        <v>0</v>
      </c>
      <c r="W377" s="44">
        <f t="shared" si="44"/>
        <v>0</v>
      </c>
      <c r="X377" s="44">
        <f t="shared" si="45"/>
        <v>0</v>
      </c>
      <c r="Y377" s="44">
        <f t="shared" si="46"/>
        <v>0</v>
      </c>
      <c r="Z377" s="84"/>
      <c r="AA377" s="78"/>
      <c r="AB377" s="78"/>
      <c r="AC377" s="78"/>
      <c r="AD377" s="78"/>
      <c r="AE377" s="78"/>
    </row>
    <row r="378" spans="1:31" ht="12.75">
      <c r="A378"/>
      <c r="B378"/>
      <c r="C378"/>
      <c r="D378"/>
      <c r="E378"/>
      <c r="F378"/>
      <c r="G378"/>
      <c r="H378"/>
      <c r="I378"/>
      <c r="J378"/>
      <c r="K378" s="100">
        <f t="shared" si="47"/>
        <v>0</v>
      </c>
      <c r="L378" s="95"/>
      <c r="M378" s="90">
        <f t="shared" si="41"/>
        <v>0</v>
      </c>
      <c r="N378" s="56">
        <v>0</v>
      </c>
      <c r="O378" s="44">
        <f t="shared" si="42"/>
        <v>0</v>
      </c>
      <c r="P378" s="44"/>
      <c r="Q378" s="44"/>
      <c r="R378" s="44"/>
      <c r="S378" s="44">
        <f t="shared" si="48"/>
        <v>0</v>
      </c>
      <c r="T378" s="44">
        <f t="shared" si="43"/>
        <v>0</v>
      </c>
      <c r="U378">
        <v>0</v>
      </c>
      <c r="V378" s="43">
        <v>0</v>
      </c>
      <c r="W378" s="44">
        <f t="shared" si="44"/>
        <v>0</v>
      </c>
      <c r="X378" s="44">
        <f t="shared" si="45"/>
        <v>0</v>
      </c>
      <c r="Y378" s="44">
        <f t="shared" si="46"/>
        <v>0</v>
      </c>
      <c r="Z378" s="84"/>
      <c r="AA378" s="78"/>
      <c r="AB378" s="78"/>
      <c r="AC378" s="78"/>
      <c r="AD378" s="78"/>
      <c r="AE378" s="78"/>
    </row>
    <row r="379" spans="1:31" ht="12.75">
      <c r="A379"/>
      <c r="B379"/>
      <c r="C379"/>
      <c r="D379"/>
      <c r="E379"/>
      <c r="F379"/>
      <c r="G379"/>
      <c r="H379"/>
      <c r="I379"/>
      <c r="J379"/>
      <c r="K379" s="100">
        <f t="shared" si="47"/>
        <v>0</v>
      </c>
      <c r="L379" s="95"/>
      <c r="M379" s="90">
        <f t="shared" si="41"/>
        <v>0</v>
      </c>
      <c r="N379" s="56">
        <v>0</v>
      </c>
      <c r="O379" s="44">
        <f t="shared" si="42"/>
        <v>0</v>
      </c>
      <c r="P379" s="44"/>
      <c r="Q379" s="44"/>
      <c r="R379" s="44"/>
      <c r="S379" s="44">
        <f t="shared" si="48"/>
        <v>0</v>
      </c>
      <c r="T379" s="44">
        <f t="shared" si="43"/>
        <v>0</v>
      </c>
      <c r="U379">
        <v>0</v>
      </c>
      <c r="V379" s="43">
        <v>0</v>
      </c>
      <c r="W379" s="44">
        <f t="shared" si="44"/>
        <v>0</v>
      </c>
      <c r="X379" s="44">
        <f t="shared" si="45"/>
        <v>0</v>
      </c>
      <c r="Y379" s="44">
        <f t="shared" si="46"/>
        <v>0</v>
      </c>
      <c r="Z379" s="84"/>
      <c r="AA379" s="78"/>
      <c r="AB379" s="78"/>
      <c r="AC379" s="78"/>
      <c r="AD379" s="78"/>
      <c r="AE379" s="78"/>
    </row>
    <row r="380" spans="1:31" ht="12.75">
      <c r="A380"/>
      <c r="B380"/>
      <c r="C380"/>
      <c r="D380"/>
      <c r="E380"/>
      <c r="F380"/>
      <c r="G380"/>
      <c r="H380"/>
      <c r="I380"/>
      <c r="J380"/>
      <c r="K380" s="100">
        <f t="shared" si="47"/>
        <v>0</v>
      </c>
      <c r="L380" s="95"/>
      <c r="M380" s="90">
        <f t="shared" si="41"/>
        <v>0</v>
      </c>
      <c r="N380" s="56">
        <v>0</v>
      </c>
      <c r="O380" s="44">
        <f t="shared" si="42"/>
        <v>0</v>
      </c>
      <c r="P380" s="44"/>
      <c r="Q380" s="44"/>
      <c r="R380" s="44"/>
      <c r="S380" s="44">
        <f t="shared" si="48"/>
        <v>0</v>
      </c>
      <c r="T380" s="44">
        <f t="shared" si="43"/>
        <v>0</v>
      </c>
      <c r="U380">
        <v>0</v>
      </c>
      <c r="V380" s="43">
        <v>0</v>
      </c>
      <c r="W380" s="44">
        <f t="shared" si="44"/>
        <v>0</v>
      </c>
      <c r="X380" s="44">
        <f t="shared" si="45"/>
        <v>0</v>
      </c>
      <c r="Y380" s="44">
        <f t="shared" si="46"/>
        <v>0</v>
      </c>
      <c r="Z380" s="84"/>
      <c r="AA380" s="78"/>
      <c r="AB380" s="78"/>
      <c r="AC380" s="78"/>
      <c r="AD380" s="78"/>
      <c r="AE380" s="78"/>
    </row>
    <row r="381" spans="1:31" ht="12.75">
      <c r="A381"/>
      <c r="B381"/>
      <c r="C381"/>
      <c r="D381"/>
      <c r="E381"/>
      <c r="F381"/>
      <c r="G381"/>
      <c r="H381"/>
      <c r="I381"/>
      <c r="J381"/>
      <c r="K381" s="100">
        <f t="shared" si="47"/>
        <v>0</v>
      </c>
      <c r="L381" s="95"/>
      <c r="M381" s="90">
        <f t="shared" si="41"/>
        <v>0</v>
      </c>
      <c r="N381" s="56">
        <v>0</v>
      </c>
      <c r="O381" s="44">
        <f t="shared" si="42"/>
        <v>0</v>
      </c>
      <c r="P381" s="44"/>
      <c r="Q381" s="44"/>
      <c r="R381" s="44"/>
      <c r="S381" s="44">
        <f t="shared" si="48"/>
        <v>0</v>
      </c>
      <c r="T381" s="44">
        <f t="shared" si="43"/>
        <v>0</v>
      </c>
      <c r="U381">
        <v>0</v>
      </c>
      <c r="V381" s="43">
        <v>0</v>
      </c>
      <c r="W381" s="44">
        <f t="shared" si="44"/>
        <v>0</v>
      </c>
      <c r="X381" s="44">
        <f t="shared" si="45"/>
        <v>0</v>
      </c>
      <c r="Y381" s="44">
        <f t="shared" si="46"/>
        <v>0</v>
      </c>
      <c r="Z381" s="84"/>
      <c r="AA381" s="78"/>
      <c r="AB381" s="78"/>
      <c r="AC381" s="78"/>
      <c r="AD381" s="78"/>
      <c r="AE381" s="78"/>
    </row>
    <row r="382" spans="1:31" ht="12.75">
      <c r="A382"/>
      <c r="B382"/>
      <c r="C382"/>
      <c r="D382"/>
      <c r="E382"/>
      <c r="F382"/>
      <c r="G382"/>
      <c r="H382"/>
      <c r="I382"/>
      <c r="J382"/>
      <c r="K382" s="100">
        <f t="shared" si="47"/>
        <v>0</v>
      </c>
      <c r="L382" s="95"/>
      <c r="M382" s="90">
        <f t="shared" si="41"/>
        <v>0</v>
      </c>
      <c r="N382" s="56">
        <v>0</v>
      </c>
      <c r="O382" s="44">
        <f t="shared" si="42"/>
        <v>0</v>
      </c>
      <c r="P382" s="44"/>
      <c r="Q382" s="44"/>
      <c r="R382" s="44"/>
      <c r="S382" s="44">
        <f t="shared" si="48"/>
        <v>0</v>
      </c>
      <c r="T382" s="44">
        <f t="shared" si="43"/>
        <v>0</v>
      </c>
      <c r="U382">
        <v>0</v>
      </c>
      <c r="V382" s="43">
        <v>0</v>
      </c>
      <c r="W382" s="44">
        <f t="shared" si="44"/>
        <v>0</v>
      </c>
      <c r="X382" s="44">
        <f t="shared" si="45"/>
        <v>0</v>
      </c>
      <c r="Y382" s="44">
        <f t="shared" si="46"/>
        <v>0</v>
      </c>
      <c r="Z382" s="84"/>
      <c r="AA382" s="78"/>
      <c r="AB382" s="78"/>
      <c r="AC382" s="78"/>
      <c r="AD382" s="78"/>
      <c r="AE382" s="78"/>
    </row>
    <row r="383" spans="1:31" ht="12.75">
      <c r="A383"/>
      <c r="B383"/>
      <c r="C383"/>
      <c r="D383"/>
      <c r="E383"/>
      <c r="F383"/>
      <c r="G383"/>
      <c r="H383"/>
      <c r="I383"/>
      <c r="J383"/>
      <c r="K383" s="100">
        <f t="shared" si="47"/>
        <v>0</v>
      </c>
      <c r="L383" s="95"/>
      <c r="M383" s="90">
        <f t="shared" si="41"/>
        <v>0</v>
      </c>
      <c r="N383" s="56">
        <v>0</v>
      </c>
      <c r="O383" s="44">
        <f t="shared" si="42"/>
        <v>0</v>
      </c>
      <c r="P383" s="44"/>
      <c r="Q383" s="44"/>
      <c r="R383" s="44"/>
      <c r="S383" s="44">
        <f t="shared" si="48"/>
        <v>0</v>
      </c>
      <c r="T383" s="44">
        <f t="shared" si="43"/>
        <v>0</v>
      </c>
      <c r="U383">
        <v>0</v>
      </c>
      <c r="V383" s="43">
        <v>0</v>
      </c>
      <c r="W383" s="44">
        <f t="shared" si="44"/>
        <v>0</v>
      </c>
      <c r="X383" s="44">
        <f t="shared" si="45"/>
        <v>0</v>
      </c>
      <c r="Y383" s="44">
        <f t="shared" si="46"/>
        <v>0</v>
      </c>
      <c r="Z383" s="84"/>
      <c r="AA383" s="78"/>
      <c r="AB383" s="78"/>
      <c r="AC383" s="78"/>
      <c r="AD383" s="78"/>
      <c r="AE383" s="78"/>
    </row>
    <row r="384" spans="1:31" ht="12.75">
      <c r="A384"/>
      <c r="B384"/>
      <c r="C384"/>
      <c r="D384"/>
      <c r="E384"/>
      <c r="F384"/>
      <c r="G384"/>
      <c r="H384"/>
      <c r="I384"/>
      <c r="J384"/>
      <c r="K384" s="100">
        <f t="shared" si="47"/>
        <v>0</v>
      </c>
      <c r="L384" s="95"/>
      <c r="M384" s="90">
        <f t="shared" si="41"/>
        <v>0</v>
      </c>
      <c r="N384" s="56">
        <v>0</v>
      </c>
      <c r="O384" s="44">
        <f t="shared" si="42"/>
        <v>0</v>
      </c>
      <c r="P384" s="44"/>
      <c r="Q384" s="44"/>
      <c r="R384" s="44"/>
      <c r="S384" s="44">
        <f t="shared" si="48"/>
        <v>0</v>
      </c>
      <c r="T384" s="44">
        <f t="shared" si="43"/>
        <v>0</v>
      </c>
      <c r="U384">
        <v>0</v>
      </c>
      <c r="V384" s="43">
        <v>0</v>
      </c>
      <c r="W384" s="44">
        <f t="shared" si="44"/>
        <v>0</v>
      </c>
      <c r="X384" s="44">
        <f t="shared" si="45"/>
        <v>0</v>
      </c>
      <c r="Y384" s="44">
        <f t="shared" si="46"/>
        <v>0</v>
      </c>
      <c r="Z384" s="84"/>
      <c r="AA384" s="78"/>
      <c r="AB384" s="78"/>
      <c r="AC384" s="78"/>
      <c r="AD384" s="78"/>
      <c r="AE384" s="78"/>
    </row>
    <row r="385" spans="1:31" ht="12.75">
      <c r="A385"/>
      <c r="B385"/>
      <c r="C385"/>
      <c r="D385"/>
      <c r="E385"/>
      <c r="F385"/>
      <c r="G385"/>
      <c r="H385"/>
      <c r="I385"/>
      <c r="J385"/>
      <c r="K385" s="100">
        <f t="shared" si="47"/>
        <v>0</v>
      </c>
      <c r="L385" s="95"/>
      <c r="M385" s="90">
        <f t="shared" si="41"/>
        <v>0</v>
      </c>
      <c r="N385" s="56">
        <v>0</v>
      </c>
      <c r="O385" s="44">
        <f t="shared" si="42"/>
        <v>0</v>
      </c>
      <c r="P385" s="44"/>
      <c r="Q385" s="44"/>
      <c r="R385" s="44"/>
      <c r="S385" s="44">
        <f t="shared" si="48"/>
        <v>0</v>
      </c>
      <c r="T385" s="44">
        <f t="shared" si="43"/>
        <v>0</v>
      </c>
      <c r="U385">
        <v>0</v>
      </c>
      <c r="V385" s="43">
        <v>0</v>
      </c>
      <c r="W385" s="44">
        <f t="shared" si="44"/>
        <v>0</v>
      </c>
      <c r="X385" s="44">
        <f t="shared" si="45"/>
        <v>0</v>
      </c>
      <c r="Y385" s="44">
        <f t="shared" si="46"/>
        <v>0</v>
      </c>
      <c r="Z385" s="84"/>
      <c r="AA385" s="78"/>
      <c r="AB385" s="78"/>
      <c r="AC385" s="78"/>
      <c r="AD385" s="78"/>
      <c r="AE385" s="78"/>
    </row>
    <row r="386" spans="1:31" ht="12.75">
      <c r="A386"/>
      <c r="B386"/>
      <c r="C386"/>
      <c r="D386"/>
      <c r="E386"/>
      <c r="F386"/>
      <c r="G386"/>
      <c r="H386"/>
      <c r="I386"/>
      <c r="J386"/>
      <c r="K386" s="100">
        <f t="shared" si="47"/>
        <v>0</v>
      </c>
      <c r="L386" s="95"/>
      <c r="M386" s="90">
        <f t="shared" si="41"/>
        <v>0</v>
      </c>
      <c r="N386" s="56">
        <v>0</v>
      </c>
      <c r="O386" s="44">
        <f t="shared" si="42"/>
        <v>0</v>
      </c>
      <c r="P386" s="44"/>
      <c r="Q386" s="44"/>
      <c r="R386" s="44"/>
      <c r="S386" s="44">
        <f t="shared" si="48"/>
        <v>0</v>
      </c>
      <c r="T386" s="44">
        <f t="shared" si="43"/>
        <v>0</v>
      </c>
      <c r="U386">
        <v>0</v>
      </c>
      <c r="V386" s="43">
        <v>0</v>
      </c>
      <c r="W386" s="44">
        <f t="shared" si="44"/>
        <v>0</v>
      </c>
      <c r="X386" s="44">
        <f t="shared" si="45"/>
        <v>0</v>
      </c>
      <c r="Y386" s="44">
        <f t="shared" si="46"/>
        <v>0</v>
      </c>
      <c r="Z386" s="84"/>
      <c r="AA386" s="78"/>
      <c r="AB386" s="78"/>
      <c r="AC386" s="78"/>
      <c r="AD386" s="78"/>
      <c r="AE386" s="78"/>
    </row>
    <row r="387" spans="1:31" ht="12.75">
      <c r="A387"/>
      <c r="B387"/>
      <c r="C387"/>
      <c r="D387"/>
      <c r="E387"/>
      <c r="F387"/>
      <c r="G387"/>
      <c r="H387"/>
      <c r="I387"/>
      <c r="J387"/>
      <c r="K387" s="100">
        <f t="shared" si="47"/>
        <v>0</v>
      </c>
      <c r="L387" s="95"/>
      <c r="M387" s="90">
        <f t="shared" si="41"/>
        <v>0</v>
      </c>
      <c r="N387" s="56">
        <v>0</v>
      </c>
      <c r="O387" s="44">
        <f t="shared" si="42"/>
        <v>0</v>
      </c>
      <c r="P387" s="44"/>
      <c r="Q387" s="44"/>
      <c r="R387" s="44"/>
      <c r="S387" s="44">
        <f t="shared" si="48"/>
        <v>0</v>
      </c>
      <c r="T387" s="44">
        <f t="shared" si="43"/>
        <v>0</v>
      </c>
      <c r="U387">
        <v>0</v>
      </c>
      <c r="V387" s="43">
        <v>0</v>
      </c>
      <c r="W387" s="44">
        <f t="shared" si="44"/>
        <v>0</v>
      </c>
      <c r="X387" s="44">
        <f t="shared" si="45"/>
        <v>0</v>
      </c>
      <c r="Y387" s="44">
        <f t="shared" si="46"/>
        <v>0</v>
      </c>
      <c r="Z387" s="84"/>
      <c r="AA387" s="78"/>
      <c r="AB387" s="78"/>
      <c r="AC387" s="78"/>
      <c r="AD387" s="78"/>
      <c r="AE387" s="78"/>
    </row>
    <row r="388" spans="1:31" ht="12.75">
      <c r="A388"/>
      <c r="B388"/>
      <c r="C388"/>
      <c r="D388"/>
      <c r="E388"/>
      <c r="F388"/>
      <c r="G388"/>
      <c r="H388"/>
      <c r="I388"/>
      <c r="J388"/>
      <c r="K388" s="100">
        <f t="shared" si="47"/>
        <v>0</v>
      </c>
      <c r="L388" s="95"/>
      <c r="M388" s="90">
        <f t="shared" si="41"/>
        <v>0</v>
      </c>
      <c r="N388" s="56">
        <v>0</v>
      </c>
      <c r="O388" s="44">
        <f t="shared" si="42"/>
        <v>0</v>
      </c>
      <c r="P388" s="44"/>
      <c r="Q388" s="44"/>
      <c r="R388" s="44"/>
      <c r="S388" s="44">
        <f t="shared" si="48"/>
        <v>0</v>
      </c>
      <c r="T388" s="44">
        <f t="shared" si="43"/>
        <v>0</v>
      </c>
      <c r="U388">
        <v>0</v>
      </c>
      <c r="V388" s="43">
        <v>0</v>
      </c>
      <c r="W388" s="44">
        <f t="shared" si="44"/>
        <v>0</v>
      </c>
      <c r="X388" s="44">
        <f t="shared" si="45"/>
        <v>0</v>
      </c>
      <c r="Y388" s="44">
        <f t="shared" si="46"/>
        <v>0</v>
      </c>
      <c r="Z388" s="84"/>
      <c r="AA388" s="78"/>
      <c r="AB388" s="78"/>
      <c r="AC388" s="78"/>
      <c r="AD388" s="78"/>
      <c r="AE388" s="78"/>
    </row>
    <row r="389" spans="1:31" ht="12.75">
      <c r="A389"/>
      <c r="B389"/>
      <c r="C389"/>
      <c r="D389"/>
      <c r="E389"/>
      <c r="F389"/>
      <c r="G389"/>
      <c r="H389"/>
      <c r="I389"/>
      <c r="J389"/>
      <c r="K389" s="100">
        <f t="shared" si="47"/>
        <v>0</v>
      </c>
      <c r="L389" s="95"/>
      <c r="M389" s="90">
        <f t="shared" si="41"/>
        <v>0</v>
      </c>
      <c r="N389" s="56">
        <v>0</v>
      </c>
      <c r="O389" s="44">
        <f t="shared" si="42"/>
        <v>0</v>
      </c>
      <c r="P389" s="44"/>
      <c r="Q389" s="44"/>
      <c r="R389" s="44"/>
      <c r="S389" s="44">
        <f t="shared" si="48"/>
        <v>0</v>
      </c>
      <c r="T389" s="44">
        <f t="shared" si="43"/>
        <v>0</v>
      </c>
      <c r="U389">
        <v>0</v>
      </c>
      <c r="V389" s="43">
        <v>0</v>
      </c>
      <c r="W389" s="44">
        <f t="shared" si="44"/>
        <v>0</v>
      </c>
      <c r="X389" s="44">
        <f t="shared" si="45"/>
        <v>0</v>
      </c>
      <c r="Y389" s="44">
        <f t="shared" si="46"/>
        <v>0</v>
      </c>
      <c r="Z389" s="84"/>
      <c r="AA389" s="78"/>
      <c r="AB389" s="78"/>
      <c r="AC389" s="78"/>
      <c r="AD389" s="78"/>
      <c r="AE389" s="78"/>
    </row>
    <row r="390" spans="1:31" ht="12.75">
      <c r="A390"/>
      <c r="B390"/>
      <c r="C390"/>
      <c r="D390"/>
      <c r="E390"/>
      <c r="F390"/>
      <c r="G390"/>
      <c r="H390"/>
      <c r="I390"/>
      <c r="J390"/>
      <c r="K390" s="100">
        <f t="shared" si="47"/>
        <v>0</v>
      </c>
      <c r="L390" s="95"/>
      <c r="M390" s="90">
        <f t="shared" si="41"/>
        <v>0</v>
      </c>
      <c r="N390" s="56">
        <v>0</v>
      </c>
      <c r="O390" s="44">
        <f t="shared" si="42"/>
        <v>0</v>
      </c>
      <c r="P390" s="44"/>
      <c r="Q390" s="44"/>
      <c r="R390" s="44"/>
      <c r="S390" s="44">
        <f t="shared" si="48"/>
        <v>0</v>
      </c>
      <c r="T390" s="44">
        <f t="shared" si="43"/>
        <v>0</v>
      </c>
      <c r="U390">
        <v>0</v>
      </c>
      <c r="V390" s="43">
        <v>0</v>
      </c>
      <c r="W390" s="44">
        <f t="shared" si="44"/>
        <v>0</v>
      </c>
      <c r="X390" s="44">
        <f t="shared" si="45"/>
        <v>0</v>
      </c>
      <c r="Y390" s="44">
        <f t="shared" si="46"/>
        <v>0</v>
      </c>
      <c r="Z390" s="84"/>
      <c r="AA390" s="78"/>
      <c r="AB390" s="78"/>
      <c r="AC390" s="78"/>
      <c r="AD390" s="78"/>
      <c r="AE390" s="78"/>
    </row>
    <row r="391" spans="1:31" ht="12.75">
      <c r="A391"/>
      <c r="B391"/>
      <c r="C391"/>
      <c r="D391"/>
      <c r="E391"/>
      <c r="F391"/>
      <c r="G391"/>
      <c r="H391"/>
      <c r="I391"/>
      <c r="J391"/>
      <c r="K391" s="100">
        <f t="shared" si="47"/>
        <v>0</v>
      </c>
      <c r="L391" s="95"/>
      <c r="M391" s="90">
        <f t="shared" si="41"/>
        <v>0</v>
      </c>
      <c r="N391" s="56">
        <v>0</v>
      </c>
      <c r="O391" s="44">
        <f t="shared" si="42"/>
        <v>0</v>
      </c>
      <c r="P391" s="44"/>
      <c r="Q391" s="44"/>
      <c r="R391" s="44"/>
      <c r="S391" s="44">
        <f t="shared" si="48"/>
        <v>0</v>
      </c>
      <c r="T391" s="44">
        <f t="shared" si="43"/>
        <v>0</v>
      </c>
      <c r="U391">
        <v>0</v>
      </c>
      <c r="V391" s="43">
        <v>0</v>
      </c>
      <c r="W391" s="44">
        <f t="shared" si="44"/>
        <v>0</v>
      </c>
      <c r="X391" s="44">
        <f t="shared" si="45"/>
        <v>0</v>
      </c>
      <c r="Y391" s="44">
        <f t="shared" si="46"/>
        <v>0</v>
      </c>
      <c r="Z391" s="84"/>
      <c r="AA391" s="78"/>
      <c r="AB391" s="78"/>
      <c r="AC391" s="78"/>
      <c r="AD391" s="78"/>
      <c r="AE391" s="78"/>
    </row>
    <row r="392" spans="1:31" ht="12.75">
      <c r="A392"/>
      <c r="B392"/>
      <c r="C392"/>
      <c r="D392"/>
      <c r="E392"/>
      <c r="F392"/>
      <c r="G392"/>
      <c r="H392"/>
      <c r="I392"/>
      <c r="J392"/>
      <c r="K392" s="100">
        <f t="shared" si="47"/>
        <v>0</v>
      </c>
      <c r="L392" s="95"/>
      <c r="M392" s="90">
        <f t="shared" ref="M392:M455" si="49">ROUND(K392*L392,2)</f>
        <v>0</v>
      </c>
      <c r="N392" s="56">
        <v>0</v>
      </c>
      <c r="O392" s="44">
        <f t="shared" ref="O392:O455" si="50">+M392-(M392*N392)</f>
        <v>0</v>
      </c>
      <c r="P392" s="44"/>
      <c r="Q392" s="44"/>
      <c r="R392" s="44"/>
      <c r="S392" s="44">
        <f t="shared" si="48"/>
        <v>0</v>
      </c>
      <c r="T392" s="44">
        <f t="shared" ref="T392:T455" si="51">+O392+P392+Q392+R392</f>
        <v>0</v>
      </c>
      <c r="U392">
        <v>0</v>
      </c>
      <c r="V392" s="43">
        <v>0</v>
      </c>
      <c r="W392" s="44">
        <f t="shared" ref="W392:W455" si="52">+O392-U392-V392-Z392</f>
        <v>0</v>
      </c>
      <c r="X392" s="44">
        <f t="shared" ref="X392:X455" si="53">(+O392-U392-Z392)*$X$1</f>
        <v>0</v>
      </c>
      <c r="Y392" s="44">
        <f t="shared" ref="Y392:Y455" si="54">+W392-X392</f>
        <v>0</v>
      </c>
      <c r="Z392" s="84"/>
      <c r="AA392" s="78"/>
      <c r="AB392" s="78"/>
      <c r="AC392" s="78"/>
      <c r="AD392" s="78"/>
      <c r="AE392" s="78"/>
    </row>
    <row r="393" spans="1:31" ht="12.75">
      <c r="A393"/>
      <c r="B393"/>
      <c r="C393"/>
      <c r="D393"/>
      <c r="E393"/>
      <c r="F393"/>
      <c r="G393"/>
      <c r="H393"/>
      <c r="I393"/>
      <c r="J393"/>
      <c r="K393" s="100">
        <f t="shared" ref="K393:K456" si="55">+I393*J393</f>
        <v>0</v>
      </c>
      <c r="L393" s="95"/>
      <c r="M393" s="90">
        <f t="shared" si="49"/>
        <v>0</v>
      </c>
      <c r="N393" s="56">
        <v>0</v>
      </c>
      <c r="O393" s="44">
        <f t="shared" si="50"/>
        <v>0</v>
      </c>
      <c r="P393" s="44"/>
      <c r="Q393" s="44"/>
      <c r="R393" s="44"/>
      <c r="S393" s="44">
        <f t="shared" ref="S393:S456" si="56">IF(R393="y",+P393*0.01,0)</f>
        <v>0</v>
      </c>
      <c r="T393" s="44">
        <f t="shared" si="51"/>
        <v>0</v>
      </c>
      <c r="U393">
        <v>0</v>
      </c>
      <c r="V393" s="43">
        <v>0</v>
      </c>
      <c r="W393" s="44">
        <f t="shared" si="52"/>
        <v>0</v>
      </c>
      <c r="X393" s="44">
        <f t="shared" si="53"/>
        <v>0</v>
      </c>
      <c r="Y393" s="44">
        <f t="shared" si="54"/>
        <v>0</v>
      </c>
      <c r="Z393" s="84"/>
      <c r="AA393" s="78"/>
      <c r="AB393" s="78"/>
      <c r="AC393" s="78"/>
      <c r="AD393" s="78"/>
      <c r="AE393" s="78"/>
    </row>
    <row r="394" spans="1:31" ht="12.75">
      <c r="A394"/>
      <c r="B394"/>
      <c r="C394"/>
      <c r="D394"/>
      <c r="E394"/>
      <c r="F394"/>
      <c r="G394"/>
      <c r="H394"/>
      <c r="I394"/>
      <c r="J394"/>
      <c r="K394" s="100">
        <f t="shared" si="55"/>
        <v>0</v>
      </c>
      <c r="L394" s="95"/>
      <c r="M394" s="90">
        <f t="shared" si="49"/>
        <v>0</v>
      </c>
      <c r="N394" s="56">
        <v>0</v>
      </c>
      <c r="O394" s="44">
        <f t="shared" si="50"/>
        <v>0</v>
      </c>
      <c r="P394" s="44"/>
      <c r="Q394" s="44"/>
      <c r="R394" s="44"/>
      <c r="S394" s="44">
        <f t="shared" si="56"/>
        <v>0</v>
      </c>
      <c r="T394" s="44">
        <f t="shared" si="51"/>
        <v>0</v>
      </c>
      <c r="U394">
        <v>0</v>
      </c>
      <c r="V394" s="43">
        <v>0</v>
      </c>
      <c r="W394" s="44">
        <f t="shared" si="52"/>
        <v>0</v>
      </c>
      <c r="X394" s="44">
        <f t="shared" si="53"/>
        <v>0</v>
      </c>
      <c r="Y394" s="44">
        <f t="shared" si="54"/>
        <v>0</v>
      </c>
      <c r="Z394" s="84"/>
      <c r="AA394" s="78"/>
      <c r="AB394" s="78"/>
      <c r="AC394" s="78"/>
      <c r="AD394" s="78"/>
      <c r="AE394" s="78"/>
    </row>
    <row r="395" spans="1:31" ht="12.75">
      <c r="A395"/>
      <c r="B395"/>
      <c r="C395"/>
      <c r="D395"/>
      <c r="E395"/>
      <c r="F395"/>
      <c r="G395"/>
      <c r="H395"/>
      <c r="I395"/>
      <c r="J395"/>
      <c r="K395" s="100">
        <f t="shared" si="55"/>
        <v>0</v>
      </c>
      <c r="L395" s="95"/>
      <c r="M395" s="90">
        <f t="shared" si="49"/>
        <v>0</v>
      </c>
      <c r="N395" s="56">
        <v>0</v>
      </c>
      <c r="O395" s="44">
        <f t="shared" si="50"/>
        <v>0</v>
      </c>
      <c r="P395" s="44"/>
      <c r="Q395" s="44"/>
      <c r="R395" s="44"/>
      <c r="S395" s="44">
        <f t="shared" si="56"/>
        <v>0</v>
      </c>
      <c r="T395" s="44">
        <f t="shared" si="51"/>
        <v>0</v>
      </c>
      <c r="U395">
        <v>0</v>
      </c>
      <c r="V395" s="43">
        <v>0</v>
      </c>
      <c r="W395" s="44">
        <f t="shared" si="52"/>
        <v>0</v>
      </c>
      <c r="X395" s="44">
        <f t="shared" si="53"/>
        <v>0</v>
      </c>
      <c r="Y395" s="44">
        <f t="shared" si="54"/>
        <v>0</v>
      </c>
      <c r="Z395" s="84"/>
      <c r="AA395" s="78"/>
      <c r="AB395" s="78"/>
      <c r="AC395" s="78"/>
      <c r="AD395" s="78"/>
      <c r="AE395" s="78"/>
    </row>
    <row r="396" spans="1:31" ht="12.75">
      <c r="A396"/>
      <c r="B396"/>
      <c r="C396"/>
      <c r="D396"/>
      <c r="E396"/>
      <c r="F396"/>
      <c r="G396"/>
      <c r="H396"/>
      <c r="I396"/>
      <c r="J396"/>
      <c r="K396" s="100">
        <f t="shared" si="55"/>
        <v>0</v>
      </c>
      <c r="L396" s="95"/>
      <c r="M396" s="90">
        <f t="shared" si="49"/>
        <v>0</v>
      </c>
      <c r="N396" s="56">
        <v>0</v>
      </c>
      <c r="O396" s="44">
        <f t="shared" si="50"/>
        <v>0</v>
      </c>
      <c r="P396" s="44"/>
      <c r="Q396" s="44"/>
      <c r="R396" s="44"/>
      <c r="S396" s="44">
        <f t="shared" si="56"/>
        <v>0</v>
      </c>
      <c r="T396" s="44">
        <f t="shared" si="51"/>
        <v>0</v>
      </c>
      <c r="U396">
        <v>0</v>
      </c>
      <c r="V396" s="43">
        <v>0</v>
      </c>
      <c r="W396" s="44">
        <f t="shared" si="52"/>
        <v>0</v>
      </c>
      <c r="X396" s="44">
        <f t="shared" si="53"/>
        <v>0</v>
      </c>
      <c r="Y396" s="44">
        <f t="shared" si="54"/>
        <v>0</v>
      </c>
      <c r="Z396" s="84"/>
      <c r="AA396" s="78"/>
      <c r="AB396" s="78"/>
      <c r="AC396" s="78"/>
      <c r="AD396" s="78"/>
      <c r="AE396" s="78"/>
    </row>
    <row r="397" spans="1:31" ht="12.75">
      <c r="A397"/>
      <c r="B397"/>
      <c r="C397"/>
      <c r="D397"/>
      <c r="E397"/>
      <c r="F397"/>
      <c r="G397"/>
      <c r="H397"/>
      <c r="I397"/>
      <c r="J397"/>
      <c r="K397" s="100">
        <f t="shared" si="55"/>
        <v>0</v>
      </c>
      <c r="L397" s="95"/>
      <c r="M397" s="90">
        <f t="shared" si="49"/>
        <v>0</v>
      </c>
      <c r="N397" s="56">
        <v>0</v>
      </c>
      <c r="O397" s="44">
        <f t="shared" si="50"/>
        <v>0</v>
      </c>
      <c r="P397" s="44"/>
      <c r="Q397" s="44"/>
      <c r="R397" s="44"/>
      <c r="S397" s="44">
        <f t="shared" si="56"/>
        <v>0</v>
      </c>
      <c r="T397" s="44">
        <f t="shared" si="51"/>
        <v>0</v>
      </c>
      <c r="U397">
        <v>0</v>
      </c>
      <c r="V397" s="43">
        <v>0</v>
      </c>
      <c r="W397" s="44">
        <f t="shared" si="52"/>
        <v>0</v>
      </c>
      <c r="X397" s="44">
        <f t="shared" si="53"/>
        <v>0</v>
      </c>
      <c r="Y397" s="44">
        <f t="shared" si="54"/>
        <v>0</v>
      </c>
      <c r="Z397" s="84"/>
      <c r="AA397" s="78"/>
      <c r="AB397" s="78"/>
      <c r="AC397" s="78"/>
      <c r="AD397" s="78"/>
      <c r="AE397" s="78"/>
    </row>
    <row r="398" spans="1:31" ht="12.75">
      <c r="A398"/>
      <c r="B398"/>
      <c r="C398"/>
      <c r="D398"/>
      <c r="E398"/>
      <c r="F398"/>
      <c r="G398"/>
      <c r="H398"/>
      <c r="I398"/>
      <c r="J398"/>
      <c r="K398" s="100">
        <f t="shared" si="55"/>
        <v>0</v>
      </c>
      <c r="L398" s="95"/>
      <c r="M398" s="90">
        <f t="shared" si="49"/>
        <v>0</v>
      </c>
      <c r="N398" s="56">
        <v>0</v>
      </c>
      <c r="O398" s="44">
        <f t="shared" si="50"/>
        <v>0</v>
      </c>
      <c r="P398" s="44"/>
      <c r="Q398" s="44"/>
      <c r="R398" s="44"/>
      <c r="S398" s="44">
        <f t="shared" si="56"/>
        <v>0</v>
      </c>
      <c r="T398" s="44">
        <f t="shared" si="51"/>
        <v>0</v>
      </c>
      <c r="U398">
        <v>0</v>
      </c>
      <c r="V398" s="43">
        <v>0</v>
      </c>
      <c r="W398" s="44">
        <f t="shared" si="52"/>
        <v>0</v>
      </c>
      <c r="X398" s="44">
        <f t="shared" si="53"/>
        <v>0</v>
      </c>
      <c r="Y398" s="44">
        <f t="shared" si="54"/>
        <v>0</v>
      </c>
      <c r="Z398" s="84"/>
      <c r="AA398" s="78"/>
      <c r="AB398" s="78"/>
      <c r="AC398" s="78"/>
      <c r="AD398" s="78"/>
      <c r="AE398" s="78"/>
    </row>
    <row r="399" spans="1:31" ht="12.75">
      <c r="A399"/>
      <c r="B399"/>
      <c r="C399"/>
      <c r="D399"/>
      <c r="E399"/>
      <c r="F399"/>
      <c r="G399"/>
      <c r="H399"/>
      <c r="I399"/>
      <c r="J399"/>
      <c r="K399" s="100">
        <f t="shared" si="55"/>
        <v>0</v>
      </c>
      <c r="L399" s="95"/>
      <c r="M399" s="90">
        <f t="shared" si="49"/>
        <v>0</v>
      </c>
      <c r="N399" s="56">
        <v>0</v>
      </c>
      <c r="O399" s="44">
        <f t="shared" si="50"/>
        <v>0</v>
      </c>
      <c r="P399" s="44"/>
      <c r="Q399" s="44"/>
      <c r="R399" s="44"/>
      <c r="S399" s="44">
        <f t="shared" si="56"/>
        <v>0</v>
      </c>
      <c r="T399" s="44">
        <f t="shared" si="51"/>
        <v>0</v>
      </c>
      <c r="U399">
        <v>0</v>
      </c>
      <c r="V399" s="43">
        <v>0</v>
      </c>
      <c r="W399" s="44">
        <f t="shared" si="52"/>
        <v>0</v>
      </c>
      <c r="X399" s="44">
        <f t="shared" si="53"/>
        <v>0</v>
      </c>
      <c r="Y399" s="44">
        <f t="shared" si="54"/>
        <v>0</v>
      </c>
      <c r="Z399" s="84"/>
      <c r="AA399" s="78"/>
      <c r="AB399" s="78"/>
      <c r="AC399" s="78"/>
      <c r="AD399" s="78"/>
      <c r="AE399" s="78"/>
    </row>
    <row r="400" spans="1:31" ht="12.75">
      <c r="A400"/>
      <c r="B400"/>
      <c r="C400"/>
      <c r="D400"/>
      <c r="E400"/>
      <c r="F400"/>
      <c r="G400"/>
      <c r="H400"/>
      <c r="I400"/>
      <c r="J400"/>
      <c r="K400" s="100">
        <f t="shared" si="55"/>
        <v>0</v>
      </c>
      <c r="L400" s="95"/>
      <c r="M400" s="90">
        <f t="shared" si="49"/>
        <v>0</v>
      </c>
      <c r="N400" s="56">
        <v>0</v>
      </c>
      <c r="O400" s="44">
        <f t="shared" si="50"/>
        <v>0</v>
      </c>
      <c r="P400" s="44"/>
      <c r="Q400" s="44"/>
      <c r="R400" s="44"/>
      <c r="S400" s="44">
        <f t="shared" si="56"/>
        <v>0</v>
      </c>
      <c r="T400" s="44">
        <f t="shared" si="51"/>
        <v>0</v>
      </c>
      <c r="U400">
        <v>0</v>
      </c>
      <c r="V400" s="43">
        <v>0</v>
      </c>
      <c r="W400" s="44">
        <f t="shared" si="52"/>
        <v>0</v>
      </c>
      <c r="X400" s="44">
        <f t="shared" si="53"/>
        <v>0</v>
      </c>
      <c r="Y400" s="44">
        <f t="shared" si="54"/>
        <v>0</v>
      </c>
      <c r="Z400" s="84"/>
      <c r="AA400" s="78"/>
      <c r="AB400" s="78"/>
      <c r="AC400" s="78"/>
      <c r="AD400" s="78"/>
      <c r="AE400" s="78"/>
    </row>
    <row r="401" spans="1:31" ht="12.75">
      <c r="A401"/>
      <c r="B401"/>
      <c r="C401"/>
      <c r="D401"/>
      <c r="E401"/>
      <c r="F401"/>
      <c r="G401"/>
      <c r="H401"/>
      <c r="I401"/>
      <c r="J401"/>
      <c r="K401" s="100">
        <f t="shared" si="55"/>
        <v>0</v>
      </c>
      <c r="L401" s="95"/>
      <c r="M401" s="90">
        <f t="shared" si="49"/>
        <v>0</v>
      </c>
      <c r="N401" s="56">
        <v>0</v>
      </c>
      <c r="O401" s="44">
        <f t="shared" si="50"/>
        <v>0</v>
      </c>
      <c r="P401" s="44"/>
      <c r="Q401" s="44"/>
      <c r="R401" s="44"/>
      <c r="S401" s="44">
        <f t="shared" si="56"/>
        <v>0</v>
      </c>
      <c r="T401" s="44">
        <f t="shared" si="51"/>
        <v>0</v>
      </c>
      <c r="U401">
        <v>0</v>
      </c>
      <c r="V401" s="43">
        <v>0</v>
      </c>
      <c r="W401" s="44">
        <f t="shared" si="52"/>
        <v>0</v>
      </c>
      <c r="X401" s="44">
        <f t="shared" si="53"/>
        <v>0</v>
      </c>
      <c r="Y401" s="44">
        <f t="shared" si="54"/>
        <v>0</v>
      </c>
      <c r="Z401" s="84"/>
      <c r="AA401" s="78"/>
      <c r="AB401" s="78"/>
      <c r="AC401" s="78"/>
      <c r="AD401" s="78"/>
      <c r="AE401" s="78"/>
    </row>
    <row r="402" spans="1:31" ht="12.75">
      <c r="A402"/>
      <c r="B402"/>
      <c r="C402"/>
      <c r="D402"/>
      <c r="E402"/>
      <c r="F402"/>
      <c r="G402"/>
      <c r="H402"/>
      <c r="I402"/>
      <c r="J402"/>
      <c r="K402" s="100">
        <f t="shared" si="55"/>
        <v>0</v>
      </c>
      <c r="L402" s="95"/>
      <c r="M402" s="90">
        <f t="shared" si="49"/>
        <v>0</v>
      </c>
      <c r="N402" s="56">
        <v>0</v>
      </c>
      <c r="O402" s="44">
        <f t="shared" si="50"/>
        <v>0</v>
      </c>
      <c r="P402" s="44"/>
      <c r="Q402" s="44"/>
      <c r="R402" s="44"/>
      <c r="S402" s="44">
        <f t="shared" si="56"/>
        <v>0</v>
      </c>
      <c r="T402" s="44">
        <f t="shared" si="51"/>
        <v>0</v>
      </c>
      <c r="U402">
        <v>0</v>
      </c>
      <c r="V402" s="43">
        <v>0</v>
      </c>
      <c r="W402" s="44">
        <f t="shared" si="52"/>
        <v>0</v>
      </c>
      <c r="X402" s="44">
        <f t="shared" si="53"/>
        <v>0</v>
      </c>
      <c r="Y402" s="44">
        <f t="shared" si="54"/>
        <v>0</v>
      </c>
      <c r="Z402" s="84"/>
      <c r="AA402" s="78"/>
      <c r="AB402" s="78"/>
      <c r="AC402" s="78"/>
      <c r="AD402" s="78"/>
      <c r="AE402" s="78"/>
    </row>
    <row r="403" spans="1:31" ht="12.75">
      <c r="A403"/>
      <c r="B403"/>
      <c r="C403"/>
      <c r="D403"/>
      <c r="E403"/>
      <c r="F403"/>
      <c r="G403"/>
      <c r="H403"/>
      <c r="I403"/>
      <c r="J403"/>
      <c r="K403" s="100">
        <f t="shared" si="55"/>
        <v>0</v>
      </c>
      <c r="L403" s="95"/>
      <c r="M403" s="90">
        <f t="shared" si="49"/>
        <v>0</v>
      </c>
      <c r="N403" s="56">
        <v>0</v>
      </c>
      <c r="O403" s="44">
        <f t="shared" si="50"/>
        <v>0</v>
      </c>
      <c r="P403" s="44"/>
      <c r="Q403" s="44"/>
      <c r="R403" s="44"/>
      <c r="S403" s="44">
        <f t="shared" si="56"/>
        <v>0</v>
      </c>
      <c r="T403" s="44">
        <f t="shared" si="51"/>
        <v>0</v>
      </c>
      <c r="U403">
        <v>0</v>
      </c>
      <c r="V403" s="43">
        <v>0</v>
      </c>
      <c r="W403" s="44">
        <f t="shared" si="52"/>
        <v>0</v>
      </c>
      <c r="X403" s="44">
        <f t="shared" si="53"/>
        <v>0</v>
      </c>
      <c r="Y403" s="44">
        <f t="shared" si="54"/>
        <v>0</v>
      </c>
      <c r="Z403" s="84"/>
      <c r="AA403" s="78"/>
      <c r="AB403" s="78"/>
      <c r="AC403" s="78"/>
      <c r="AD403" s="78"/>
      <c r="AE403" s="78"/>
    </row>
    <row r="404" spans="1:31" ht="12.75">
      <c r="A404"/>
      <c r="B404"/>
      <c r="C404"/>
      <c r="D404"/>
      <c r="E404"/>
      <c r="F404"/>
      <c r="G404"/>
      <c r="H404"/>
      <c r="I404"/>
      <c r="J404"/>
      <c r="K404" s="100">
        <f t="shared" si="55"/>
        <v>0</v>
      </c>
      <c r="L404" s="95"/>
      <c r="M404" s="90">
        <f t="shared" si="49"/>
        <v>0</v>
      </c>
      <c r="N404" s="56">
        <v>0</v>
      </c>
      <c r="O404" s="44">
        <f t="shared" si="50"/>
        <v>0</v>
      </c>
      <c r="P404" s="44"/>
      <c r="Q404" s="44"/>
      <c r="R404" s="44"/>
      <c r="S404" s="44">
        <f t="shared" si="56"/>
        <v>0</v>
      </c>
      <c r="T404" s="44">
        <f t="shared" si="51"/>
        <v>0</v>
      </c>
      <c r="U404">
        <v>0</v>
      </c>
      <c r="V404" s="43">
        <v>0</v>
      </c>
      <c r="W404" s="44">
        <f t="shared" si="52"/>
        <v>0</v>
      </c>
      <c r="X404" s="44">
        <f t="shared" si="53"/>
        <v>0</v>
      </c>
      <c r="Y404" s="44">
        <f t="shared" si="54"/>
        <v>0</v>
      </c>
      <c r="Z404" s="84"/>
      <c r="AA404" s="78"/>
      <c r="AB404" s="78"/>
      <c r="AC404" s="78"/>
      <c r="AD404" s="78"/>
      <c r="AE404" s="78"/>
    </row>
    <row r="405" spans="1:31" ht="12.75">
      <c r="A405"/>
      <c r="B405"/>
      <c r="C405"/>
      <c r="D405"/>
      <c r="E405"/>
      <c r="F405"/>
      <c r="G405"/>
      <c r="H405"/>
      <c r="I405"/>
      <c r="J405"/>
      <c r="K405" s="100">
        <f t="shared" si="55"/>
        <v>0</v>
      </c>
      <c r="L405" s="95"/>
      <c r="M405" s="90">
        <f t="shared" si="49"/>
        <v>0</v>
      </c>
      <c r="N405" s="56">
        <v>0</v>
      </c>
      <c r="O405" s="44">
        <f t="shared" si="50"/>
        <v>0</v>
      </c>
      <c r="P405" s="44"/>
      <c r="Q405" s="44"/>
      <c r="R405" s="44"/>
      <c r="S405" s="44">
        <f t="shared" si="56"/>
        <v>0</v>
      </c>
      <c r="T405" s="44">
        <f t="shared" si="51"/>
        <v>0</v>
      </c>
      <c r="U405">
        <v>0</v>
      </c>
      <c r="V405" s="43">
        <v>0</v>
      </c>
      <c r="W405" s="44">
        <f t="shared" si="52"/>
        <v>0</v>
      </c>
      <c r="X405" s="44">
        <f t="shared" si="53"/>
        <v>0</v>
      </c>
      <c r="Y405" s="44">
        <f t="shared" si="54"/>
        <v>0</v>
      </c>
      <c r="Z405" s="84"/>
      <c r="AA405" s="78"/>
      <c r="AB405" s="78"/>
      <c r="AC405" s="78"/>
      <c r="AD405" s="78"/>
      <c r="AE405" s="78"/>
    </row>
    <row r="406" spans="1:31" ht="12.75">
      <c r="A406"/>
      <c r="B406"/>
      <c r="C406"/>
      <c r="D406"/>
      <c r="E406"/>
      <c r="F406"/>
      <c r="G406"/>
      <c r="H406"/>
      <c r="I406"/>
      <c r="J406"/>
      <c r="K406" s="100">
        <f t="shared" si="55"/>
        <v>0</v>
      </c>
      <c r="L406" s="95"/>
      <c r="M406" s="90">
        <f t="shared" si="49"/>
        <v>0</v>
      </c>
      <c r="N406" s="56">
        <v>0</v>
      </c>
      <c r="O406" s="44">
        <f t="shared" si="50"/>
        <v>0</v>
      </c>
      <c r="P406" s="44"/>
      <c r="Q406" s="44"/>
      <c r="R406" s="44"/>
      <c r="S406" s="44">
        <f t="shared" si="56"/>
        <v>0</v>
      </c>
      <c r="T406" s="44">
        <f t="shared" si="51"/>
        <v>0</v>
      </c>
      <c r="U406">
        <v>0</v>
      </c>
      <c r="V406" s="43">
        <v>0</v>
      </c>
      <c r="W406" s="44">
        <f t="shared" si="52"/>
        <v>0</v>
      </c>
      <c r="X406" s="44">
        <f t="shared" si="53"/>
        <v>0</v>
      </c>
      <c r="Y406" s="44">
        <f t="shared" si="54"/>
        <v>0</v>
      </c>
      <c r="Z406" s="84"/>
      <c r="AA406" s="78"/>
      <c r="AB406" s="78"/>
      <c r="AC406" s="78"/>
      <c r="AD406" s="78"/>
      <c r="AE406" s="78"/>
    </row>
    <row r="407" spans="1:31" ht="12.75">
      <c r="A407"/>
      <c r="B407"/>
      <c r="C407"/>
      <c r="D407"/>
      <c r="E407"/>
      <c r="F407"/>
      <c r="G407"/>
      <c r="H407"/>
      <c r="I407"/>
      <c r="J407"/>
      <c r="K407" s="100">
        <f t="shared" si="55"/>
        <v>0</v>
      </c>
      <c r="L407" s="95"/>
      <c r="M407" s="90">
        <f t="shared" si="49"/>
        <v>0</v>
      </c>
      <c r="N407" s="56">
        <v>0</v>
      </c>
      <c r="O407" s="44">
        <f t="shared" si="50"/>
        <v>0</v>
      </c>
      <c r="P407" s="44"/>
      <c r="Q407" s="44"/>
      <c r="R407" s="44"/>
      <c r="S407" s="44">
        <f t="shared" si="56"/>
        <v>0</v>
      </c>
      <c r="T407" s="44">
        <f t="shared" si="51"/>
        <v>0</v>
      </c>
      <c r="U407">
        <v>0</v>
      </c>
      <c r="V407" s="43">
        <v>0</v>
      </c>
      <c r="W407" s="44">
        <f t="shared" si="52"/>
        <v>0</v>
      </c>
      <c r="X407" s="44">
        <f t="shared" si="53"/>
        <v>0</v>
      </c>
      <c r="Y407" s="44">
        <f t="shared" si="54"/>
        <v>0</v>
      </c>
      <c r="Z407" s="84"/>
      <c r="AA407" s="78"/>
      <c r="AB407" s="78"/>
      <c r="AC407" s="78"/>
      <c r="AD407" s="78"/>
      <c r="AE407" s="78"/>
    </row>
    <row r="408" spans="1:31" ht="12.75">
      <c r="A408"/>
      <c r="B408"/>
      <c r="C408"/>
      <c r="D408"/>
      <c r="E408"/>
      <c r="F408"/>
      <c r="G408"/>
      <c r="H408"/>
      <c r="I408"/>
      <c r="J408"/>
      <c r="K408" s="100">
        <f t="shared" si="55"/>
        <v>0</v>
      </c>
      <c r="L408" s="95"/>
      <c r="M408" s="90">
        <f t="shared" si="49"/>
        <v>0</v>
      </c>
      <c r="N408" s="56">
        <v>0</v>
      </c>
      <c r="O408" s="44">
        <f t="shared" si="50"/>
        <v>0</v>
      </c>
      <c r="P408" s="44"/>
      <c r="Q408" s="44"/>
      <c r="R408" s="44"/>
      <c r="S408" s="44">
        <f t="shared" si="56"/>
        <v>0</v>
      </c>
      <c r="T408" s="44">
        <f t="shared" si="51"/>
        <v>0</v>
      </c>
      <c r="U408">
        <v>0</v>
      </c>
      <c r="V408" s="43">
        <v>0</v>
      </c>
      <c r="W408" s="44">
        <f t="shared" si="52"/>
        <v>0</v>
      </c>
      <c r="X408" s="44">
        <f t="shared" si="53"/>
        <v>0</v>
      </c>
      <c r="Y408" s="44">
        <f t="shared" si="54"/>
        <v>0</v>
      </c>
      <c r="Z408" s="84"/>
      <c r="AA408" s="78"/>
      <c r="AB408" s="78"/>
      <c r="AC408" s="78"/>
      <c r="AD408" s="78"/>
      <c r="AE408" s="78"/>
    </row>
    <row r="409" spans="1:31" ht="12.75">
      <c r="A409"/>
      <c r="B409"/>
      <c r="C409"/>
      <c r="D409"/>
      <c r="E409"/>
      <c r="F409"/>
      <c r="G409"/>
      <c r="H409"/>
      <c r="I409"/>
      <c r="J409"/>
      <c r="K409" s="100">
        <f t="shared" si="55"/>
        <v>0</v>
      </c>
      <c r="L409" s="95"/>
      <c r="M409" s="90">
        <f t="shared" si="49"/>
        <v>0</v>
      </c>
      <c r="N409" s="56">
        <v>0</v>
      </c>
      <c r="O409" s="44">
        <f t="shared" si="50"/>
        <v>0</v>
      </c>
      <c r="P409" s="44"/>
      <c r="Q409" s="44"/>
      <c r="R409" s="44"/>
      <c r="S409" s="44">
        <f t="shared" si="56"/>
        <v>0</v>
      </c>
      <c r="T409" s="44">
        <f t="shared" si="51"/>
        <v>0</v>
      </c>
      <c r="U409">
        <v>0</v>
      </c>
      <c r="V409" s="43">
        <v>0</v>
      </c>
      <c r="W409" s="44">
        <f t="shared" si="52"/>
        <v>0</v>
      </c>
      <c r="X409" s="44">
        <f t="shared" si="53"/>
        <v>0</v>
      </c>
      <c r="Y409" s="44">
        <f t="shared" si="54"/>
        <v>0</v>
      </c>
      <c r="Z409" s="84"/>
      <c r="AA409" s="78"/>
      <c r="AB409" s="78"/>
      <c r="AC409" s="78"/>
      <c r="AD409" s="78"/>
      <c r="AE409" s="78"/>
    </row>
    <row r="410" spans="1:31" ht="12.75">
      <c r="A410"/>
      <c r="B410"/>
      <c r="C410"/>
      <c r="D410"/>
      <c r="E410"/>
      <c r="F410"/>
      <c r="G410"/>
      <c r="H410"/>
      <c r="I410"/>
      <c r="J410"/>
      <c r="K410" s="100">
        <f t="shared" si="55"/>
        <v>0</v>
      </c>
      <c r="L410" s="95"/>
      <c r="M410" s="90">
        <f t="shared" si="49"/>
        <v>0</v>
      </c>
      <c r="N410" s="56">
        <v>0</v>
      </c>
      <c r="O410" s="44">
        <f t="shared" si="50"/>
        <v>0</v>
      </c>
      <c r="P410" s="44"/>
      <c r="Q410" s="44"/>
      <c r="R410" s="44"/>
      <c r="S410" s="44">
        <f t="shared" si="56"/>
        <v>0</v>
      </c>
      <c r="T410" s="44">
        <f t="shared" si="51"/>
        <v>0</v>
      </c>
      <c r="U410">
        <v>0</v>
      </c>
      <c r="V410" s="43">
        <v>0</v>
      </c>
      <c r="W410" s="44">
        <f t="shared" si="52"/>
        <v>0</v>
      </c>
      <c r="X410" s="44">
        <f t="shared" si="53"/>
        <v>0</v>
      </c>
      <c r="Y410" s="44">
        <f t="shared" si="54"/>
        <v>0</v>
      </c>
      <c r="Z410" s="84"/>
      <c r="AA410" s="78"/>
      <c r="AB410" s="78"/>
      <c r="AC410" s="78"/>
      <c r="AD410" s="78"/>
      <c r="AE410" s="78"/>
    </row>
    <row r="411" spans="1:31" ht="12.75">
      <c r="A411"/>
      <c r="B411"/>
      <c r="C411"/>
      <c r="D411"/>
      <c r="E411"/>
      <c r="F411"/>
      <c r="G411"/>
      <c r="H411"/>
      <c r="I411"/>
      <c r="J411"/>
      <c r="K411" s="100">
        <f t="shared" si="55"/>
        <v>0</v>
      </c>
      <c r="L411" s="95"/>
      <c r="M411" s="90">
        <f t="shared" si="49"/>
        <v>0</v>
      </c>
      <c r="N411" s="56">
        <v>0</v>
      </c>
      <c r="O411" s="44">
        <f t="shared" si="50"/>
        <v>0</v>
      </c>
      <c r="P411" s="44"/>
      <c r="Q411" s="44"/>
      <c r="R411" s="44"/>
      <c r="S411" s="44">
        <f t="shared" si="56"/>
        <v>0</v>
      </c>
      <c r="T411" s="44">
        <f t="shared" si="51"/>
        <v>0</v>
      </c>
      <c r="U411">
        <v>0</v>
      </c>
      <c r="V411" s="43">
        <v>0</v>
      </c>
      <c r="W411" s="44">
        <f t="shared" si="52"/>
        <v>0</v>
      </c>
      <c r="X411" s="44">
        <f t="shared" si="53"/>
        <v>0</v>
      </c>
      <c r="Y411" s="44">
        <f t="shared" si="54"/>
        <v>0</v>
      </c>
      <c r="Z411" s="84"/>
      <c r="AA411" s="78"/>
      <c r="AB411" s="78"/>
      <c r="AC411" s="78"/>
      <c r="AD411" s="78"/>
      <c r="AE411" s="78"/>
    </row>
    <row r="412" spans="1:31" ht="12.75">
      <c r="A412"/>
      <c r="B412"/>
      <c r="C412"/>
      <c r="D412"/>
      <c r="E412"/>
      <c r="F412"/>
      <c r="G412"/>
      <c r="H412"/>
      <c r="I412"/>
      <c r="J412"/>
      <c r="K412" s="100">
        <f t="shared" si="55"/>
        <v>0</v>
      </c>
      <c r="L412" s="95"/>
      <c r="M412" s="90">
        <f t="shared" si="49"/>
        <v>0</v>
      </c>
      <c r="N412" s="56">
        <v>0</v>
      </c>
      <c r="O412" s="44">
        <f t="shared" si="50"/>
        <v>0</v>
      </c>
      <c r="P412" s="44"/>
      <c r="Q412" s="44"/>
      <c r="R412" s="44"/>
      <c r="S412" s="44">
        <f t="shared" si="56"/>
        <v>0</v>
      </c>
      <c r="T412" s="44">
        <f t="shared" si="51"/>
        <v>0</v>
      </c>
      <c r="U412">
        <v>0</v>
      </c>
      <c r="V412" s="43">
        <v>0</v>
      </c>
      <c r="W412" s="44">
        <f t="shared" si="52"/>
        <v>0</v>
      </c>
      <c r="X412" s="44">
        <f t="shared" si="53"/>
        <v>0</v>
      </c>
      <c r="Y412" s="44">
        <f t="shared" si="54"/>
        <v>0</v>
      </c>
      <c r="Z412" s="84"/>
      <c r="AA412" s="78"/>
      <c r="AB412" s="78"/>
      <c r="AC412" s="78"/>
      <c r="AD412" s="78"/>
      <c r="AE412" s="78"/>
    </row>
    <row r="413" spans="1:31" ht="12.75">
      <c r="A413"/>
      <c r="B413"/>
      <c r="C413"/>
      <c r="D413"/>
      <c r="E413"/>
      <c r="F413"/>
      <c r="G413"/>
      <c r="H413"/>
      <c r="I413"/>
      <c r="J413"/>
      <c r="K413" s="100">
        <f t="shared" si="55"/>
        <v>0</v>
      </c>
      <c r="L413" s="95"/>
      <c r="M413" s="90">
        <f t="shared" si="49"/>
        <v>0</v>
      </c>
      <c r="N413" s="56">
        <v>0</v>
      </c>
      <c r="O413" s="44">
        <f t="shared" si="50"/>
        <v>0</v>
      </c>
      <c r="P413" s="44"/>
      <c r="Q413" s="44"/>
      <c r="R413" s="44"/>
      <c r="S413" s="44">
        <f t="shared" si="56"/>
        <v>0</v>
      </c>
      <c r="T413" s="44">
        <f t="shared" si="51"/>
        <v>0</v>
      </c>
      <c r="U413">
        <v>0</v>
      </c>
      <c r="V413" s="43">
        <v>0</v>
      </c>
      <c r="W413" s="44">
        <f t="shared" si="52"/>
        <v>0</v>
      </c>
      <c r="X413" s="44">
        <f t="shared" si="53"/>
        <v>0</v>
      </c>
      <c r="Y413" s="44">
        <f t="shared" si="54"/>
        <v>0</v>
      </c>
      <c r="Z413" s="84"/>
      <c r="AA413" s="78"/>
      <c r="AB413" s="78"/>
      <c r="AC413" s="78"/>
      <c r="AD413" s="78"/>
      <c r="AE413" s="78"/>
    </row>
    <row r="414" spans="1:31" ht="12.75">
      <c r="A414"/>
      <c r="B414"/>
      <c r="C414"/>
      <c r="D414"/>
      <c r="E414"/>
      <c r="F414"/>
      <c r="G414"/>
      <c r="H414"/>
      <c r="I414"/>
      <c r="J414"/>
      <c r="K414" s="100">
        <f t="shared" si="55"/>
        <v>0</v>
      </c>
      <c r="L414" s="95"/>
      <c r="M414" s="90">
        <f t="shared" si="49"/>
        <v>0</v>
      </c>
      <c r="N414" s="56">
        <v>0</v>
      </c>
      <c r="O414" s="44">
        <f t="shared" si="50"/>
        <v>0</v>
      </c>
      <c r="P414" s="44"/>
      <c r="Q414" s="44"/>
      <c r="R414" s="44"/>
      <c r="S414" s="44">
        <f t="shared" si="56"/>
        <v>0</v>
      </c>
      <c r="T414" s="44">
        <f t="shared" si="51"/>
        <v>0</v>
      </c>
      <c r="U414">
        <v>0</v>
      </c>
      <c r="V414" s="43">
        <v>0</v>
      </c>
      <c r="W414" s="44">
        <f t="shared" si="52"/>
        <v>0</v>
      </c>
      <c r="X414" s="44">
        <f t="shared" si="53"/>
        <v>0</v>
      </c>
      <c r="Y414" s="44">
        <f t="shared" si="54"/>
        <v>0</v>
      </c>
      <c r="Z414" s="84"/>
      <c r="AA414" s="78"/>
      <c r="AB414" s="78"/>
      <c r="AC414" s="78"/>
      <c r="AD414" s="78"/>
      <c r="AE414" s="78"/>
    </row>
    <row r="415" spans="1:31" ht="12.75">
      <c r="A415"/>
      <c r="B415"/>
      <c r="C415"/>
      <c r="D415"/>
      <c r="E415"/>
      <c r="F415"/>
      <c r="G415"/>
      <c r="H415"/>
      <c r="I415"/>
      <c r="J415"/>
      <c r="K415" s="100">
        <f t="shared" si="55"/>
        <v>0</v>
      </c>
      <c r="L415" s="95"/>
      <c r="M415" s="90">
        <f t="shared" si="49"/>
        <v>0</v>
      </c>
      <c r="N415" s="56">
        <v>0</v>
      </c>
      <c r="O415" s="44">
        <f t="shared" si="50"/>
        <v>0</v>
      </c>
      <c r="P415" s="44"/>
      <c r="Q415" s="44"/>
      <c r="R415" s="44"/>
      <c r="S415" s="44">
        <f t="shared" si="56"/>
        <v>0</v>
      </c>
      <c r="T415" s="44">
        <f t="shared" si="51"/>
        <v>0</v>
      </c>
      <c r="U415">
        <v>0</v>
      </c>
      <c r="V415" s="43">
        <v>0</v>
      </c>
      <c r="W415" s="44">
        <f t="shared" si="52"/>
        <v>0</v>
      </c>
      <c r="X415" s="44">
        <f t="shared" si="53"/>
        <v>0</v>
      </c>
      <c r="Y415" s="44">
        <f t="shared" si="54"/>
        <v>0</v>
      </c>
      <c r="Z415" s="84"/>
      <c r="AA415" s="78"/>
      <c r="AB415" s="78"/>
      <c r="AC415" s="78"/>
      <c r="AD415" s="78"/>
      <c r="AE415" s="78"/>
    </row>
    <row r="416" spans="1:31" ht="12.75">
      <c r="A416"/>
      <c r="B416"/>
      <c r="C416"/>
      <c r="D416"/>
      <c r="E416"/>
      <c r="F416"/>
      <c r="G416"/>
      <c r="H416"/>
      <c r="I416"/>
      <c r="J416"/>
      <c r="K416" s="100">
        <f t="shared" si="55"/>
        <v>0</v>
      </c>
      <c r="L416" s="95"/>
      <c r="M416" s="90">
        <f t="shared" si="49"/>
        <v>0</v>
      </c>
      <c r="N416" s="56">
        <v>0</v>
      </c>
      <c r="O416" s="44">
        <f t="shared" si="50"/>
        <v>0</v>
      </c>
      <c r="P416" s="44"/>
      <c r="Q416" s="44"/>
      <c r="R416" s="44"/>
      <c r="S416" s="44">
        <f t="shared" si="56"/>
        <v>0</v>
      </c>
      <c r="T416" s="44">
        <f t="shared" si="51"/>
        <v>0</v>
      </c>
      <c r="U416">
        <v>0</v>
      </c>
      <c r="V416" s="43">
        <v>0</v>
      </c>
      <c r="W416" s="44">
        <f t="shared" si="52"/>
        <v>0</v>
      </c>
      <c r="X416" s="44">
        <f t="shared" si="53"/>
        <v>0</v>
      </c>
      <c r="Y416" s="44">
        <f t="shared" si="54"/>
        <v>0</v>
      </c>
      <c r="Z416" s="84"/>
      <c r="AA416" s="78"/>
      <c r="AB416" s="78"/>
      <c r="AC416" s="78"/>
      <c r="AD416" s="78"/>
      <c r="AE416" s="78"/>
    </row>
    <row r="417" spans="1:31" ht="12.75">
      <c r="A417"/>
      <c r="B417"/>
      <c r="C417"/>
      <c r="D417"/>
      <c r="E417"/>
      <c r="F417"/>
      <c r="G417"/>
      <c r="H417"/>
      <c r="I417"/>
      <c r="J417"/>
      <c r="K417" s="100">
        <f t="shared" si="55"/>
        <v>0</v>
      </c>
      <c r="L417" s="95"/>
      <c r="M417" s="90">
        <f t="shared" si="49"/>
        <v>0</v>
      </c>
      <c r="N417" s="56">
        <v>0</v>
      </c>
      <c r="O417" s="44">
        <f t="shared" si="50"/>
        <v>0</v>
      </c>
      <c r="P417" s="44"/>
      <c r="Q417" s="44"/>
      <c r="R417" s="44"/>
      <c r="S417" s="44">
        <f t="shared" si="56"/>
        <v>0</v>
      </c>
      <c r="T417" s="44">
        <f t="shared" si="51"/>
        <v>0</v>
      </c>
      <c r="U417">
        <v>0</v>
      </c>
      <c r="V417" s="43">
        <v>0</v>
      </c>
      <c r="W417" s="44">
        <f t="shared" si="52"/>
        <v>0</v>
      </c>
      <c r="X417" s="44">
        <f t="shared" si="53"/>
        <v>0</v>
      </c>
      <c r="Y417" s="44">
        <f t="shared" si="54"/>
        <v>0</v>
      </c>
      <c r="Z417" s="84"/>
      <c r="AA417" s="78"/>
      <c r="AB417" s="78"/>
      <c r="AC417" s="78"/>
      <c r="AD417" s="78"/>
      <c r="AE417" s="78"/>
    </row>
    <row r="418" spans="1:31" ht="12.75">
      <c r="A418"/>
      <c r="B418"/>
      <c r="C418"/>
      <c r="D418"/>
      <c r="E418"/>
      <c r="F418"/>
      <c r="G418"/>
      <c r="H418"/>
      <c r="I418"/>
      <c r="J418"/>
      <c r="K418" s="100">
        <f t="shared" si="55"/>
        <v>0</v>
      </c>
      <c r="L418" s="95"/>
      <c r="M418" s="90">
        <f t="shared" si="49"/>
        <v>0</v>
      </c>
      <c r="N418" s="56">
        <v>0</v>
      </c>
      <c r="O418" s="44">
        <f t="shared" si="50"/>
        <v>0</v>
      </c>
      <c r="P418" s="44"/>
      <c r="Q418" s="44"/>
      <c r="R418" s="44"/>
      <c r="S418" s="44">
        <f t="shared" si="56"/>
        <v>0</v>
      </c>
      <c r="T418" s="44">
        <f t="shared" si="51"/>
        <v>0</v>
      </c>
      <c r="U418">
        <v>0</v>
      </c>
      <c r="V418" s="43">
        <v>0</v>
      </c>
      <c r="W418" s="44">
        <f t="shared" si="52"/>
        <v>0</v>
      </c>
      <c r="X418" s="44">
        <f t="shared" si="53"/>
        <v>0</v>
      </c>
      <c r="Y418" s="44">
        <f t="shared" si="54"/>
        <v>0</v>
      </c>
      <c r="Z418" s="84"/>
      <c r="AA418" s="78"/>
      <c r="AB418" s="78"/>
      <c r="AC418" s="78"/>
      <c r="AD418" s="78"/>
      <c r="AE418" s="78"/>
    </row>
    <row r="419" spans="1:31" ht="12.75">
      <c r="A419"/>
      <c r="B419"/>
      <c r="C419"/>
      <c r="D419"/>
      <c r="E419"/>
      <c r="F419"/>
      <c r="G419"/>
      <c r="H419"/>
      <c r="I419"/>
      <c r="J419"/>
      <c r="K419" s="100">
        <f t="shared" si="55"/>
        <v>0</v>
      </c>
      <c r="L419" s="95"/>
      <c r="M419" s="90">
        <f t="shared" si="49"/>
        <v>0</v>
      </c>
      <c r="N419" s="56">
        <v>0</v>
      </c>
      <c r="O419" s="44">
        <f t="shared" si="50"/>
        <v>0</v>
      </c>
      <c r="P419" s="44"/>
      <c r="Q419" s="44"/>
      <c r="R419" s="44"/>
      <c r="S419" s="44">
        <f t="shared" si="56"/>
        <v>0</v>
      </c>
      <c r="T419" s="44">
        <f t="shared" si="51"/>
        <v>0</v>
      </c>
      <c r="U419">
        <v>0</v>
      </c>
      <c r="V419" s="43">
        <v>0</v>
      </c>
      <c r="W419" s="44">
        <f t="shared" si="52"/>
        <v>0</v>
      </c>
      <c r="X419" s="44">
        <f t="shared" si="53"/>
        <v>0</v>
      </c>
      <c r="Y419" s="44">
        <f t="shared" si="54"/>
        <v>0</v>
      </c>
      <c r="Z419" s="84"/>
      <c r="AA419" s="78"/>
      <c r="AB419" s="78"/>
      <c r="AC419" s="78"/>
      <c r="AD419" s="78"/>
      <c r="AE419" s="78"/>
    </row>
    <row r="420" spans="1:31" ht="12.75">
      <c r="A420"/>
      <c r="B420"/>
      <c r="C420"/>
      <c r="D420"/>
      <c r="E420"/>
      <c r="F420"/>
      <c r="G420"/>
      <c r="H420"/>
      <c r="I420"/>
      <c r="J420"/>
      <c r="K420" s="100">
        <f t="shared" si="55"/>
        <v>0</v>
      </c>
      <c r="L420" s="95"/>
      <c r="M420" s="90">
        <f t="shared" si="49"/>
        <v>0</v>
      </c>
      <c r="N420" s="56">
        <v>0</v>
      </c>
      <c r="O420" s="44">
        <f t="shared" si="50"/>
        <v>0</v>
      </c>
      <c r="P420" s="44"/>
      <c r="Q420" s="44"/>
      <c r="R420" s="44"/>
      <c r="S420" s="44">
        <f t="shared" si="56"/>
        <v>0</v>
      </c>
      <c r="T420" s="44">
        <f t="shared" si="51"/>
        <v>0</v>
      </c>
      <c r="U420">
        <v>0</v>
      </c>
      <c r="V420" s="43">
        <v>0</v>
      </c>
      <c r="W420" s="44">
        <f t="shared" si="52"/>
        <v>0</v>
      </c>
      <c r="X420" s="44">
        <f t="shared" si="53"/>
        <v>0</v>
      </c>
      <c r="Y420" s="44">
        <f t="shared" si="54"/>
        <v>0</v>
      </c>
      <c r="Z420" s="84"/>
      <c r="AA420" s="78"/>
      <c r="AB420" s="78"/>
      <c r="AC420" s="78"/>
      <c r="AD420" s="78"/>
      <c r="AE420" s="78"/>
    </row>
    <row r="421" spans="1:31" ht="12.75">
      <c r="A421"/>
      <c r="B421"/>
      <c r="C421"/>
      <c r="D421"/>
      <c r="E421"/>
      <c r="F421"/>
      <c r="G421"/>
      <c r="H421"/>
      <c r="I421"/>
      <c r="J421"/>
      <c r="K421" s="100">
        <f t="shared" si="55"/>
        <v>0</v>
      </c>
      <c r="L421" s="95"/>
      <c r="M421" s="90">
        <f t="shared" si="49"/>
        <v>0</v>
      </c>
      <c r="N421" s="56">
        <v>0</v>
      </c>
      <c r="O421" s="44">
        <f t="shared" si="50"/>
        <v>0</v>
      </c>
      <c r="P421" s="44"/>
      <c r="Q421" s="44"/>
      <c r="R421" s="44"/>
      <c r="S421" s="44">
        <f t="shared" si="56"/>
        <v>0</v>
      </c>
      <c r="T421" s="44">
        <f t="shared" si="51"/>
        <v>0</v>
      </c>
      <c r="U421">
        <v>0</v>
      </c>
      <c r="V421" s="43">
        <v>0</v>
      </c>
      <c r="W421" s="44">
        <f t="shared" si="52"/>
        <v>0</v>
      </c>
      <c r="X421" s="44">
        <f t="shared" si="53"/>
        <v>0</v>
      </c>
      <c r="Y421" s="44">
        <f t="shared" si="54"/>
        <v>0</v>
      </c>
      <c r="Z421" s="84"/>
      <c r="AA421" s="78"/>
      <c r="AB421" s="78"/>
      <c r="AC421" s="78"/>
      <c r="AD421" s="78"/>
      <c r="AE421" s="78"/>
    </row>
    <row r="422" spans="1:31" ht="12.75">
      <c r="A422"/>
      <c r="B422"/>
      <c r="C422"/>
      <c r="D422"/>
      <c r="E422"/>
      <c r="F422"/>
      <c r="G422"/>
      <c r="H422"/>
      <c r="I422"/>
      <c r="J422"/>
      <c r="K422" s="100">
        <f t="shared" si="55"/>
        <v>0</v>
      </c>
      <c r="L422" s="95"/>
      <c r="M422" s="90">
        <f t="shared" si="49"/>
        <v>0</v>
      </c>
      <c r="N422" s="56">
        <v>0</v>
      </c>
      <c r="O422" s="44">
        <f t="shared" si="50"/>
        <v>0</v>
      </c>
      <c r="P422" s="44"/>
      <c r="Q422" s="44"/>
      <c r="R422" s="44"/>
      <c r="S422" s="44">
        <f t="shared" si="56"/>
        <v>0</v>
      </c>
      <c r="T422" s="44">
        <f t="shared" si="51"/>
        <v>0</v>
      </c>
      <c r="U422">
        <v>0</v>
      </c>
      <c r="V422" s="43">
        <v>0</v>
      </c>
      <c r="W422" s="44">
        <f t="shared" si="52"/>
        <v>0</v>
      </c>
      <c r="X422" s="44">
        <f t="shared" si="53"/>
        <v>0</v>
      </c>
      <c r="Y422" s="44">
        <f t="shared" si="54"/>
        <v>0</v>
      </c>
      <c r="Z422" s="84"/>
      <c r="AA422" s="78"/>
      <c r="AB422" s="78"/>
      <c r="AC422" s="78"/>
      <c r="AD422" s="78"/>
      <c r="AE422" s="78"/>
    </row>
    <row r="423" spans="1:31" ht="12.75">
      <c r="A423"/>
      <c r="B423"/>
      <c r="C423"/>
      <c r="D423"/>
      <c r="E423"/>
      <c r="F423"/>
      <c r="G423"/>
      <c r="H423"/>
      <c r="I423"/>
      <c r="J423"/>
      <c r="K423" s="100">
        <f t="shared" si="55"/>
        <v>0</v>
      </c>
      <c r="L423" s="95"/>
      <c r="M423" s="90">
        <f t="shared" si="49"/>
        <v>0</v>
      </c>
      <c r="N423" s="56">
        <v>0</v>
      </c>
      <c r="O423" s="44">
        <f t="shared" si="50"/>
        <v>0</v>
      </c>
      <c r="P423" s="44"/>
      <c r="Q423" s="44"/>
      <c r="R423" s="44"/>
      <c r="S423" s="44">
        <f t="shared" si="56"/>
        <v>0</v>
      </c>
      <c r="T423" s="44">
        <f t="shared" si="51"/>
        <v>0</v>
      </c>
      <c r="U423">
        <v>0</v>
      </c>
      <c r="V423" s="43">
        <v>0</v>
      </c>
      <c r="W423" s="44">
        <f t="shared" si="52"/>
        <v>0</v>
      </c>
      <c r="X423" s="44">
        <f t="shared" si="53"/>
        <v>0</v>
      </c>
      <c r="Y423" s="44">
        <f t="shared" si="54"/>
        <v>0</v>
      </c>
      <c r="Z423" s="84"/>
      <c r="AA423" s="78"/>
      <c r="AB423" s="78"/>
      <c r="AC423" s="78"/>
      <c r="AD423" s="78"/>
      <c r="AE423" s="78"/>
    </row>
    <row r="424" spans="1:31" ht="12.75">
      <c r="A424"/>
      <c r="B424"/>
      <c r="C424"/>
      <c r="D424"/>
      <c r="E424"/>
      <c r="F424"/>
      <c r="G424"/>
      <c r="H424"/>
      <c r="I424"/>
      <c r="J424"/>
      <c r="K424" s="100">
        <f t="shared" si="55"/>
        <v>0</v>
      </c>
      <c r="L424" s="95"/>
      <c r="M424" s="90">
        <f t="shared" si="49"/>
        <v>0</v>
      </c>
      <c r="N424" s="56">
        <v>0</v>
      </c>
      <c r="O424" s="44">
        <f t="shared" si="50"/>
        <v>0</v>
      </c>
      <c r="P424" s="44"/>
      <c r="Q424" s="44"/>
      <c r="R424" s="44"/>
      <c r="S424" s="44">
        <f t="shared" si="56"/>
        <v>0</v>
      </c>
      <c r="T424" s="44">
        <f t="shared" si="51"/>
        <v>0</v>
      </c>
      <c r="U424">
        <v>0</v>
      </c>
      <c r="V424" s="43">
        <v>0</v>
      </c>
      <c r="W424" s="44">
        <f t="shared" si="52"/>
        <v>0</v>
      </c>
      <c r="X424" s="44">
        <f t="shared" si="53"/>
        <v>0</v>
      </c>
      <c r="Y424" s="44">
        <f t="shared" si="54"/>
        <v>0</v>
      </c>
      <c r="Z424" s="84"/>
      <c r="AA424" s="78"/>
      <c r="AB424" s="78"/>
      <c r="AC424" s="78"/>
      <c r="AD424" s="78"/>
      <c r="AE424" s="78"/>
    </row>
    <row r="425" spans="1:31" ht="12.75">
      <c r="A425"/>
      <c r="B425"/>
      <c r="C425"/>
      <c r="D425"/>
      <c r="E425"/>
      <c r="F425"/>
      <c r="G425"/>
      <c r="H425"/>
      <c r="I425"/>
      <c r="J425"/>
      <c r="K425" s="100">
        <f t="shared" si="55"/>
        <v>0</v>
      </c>
      <c r="L425" s="95"/>
      <c r="M425" s="90">
        <f t="shared" si="49"/>
        <v>0</v>
      </c>
      <c r="N425" s="56">
        <v>0</v>
      </c>
      <c r="O425" s="44">
        <f t="shared" si="50"/>
        <v>0</v>
      </c>
      <c r="P425" s="44"/>
      <c r="Q425" s="44"/>
      <c r="R425" s="44"/>
      <c r="S425" s="44">
        <f t="shared" si="56"/>
        <v>0</v>
      </c>
      <c r="T425" s="44">
        <f t="shared" si="51"/>
        <v>0</v>
      </c>
      <c r="U425">
        <v>0</v>
      </c>
      <c r="V425" s="43">
        <v>0</v>
      </c>
      <c r="W425" s="44">
        <f t="shared" si="52"/>
        <v>0</v>
      </c>
      <c r="X425" s="44">
        <f t="shared" si="53"/>
        <v>0</v>
      </c>
      <c r="Y425" s="44">
        <f t="shared" si="54"/>
        <v>0</v>
      </c>
      <c r="Z425" s="84"/>
      <c r="AA425" s="78"/>
      <c r="AB425" s="78"/>
      <c r="AC425" s="78"/>
      <c r="AD425" s="78"/>
      <c r="AE425" s="78"/>
    </row>
    <row r="426" spans="1:31" ht="12.75">
      <c r="A426"/>
      <c r="B426"/>
      <c r="C426"/>
      <c r="D426"/>
      <c r="E426"/>
      <c r="F426"/>
      <c r="G426"/>
      <c r="H426"/>
      <c r="I426"/>
      <c r="J426"/>
      <c r="K426" s="100">
        <f t="shared" si="55"/>
        <v>0</v>
      </c>
      <c r="L426" s="95"/>
      <c r="M426" s="90">
        <f t="shared" si="49"/>
        <v>0</v>
      </c>
      <c r="N426" s="56">
        <v>0</v>
      </c>
      <c r="O426" s="44">
        <f t="shared" si="50"/>
        <v>0</v>
      </c>
      <c r="P426" s="44"/>
      <c r="Q426" s="44"/>
      <c r="R426" s="44"/>
      <c r="S426" s="44">
        <f t="shared" si="56"/>
        <v>0</v>
      </c>
      <c r="T426" s="44">
        <f t="shared" si="51"/>
        <v>0</v>
      </c>
      <c r="U426">
        <v>0</v>
      </c>
      <c r="V426" s="43">
        <v>0</v>
      </c>
      <c r="W426" s="44">
        <f t="shared" si="52"/>
        <v>0</v>
      </c>
      <c r="X426" s="44">
        <f t="shared" si="53"/>
        <v>0</v>
      </c>
      <c r="Y426" s="44">
        <f t="shared" si="54"/>
        <v>0</v>
      </c>
      <c r="Z426" s="84"/>
      <c r="AA426" s="78"/>
      <c r="AB426" s="78"/>
      <c r="AC426" s="78"/>
      <c r="AD426" s="78"/>
      <c r="AE426" s="78"/>
    </row>
    <row r="427" spans="1:31" ht="12.75">
      <c r="A427"/>
      <c r="B427"/>
      <c r="C427"/>
      <c r="D427"/>
      <c r="E427"/>
      <c r="F427"/>
      <c r="G427"/>
      <c r="H427"/>
      <c r="I427"/>
      <c r="J427"/>
      <c r="K427" s="100">
        <f t="shared" si="55"/>
        <v>0</v>
      </c>
      <c r="L427" s="95"/>
      <c r="M427" s="90">
        <f t="shared" si="49"/>
        <v>0</v>
      </c>
      <c r="N427" s="56">
        <v>0</v>
      </c>
      <c r="O427" s="44">
        <f t="shared" si="50"/>
        <v>0</v>
      </c>
      <c r="P427" s="44"/>
      <c r="Q427" s="44"/>
      <c r="R427" s="44"/>
      <c r="S427" s="44">
        <f t="shared" si="56"/>
        <v>0</v>
      </c>
      <c r="T427" s="44">
        <f t="shared" si="51"/>
        <v>0</v>
      </c>
      <c r="U427">
        <v>0</v>
      </c>
      <c r="V427" s="43">
        <v>0</v>
      </c>
      <c r="W427" s="44">
        <f t="shared" si="52"/>
        <v>0</v>
      </c>
      <c r="X427" s="44">
        <f t="shared" si="53"/>
        <v>0</v>
      </c>
      <c r="Y427" s="44">
        <f t="shared" si="54"/>
        <v>0</v>
      </c>
      <c r="Z427" s="84"/>
      <c r="AA427" s="78"/>
      <c r="AB427" s="78"/>
      <c r="AC427" s="78"/>
      <c r="AD427" s="78"/>
      <c r="AE427" s="78"/>
    </row>
    <row r="428" spans="1:31" ht="12.75">
      <c r="A428"/>
      <c r="B428"/>
      <c r="C428"/>
      <c r="D428"/>
      <c r="E428"/>
      <c r="F428"/>
      <c r="G428"/>
      <c r="H428"/>
      <c r="I428"/>
      <c r="J428"/>
      <c r="K428" s="100">
        <f t="shared" si="55"/>
        <v>0</v>
      </c>
      <c r="L428" s="95"/>
      <c r="M428" s="90">
        <f t="shared" si="49"/>
        <v>0</v>
      </c>
      <c r="N428" s="56">
        <v>0</v>
      </c>
      <c r="O428" s="44">
        <f t="shared" si="50"/>
        <v>0</v>
      </c>
      <c r="P428" s="44"/>
      <c r="Q428" s="44"/>
      <c r="R428" s="44"/>
      <c r="S428" s="44">
        <f t="shared" si="56"/>
        <v>0</v>
      </c>
      <c r="T428" s="44">
        <f t="shared" si="51"/>
        <v>0</v>
      </c>
      <c r="U428">
        <v>0</v>
      </c>
      <c r="V428" s="43">
        <v>0</v>
      </c>
      <c r="W428" s="44">
        <f t="shared" si="52"/>
        <v>0</v>
      </c>
      <c r="X428" s="44">
        <f t="shared" si="53"/>
        <v>0</v>
      </c>
      <c r="Y428" s="44">
        <f t="shared" si="54"/>
        <v>0</v>
      </c>
      <c r="Z428" s="84"/>
      <c r="AA428" s="78"/>
      <c r="AB428" s="78"/>
      <c r="AC428" s="78"/>
      <c r="AD428" s="78"/>
      <c r="AE428" s="78"/>
    </row>
    <row r="429" spans="1:31" ht="12.75">
      <c r="A429"/>
      <c r="B429"/>
      <c r="C429"/>
      <c r="D429"/>
      <c r="E429"/>
      <c r="F429"/>
      <c r="G429"/>
      <c r="H429"/>
      <c r="I429"/>
      <c r="J429"/>
      <c r="K429" s="100">
        <f t="shared" si="55"/>
        <v>0</v>
      </c>
      <c r="L429" s="95"/>
      <c r="M429" s="90">
        <f t="shared" si="49"/>
        <v>0</v>
      </c>
      <c r="N429" s="56">
        <v>0</v>
      </c>
      <c r="O429" s="44">
        <f t="shared" si="50"/>
        <v>0</v>
      </c>
      <c r="P429" s="44"/>
      <c r="Q429" s="44"/>
      <c r="R429" s="44"/>
      <c r="S429" s="44">
        <f t="shared" si="56"/>
        <v>0</v>
      </c>
      <c r="T429" s="44">
        <f t="shared" si="51"/>
        <v>0</v>
      </c>
      <c r="U429">
        <v>0</v>
      </c>
      <c r="V429" s="43">
        <v>0</v>
      </c>
      <c r="W429" s="44">
        <f t="shared" si="52"/>
        <v>0</v>
      </c>
      <c r="X429" s="44">
        <f t="shared" si="53"/>
        <v>0</v>
      </c>
      <c r="Y429" s="44">
        <f t="shared" si="54"/>
        <v>0</v>
      </c>
      <c r="Z429" s="84"/>
      <c r="AA429" s="78"/>
      <c r="AB429" s="78"/>
      <c r="AC429" s="78"/>
      <c r="AD429" s="78"/>
      <c r="AE429" s="78"/>
    </row>
    <row r="430" spans="1:31" ht="12.75">
      <c r="A430"/>
      <c r="B430"/>
      <c r="C430"/>
      <c r="D430"/>
      <c r="E430"/>
      <c r="F430"/>
      <c r="G430"/>
      <c r="H430"/>
      <c r="I430"/>
      <c r="J430"/>
      <c r="K430" s="100">
        <f t="shared" si="55"/>
        <v>0</v>
      </c>
      <c r="L430" s="95"/>
      <c r="M430" s="90">
        <f t="shared" si="49"/>
        <v>0</v>
      </c>
      <c r="N430" s="56">
        <v>0</v>
      </c>
      <c r="O430" s="44">
        <f t="shared" si="50"/>
        <v>0</v>
      </c>
      <c r="P430" s="44"/>
      <c r="Q430" s="44"/>
      <c r="R430" s="44"/>
      <c r="S430" s="44">
        <f t="shared" si="56"/>
        <v>0</v>
      </c>
      <c r="T430" s="44">
        <f t="shared" si="51"/>
        <v>0</v>
      </c>
      <c r="U430">
        <v>0</v>
      </c>
      <c r="V430" s="43">
        <v>0</v>
      </c>
      <c r="W430" s="44">
        <f t="shared" si="52"/>
        <v>0</v>
      </c>
      <c r="X430" s="44">
        <f t="shared" si="53"/>
        <v>0</v>
      </c>
      <c r="Y430" s="44">
        <f t="shared" si="54"/>
        <v>0</v>
      </c>
      <c r="Z430" s="84"/>
      <c r="AA430" s="78"/>
      <c r="AB430" s="78"/>
      <c r="AC430" s="78"/>
      <c r="AD430" s="78"/>
      <c r="AE430" s="78"/>
    </row>
    <row r="431" spans="1:31" ht="12.75">
      <c r="A431"/>
      <c r="B431"/>
      <c r="C431"/>
      <c r="D431"/>
      <c r="E431"/>
      <c r="F431"/>
      <c r="G431"/>
      <c r="H431"/>
      <c r="I431"/>
      <c r="J431"/>
      <c r="K431" s="100">
        <f t="shared" si="55"/>
        <v>0</v>
      </c>
      <c r="L431" s="95"/>
      <c r="M431" s="90">
        <f t="shared" si="49"/>
        <v>0</v>
      </c>
      <c r="N431" s="56">
        <v>0</v>
      </c>
      <c r="O431" s="44">
        <f t="shared" si="50"/>
        <v>0</v>
      </c>
      <c r="P431" s="44"/>
      <c r="Q431" s="44"/>
      <c r="R431" s="44"/>
      <c r="S431" s="44">
        <f t="shared" si="56"/>
        <v>0</v>
      </c>
      <c r="T431" s="44">
        <f t="shared" si="51"/>
        <v>0</v>
      </c>
      <c r="U431">
        <v>0</v>
      </c>
      <c r="V431" s="43">
        <v>0</v>
      </c>
      <c r="W431" s="44">
        <f t="shared" si="52"/>
        <v>0</v>
      </c>
      <c r="X431" s="44">
        <f t="shared" si="53"/>
        <v>0</v>
      </c>
      <c r="Y431" s="44">
        <f t="shared" si="54"/>
        <v>0</v>
      </c>
      <c r="Z431" s="84"/>
      <c r="AA431" s="78"/>
      <c r="AB431" s="78"/>
      <c r="AC431" s="78"/>
      <c r="AD431" s="78"/>
      <c r="AE431" s="78"/>
    </row>
    <row r="432" spans="1:31" ht="12.75">
      <c r="A432"/>
      <c r="B432"/>
      <c r="C432"/>
      <c r="D432"/>
      <c r="E432"/>
      <c r="F432"/>
      <c r="G432"/>
      <c r="H432"/>
      <c r="I432"/>
      <c r="J432"/>
      <c r="K432" s="100">
        <f t="shared" si="55"/>
        <v>0</v>
      </c>
      <c r="L432" s="95"/>
      <c r="M432" s="90">
        <f t="shared" si="49"/>
        <v>0</v>
      </c>
      <c r="N432" s="56">
        <v>0</v>
      </c>
      <c r="O432" s="44">
        <f t="shared" si="50"/>
        <v>0</v>
      </c>
      <c r="P432" s="44"/>
      <c r="Q432" s="44"/>
      <c r="R432" s="44"/>
      <c r="S432" s="44">
        <f t="shared" si="56"/>
        <v>0</v>
      </c>
      <c r="T432" s="44">
        <f t="shared" si="51"/>
        <v>0</v>
      </c>
      <c r="U432">
        <v>0</v>
      </c>
      <c r="V432" s="43">
        <v>0</v>
      </c>
      <c r="W432" s="44">
        <f t="shared" si="52"/>
        <v>0</v>
      </c>
      <c r="X432" s="44">
        <f t="shared" si="53"/>
        <v>0</v>
      </c>
      <c r="Y432" s="44">
        <f t="shared" si="54"/>
        <v>0</v>
      </c>
      <c r="Z432" s="84"/>
      <c r="AA432" s="78"/>
      <c r="AB432" s="78"/>
      <c r="AC432" s="78"/>
      <c r="AD432" s="78"/>
      <c r="AE432" s="78"/>
    </row>
    <row r="433" spans="1:31" ht="12.75">
      <c r="A433"/>
      <c r="B433"/>
      <c r="C433"/>
      <c r="D433"/>
      <c r="E433"/>
      <c r="F433"/>
      <c r="G433"/>
      <c r="H433"/>
      <c r="I433"/>
      <c r="J433"/>
      <c r="K433" s="100">
        <f t="shared" si="55"/>
        <v>0</v>
      </c>
      <c r="L433" s="95"/>
      <c r="M433" s="90">
        <f t="shared" si="49"/>
        <v>0</v>
      </c>
      <c r="N433" s="56">
        <v>0</v>
      </c>
      <c r="O433" s="44">
        <f t="shared" si="50"/>
        <v>0</v>
      </c>
      <c r="P433" s="44"/>
      <c r="Q433" s="44"/>
      <c r="R433" s="44"/>
      <c r="S433" s="44">
        <f t="shared" si="56"/>
        <v>0</v>
      </c>
      <c r="T433" s="44">
        <f t="shared" si="51"/>
        <v>0</v>
      </c>
      <c r="U433">
        <v>0</v>
      </c>
      <c r="V433" s="43">
        <v>0</v>
      </c>
      <c r="W433" s="44">
        <f t="shared" si="52"/>
        <v>0</v>
      </c>
      <c r="X433" s="44">
        <f t="shared" si="53"/>
        <v>0</v>
      </c>
      <c r="Y433" s="44">
        <f t="shared" si="54"/>
        <v>0</v>
      </c>
      <c r="Z433" s="84"/>
      <c r="AA433" s="78"/>
      <c r="AB433" s="78"/>
      <c r="AC433" s="78"/>
      <c r="AD433" s="78"/>
      <c r="AE433" s="78"/>
    </row>
    <row r="434" spans="1:31" ht="12.75">
      <c r="A434"/>
      <c r="B434"/>
      <c r="C434"/>
      <c r="D434"/>
      <c r="E434"/>
      <c r="F434"/>
      <c r="G434"/>
      <c r="H434"/>
      <c r="I434"/>
      <c r="J434"/>
      <c r="K434" s="100">
        <f t="shared" si="55"/>
        <v>0</v>
      </c>
      <c r="L434" s="95"/>
      <c r="M434" s="90">
        <f t="shared" si="49"/>
        <v>0</v>
      </c>
      <c r="N434" s="56">
        <v>0</v>
      </c>
      <c r="O434" s="44">
        <f t="shared" si="50"/>
        <v>0</v>
      </c>
      <c r="P434" s="44"/>
      <c r="Q434" s="44"/>
      <c r="R434" s="44"/>
      <c r="S434" s="44">
        <f t="shared" si="56"/>
        <v>0</v>
      </c>
      <c r="T434" s="44">
        <f t="shared" si="51"/>
        <v>0</v>
      </c>
      <c r="U434">
        <v>0</v>
      </c>
      <c r="V434" s="43">
        <v>0</v>
      </c>
      <c r="W434" s="44">
        <f t="shared" si="52"/>
        <v>0</v>
      </c>
      <c r="X434" s="44">
        <f t="shared" si="53"/>
        <v>0</v>
      </c>
      <c r="Y434" s="44">
        <f t="shared" si="54"/>
        <v>0</v>
      </c>
      <c r="Z434" s="84"/>
      <c r="AA434" s="78"/>
      <c r="AB434" s="78"/>
      <c r="AC434" s="78"/>
      <c r="AD434" s="78"/>
      <c r="AE434" s="78"/>
    </row>
    <row r="435" spans="1:31" ht="12.75">
      <c r="A435"/>
      <c r="B435"/>
      <c r="C435"/>
      <c r="D435"/>
      <c r="E435"/>
      <c r="F435"/>
      <c r="G435"/>
      <c r="H435"/>
      <c r="I435"/>
      <c r="J435"/>
      <c r="K435" s="100">
        <f t="shared" si="55"/>
        <v>0</v>
      </c>
      <c r="L435" s="95"/>
      <c r="M435" s="90">
        <f t="shared" si="49"/>
        <v>0</v>
      </c>
      <c r="N435" s="56">
        <v>0</v>
      </c>
      <c r="O435" s="44">
        <f t="shared" si="50"/>
        <v>0</v>
      </c>
      <c r="P435" s="44"/>
      <c r="Q435" s="44"/>
      <c r="R435" s="44"/>
      <c r="S435" s="44">
        <f t="shared" si="56"/>
        <v>0</v>
      </c>
      <c r="T435" s="44">
        <f t="shared" si="51"/>
        <v>0</v>
      </c>
      <c r="U435">
        <v>0</v>
      </c>
      <c r="V435" s="43">
        <v>0</v>
      </c>
      <c r="W435" s="44">
        <f t="shared" si="52"/>
        <v>0</v>
      </c>
      <c r="X435" s="44">
        <f t="shared" si="53"/>
        <v>0</v>
      </c>
      <c r="Y435" s="44">
        <f t="shared" si="54"/>
        <v>0</v>
      </c>
      <c r="Z435" s="84"/>
      <c r="AA435" s="78"/>
      <c r="AB435" s="78"/>
      <c r="AC435" s="78"/>
      <c r="AD435" s="78"/>
      <c r="AE435" s="78"/>
    </row>
    <row r="436" spans="1:31" ht="12.75">
      <c r="A436"/>
      <c r="B436"/>
      <c r="C436"/>
      <c r="D436"/>
      <c r="E436"/>
      <c r="F436"/>
      <c r="G436"/>
      <c r="H436"/>
      <c r="I436"/>
      <c r="J436"/>
      <c r="K436" s="100">
        <f t="shared" si="55"/>
        <v>0</v>
      </c>
      <c r="L436" s="95"/>
      <c r="M436" s="90">
        <f t="shared" si="49"/>
        <v>0</v>
      </c>
      <c r="N436" s="56">
        <v>0</v>
      </c>
      <c r="O436" s="44">
        <f t="shared" si="50"/>
        <v>0</v>
      </c>
      <c r="P436" s="44"/>
      <c r="Q436" s="44"/>
      <c r="R436" s="44"/>
      <c r="S436" s="44">
        <f t="shared" si="56"/>
        <v>0</v>
      </c>
      <c r="T436" s="44">
        <f t="shared" si="51"/>
        <v>0</v>
      </c>
      <c r="U436">
        <v>0</v>
      </c>
      <c r="V436" s="43">
        <v>0</v>
      </c>
      <c r="W436" s="44">
        <f t="shared" si="52"/>
        <v>0</v>
      </c>
      <c r="X436" s="44">
        <f t="shared" si="53"/>
        <v>0</v>
      </c>
      <c r="Y436" s="44">
        <f t="shared" si="54"/>
        <v>0</v>
      </c>
      <c r="Z436" s="84"/>
      <c r="AA436" s="78"/>
      <c r="AB436" s="78"/>
      <c r="AC436" s="78"/>
      <c r="AD436" s="78"/>
      <c r="AE436" s="78"/>
    </row>
    <row r="437" spans="1:31" ht="12.75">
      <c r="A437"/>
      <c r="B437"/>
      <c r="C437"/>
      <c r="D437"/>
      <c r="E437"/>
      <c r="F437"/>
      <c r="G437"/>
      <c r="H437"/>
      <c r="I437"/>
      <c r="J437"/>
      <c r="K437" s="100">
        <f t="shared" si="55"/>
        <v>0</v>
      </c>
      <c r="L437" s="95"/>
      <c r="M437" s="90">
        <f t="shared" si="49"/>
        <v>0</v>
      </c>
      <c r="N437" s="56">
        <v>0</v>
      </c>
      <c r="O437" s="44">
        <f t="shared" si="50"/>
        <v>0</v>
      </c>
      <c r="P437" s="44"/>
      <c r="Q437" s="44"/>
      <c r="R437" s="44"/>
      <c r="S437" s="44">
        <f t="shared" si="56"/>
        <v>0</v>
      </c>
      <c r="T437" s="44">
        <f t="shared" si="51"/>
        <v>0</v>
      </c>
      <c r="U437">
        <v>0</v>
      </c>
      <c r="V437" s="43">
        <v>0</v>
      </c>
      <c r="W437" s="44">
        <f t="shared" si="52"/>
        <v>0</v>
      </c>
      <c r="X437" s="44">
        <f t="shared" si="53"/>
        <v>0</v>
      </c>
      <c r="Y437" s="44">
        <f t="shared" si="54"/>
        <v>0</v>
      </c>
      <c r="Z437" s="84"/>
      <c r="AA437" s="78"/>
      <c r="AB437" s="78"/>
      <c r="AC437" s="78"/>
      <c r="AD437" s="78"/>
      <c r="AE437" s="78"/>
    </row>
    <row r="438" spans="1:31" ht="12.75">
      <c r="A438"/>
      <c r="B438"/>
      <c r="C438"/>
      <c r="D438"/>
      <c r="E438"/>
      <c r="F438"/>
      <c r="G438"/>
      <c r="H438"/>
      <c r="I438"/>
      <c r="J438"/>
      <c r="K438" s="100">
        <f t="shared" si="55"/>
        <v>0</v>
      </c>
      <c r="L438" s="95"/>
      <c r="M438" s="90">
        <f t="shared" si="49"/>
        <v>0</v>
      </c>
      <c r="N438" s="56">
        <v>0</v>
      </c>
      <c r="O438" s="44">
        <f t="shared" si="50"/>
        <v>0</v>
      </c>
      <c r="P438" s="44"/>
      <c r="Q438" s="44"/>
      <c r="R438" s="44"/>
      <c r="S438" s="44">
        <f t="shared" si="56"/>
        <v>0</v>
      </c>
      <c r="T438" s="44">
        <f t="shared" si="51"/>
        <v>0</v>
      </c>
      <c r="U438">
        <v>0</v>
      </c>
      <c r="V438" s="43">
        <v>0</v>
      </c>
      <c r="W438" s="44">
        <f t="shared" si="52"/>
        <v>0</v>
      </c>
      <c r="X438" s="44">
        <f t="shared" si="53"/>
        <v>0</v>
      </c>
      <c r="Y438" s="44">
        <f t="shared" si="54"/>
        <v>0</v>
      </c>
      <c r="Z438" s="84"/>
      <c r="AA438" s="78"/>
      <c r="AB438" s="78"/>
      <c r="AC438" s="78"/>
      <c r="AD438" s="78"/>
      <c r="AE438" s="78"/>
    </row>
    <row r="439" spans="1:31" ht="12.75">
      <c r="A439"/>
      <c r="B439"/>
      <c r="C439"/>
      <c r="D439"/>
      <c r="E439"/>
      <c r="F439"/>
      <c r="G439"/>
      <c r="H439"/>
      <c r="I439"/>
      <c r="J439"/>
      <c r="K439" s="100">
        <f t="shared" si="55"/>
        <v>0</v>
      </c>
      <c r="L439" s="95"/>
      <c r="M439" s="90">
        <f t="shared" si="49"/>
        <v>0</v>
      </c>
      <c r="N439" s="56">
        <v>0</v>
      </c>
      <c r="O439" s="44">
        <f t="shared" si="50"/>
        <v>0</v>
      </c>
      <c r="P439" s="44"/>
      <c r="Q439" s="44"/>
      <c r="R439" s="44"/>
      <c r="S439" s="44">
        <f t="shared" si="56"/>
        <v>0</v>
      </c>
      <c r="T439" s="44">
        <f t="shared" si="51"/>
        <v>0</v>
      </c>
      <c r="U439">
        <v>0</v>
      </c>
      <c r="V439" s="43">
        <v>0</v>
      </c>
      <c r="W439" s="44">
        <f t="shared" si="52"/>
        <v>0</v>
      </c>
      <c r="X439" s="44">
        <f t="shared" si="53"/>
        <v>0</v>
      </c>
      <c r="Y439" s="44">
        <f t="shared" si="54"/>
        <v>0</v>
      </c>
      <c r="Z439" s="84"/>
      <c r="AA439" s="78"/>
      <c r="AB439" s="78"/>
      <c r="AC439" s="78"/>
      <c r="AD439" s="78"/>
      <c r="AE439" s="78"/>
    </row>
    <row r="440" spans="1:31" ht="12.75">
      <c r="A440"/>
      <c r="B440"/>
      <c r="C440"/>
      <c r="D440"/>
      <c r="E440"/>
      <c r="F440"/>
      <c r="G440"/>
      <c r="H440"/>
      <c r="I440"/>
      <c r="J440"/>
      <c r="K440" s="100">
        <f t="shared" si="55"/>
        <v>0</v>
      </c>
      <c r="L440" s="95"/>
      <c r="M440" s="90">
        <f t="shared" si="49"/>
        <v>0</v>
      </c>
      <c r="N440" s="56">
        <v>0</v>
      </c>
      <c r="O440" s="44">
        <f t="shared" si="50"/>
        <v>0</v>
      </c>
      <c r="P440" s="44"/>
      <c r="Q440" s="44"/>
      <c r="R440" s="44"/>
      <c r="S440" s="44">
        <f t="shared" si="56"/>
        <v>0</v>
      </c>
      <c r="T440" s="44">
        <f t="shared" si="51"/>
        <v>0</v>
      </c>
      <c r="U440">
        <v>0</v>
      </c>
      <c r="V440" s="43">
        <v>0</v>
      </c>
      <c r="W440" s="44">
        <f t="shared" si="52"/>
        <v>0</v>
      </c>
      <c r="X440" s="44">
        <f t="shared" si="53"/>
        <v>0</v>
      </c>
      <c r="Y440" s="44">
        <f t="shared" si="54"/>
        <v>0</v>
      </c>
      <c r="Z440" s="84"/>
      <c r="AA440" s="78"/>
      <c r="AB440" s="78"/>
      <c r="AC440" s="78"/>
      <c r="AD440" s="78"/>
      <c r="AE440" s="78"/>
    </row>
    <row r="441" spans="1:31" ht="12.75">
      <c r="A441"/>
      <c r="B441"/>
      <c r="C441"/>
      <c r="D441"/>
      <c r="E441"/>
      <c r="F441"/>
      <c r="G441"/>
      <c r="H441"/>
      <c r="I441"/>
      <c r="J441"/>
      <c r="K441" s="100">
        <f t="shared" si="55"/>
        <v>0</v>
      </c>
      <c r="L441" s="95"/>
      <c r="M441" s="90">
        <f t="shared" si="49"/>
        <v>0</v>
      </c>
      <c r="N441" s="56">
        <v>0</v>
      </c>
      <c r="O441" s="44">
        <f t="shared" si="50"/>
        <v>0</v>
      </c>
      <c r="P441" s="44"/>
      <c r="Q441" s="44"/>
      <c r="R441" s="44"/>
      <c r="S441" s="44">
        <f t="shared" si="56"/>
        <v>0</v>
      </c>
      <c r="T441" s="44">
        <f t="shared" si="51"/>
        <v>0</v>
      </c>
      <c r="U441">
        <v>0</v>
      </c>
      <c r="V441" s="43">
        <v>0</v>
      </c>
      <c r="W441" s="44">
        <f t="shared" si="52"/>
        <v>0</v>
      </c>
      <c r="X441" s="44">
        <f t="shared" si="53"/>
        <v>0</v>
      </c>
      <c r="Y441" s="44">
        <f t="shared" si="54"/>
        <v>0</v>
      </c>
      <c r="Z441" s="84"/>
      <c r="AA441" s="78"/>
      <c r="AB441" s="78"/>
      <c r="AC441" s="78"/>
      <c r="AD441" s="78"/>
      <c r="AE441" s="78"/>
    </row>
    <row r="442" spans="1:31" ht="12.75">
      <c r="A442"/>
      <c r="B442"/>
      <c r="C442"/>
      <c r="D442"/>
      <c r="E442"/>
      <c r="F442"/>
      <c r="G442"/>
      <c r="H442"/>
      <c r="I442"/>
      <c r="J442"/>
      <c r="K442" s="100">
        <f t="shared" si="55"/>
        <v>0</v>
      </c>
      <c r="L442" s="95"/>
      <c r="M442" s="90">
        <f t="shared" si="49"/>
        <v>0</v>
      </c>
      <c r="N442" s="56">
        <v>0</v>
      </c>
      <c r="O442" s="44">
        <f t="shared" si="50"/>
        <v>0</v>
      </c>
      <c r="P442" s="44"/>
      <c r="Q442" s="44"/>
      <c r="R442" s="44"/>
      <c r="S442" s="44">
        <f t="shared" si="56"/>
        <v>0</v>
      </c>
      <c r="T442" s="44">
        <f t="shared" si="51"/>
        <v>0</v>
      </c>
      <c r="U442">
        <v>0</v>
      </c>
      <c r="V442" s="43">
        <v>0</v>
      </c>
      <c r="W442" s="44">
        <f t="shared" si="52"/>
        <v>0</v>
      </c>
      <c r="X442" s="44">
        <f t="shared" si="53"/>
        <v>0</v>
      </c>
      <c r="Y442" s="44">
        <f t="shared" si="54"/>
        <v>0</v>
      </c>
      <c r="Z442" s="84"/>
      <c r="AA442" s="78"/>
      <c r="AB442" s="78"/>
      <c r="AC442" s="78"/>
      <c r="AD442" s="78"/>
      <c r="AE442" s="78"/>
    </row>
    <row r="443" spans="1:31" ht="12.75">
      <c r="A443"/>
      <c r="B443"/>
      <c r="C443"/>
      <c r="D443"/>
      <c r="E443"/>
      <c r="F443"/>
      <c r="G443"/>
      <c r="H443"/>
      <c r="I443"/>
      <c r="J443"/>
      <c r="K443" s="100">
        <f t="shared" si="55"/>
        <v>0</v>
      </c>
      <c r="L443" s="95"/>
      <c r="M443" s="90">
        <f t="shared" si="49"/>
        <v>0</v>
      </c>
      <c r="N443" s="56">
        <v>0</v>
      </c>
      <c r="O443" s="44">
        <f t="shared" si="50"/>
        <v>0</v>
      </c>
      <c r="P443" s="44"/>
      <c r="Q443" s="44"/>
      <c r="R443" s="44"/>
      <c r="S443" s="44">
        <f t="shared" si="56"/>
        <v>0</v>
      </c>
      <c r="T443" s="44">
        <f t="shared" si="51"/>
        <v>0</v>
      </c>
      <c r="U443">
        <v>0</v>
      </c>
      <c r="V443" s="43">
        <v>0</v>
      </c>
      <c r="W443" s="44">
        <f t="shared" si="52"/>
        <v>0</v>
      </c>
      <c r="X443" s="44">
        <f t="shared" si="53"/>
        <v>0</v>
      </c>
      <c r="Y443" s="44">
        <f t="shared" si="54"/>
        <v>0</v>
      </c>
      <c r="Z443" s="84"/>
      <c r="AA443" s="78"/>
      <c r="AB443" s="78"/>
      <c r="AC443" s="78"/>
      <c r="AD443" s="78"/>
      <c r="AE443" s="78"/>
    </row>
    <row r="444" spans="1:31" ht="12.75">
      <c r="A444"/>
      <c r="B444"/>
      <c r="C444"/>
      <c r="D444"/>
      <c r="E444"/>
      <c r="F444"/>
      <c r="G444"/>
      <c r="H444"/>
      <c r="I444"/>
      <c r="J444"/>
      <c r="K444" s="100">
        <f t="shared" si="55"/>
        <v>0</v>
      </c>
      <c r="L444" s="95"/>
      <c r="M444" s="90">
        <f t="shared" si="49"/>
        <v>0</v>
      </c>
      <c r="N444" s="56">
        <v>0</v>
      </c>
      <c r="O444" s="44">
        <f t="shared" si="50"/>
        <v>0</v>
      </c>
      <c r="P444" s="44"/>
      <c r="Q444" s="44"/>
      <c r="R444" s="44"/>
      <c r="S444" s="44">
        <f t="shared" si="56"/>
        <v>0</v>
      </c>
      <c r="T444" s="44">
        <f t="shared" si="51"/>
        <v>0</v>
      </c>
      <c r="U444">
        <v>0</v>
      </c>
      <c r="V444" s="43">
        <v>0</v>
      </c>
      <c r="W444" s="44">
        <f t="shared" si="52"/>
        <v>0</v>
      </c>
      <c r="X444" s="44">
        <f t="shared" si="53"/>
        <v>0</v>
      </c>
      <c r="Y444" s="44">
        <f t="shared" si="54"/>
        <v>0</v>
      </c>
      <c r="Z444" s="84"/>
      <c r="AA444" s="78"/>
      <c r="AB444" s="78"/>
      <c r="AC444" s="78"/>
      <c r="AD444" s="78"/>
      <c r="AE444" s="78"/>
    </row>
    <row r="445" spans="1:31" ht="12.75">
      <c r="A445"/>
      <c r="B445"/>
      <c r="C445"/>
      <c r="D445"/>
      <c r="E445"/>
      <c r="F445"/>
      <c r="G445"/>
      <c r="H445"/>
      <c r="I445"/>
      <c r="J445"/>
      <c r="K445" s="100">
        <f t="shared" si="55"/>
        <v>0</v>
      </c>
      <c r="L445" s="95"/>
      <c r="M445" s="90">
        <f t="shared" si="49"/>
        <v>0</v>
      </c>
      <c r="N445" s="56">
        <v>0</v>
      </c>
      <c r="O445" s="44">
        <f t="shared" si="50"/>
        <v>0</v>
      </c>
      <c r="P445" s="44"/>
      <c r="Q445" s="44"/>
      <c r="R445" s="44"/>
      <c r="S445" s="44">
        <f t="shared" si="56"/>
        <v>0</v>
      </c>
      <c r="T445" s="44">
        <f t="shared" si="51"/>
        <v>0</v>
      </c>
      <c r="U445">
        <v>0</v>
      </c>
      <c r="V445" s="43">
        <v>0</v>
      </c>
      <c r="W445" s="44">
        <f t="shared" si="52"/>
        <v>0</v>
      </c>
      <c r="X445" s="44">
        <f t="shared" si="53"/>
        <v>0</v>
      </c>
      <c r="Y445" s="44">
        <f t="shared" si="54"/>
        <v>0</v>
      </c>
      <c r="Z445" s="84"/>
      <c r="AA445" s="78"/>
      <c r="AB445" s="78"/>
      <c r="AC445" s="78"/>
      <c r="AD445" s="78"/>
      <c r="AE445" s="78"/>
    </row>
    <row r="446" spans="1:31" ht="12.75">
      <c r="A446"/>
      <c r="B446"/>
      <c r="C446"/>
      <c r="D446"/>
      <c r="E446"/>
      <c r="F446"/>
      <c r="G446"/>
      <c r="H446"/>
      <c r="I446"/>
      <c r="J446"/>
      <c r="K446" s="100">
        <f t="shared" si="55"/>
        <v>0</v>
      </c>
      <c r="L446" s="95"/>
      <c r="M446" s="90">
        <f t="shared" si="49"/>
        <v>0</v>
      </c>
      <c r="N446" s="56">
        <v>0</v>
      </c>
      <c r="O446" s="44">
        <f t="shared" si="50"/>
        <v>0</v>
      </c>
      <c r="P446" s="44"/>
      <c r="Q446" s="44"/>
      <c r="R446" s="44"/>
      <c r="S446" s="44">
        <f t="shared" si="56"/>
        <v>0</v>
      </c>
      <c r="T446" s="44">
        <f t="shared" si="51"/>
        <v>0</v>
      </c>
      <c r="U446">
        <v>0</v>
      </c>
      <c r="V446" s="43">
        <v>0</v>
      </c>
      <c r="W446" s="44">
        <f t="shared" si="52"/>
        <v>0</v>
      </c>
      <c r="X446" s="44">
        <f t="shared" si="53"/>
        <v>0</v>
      </c>
      <c r="Y446" s="44">
        <f t="shared" si="54"/>
        <v>0</v>
      </c>
      <c r="Z446" s="84"/>
      <c r="AA446" s="78"/>
      <c r="AB446" s="78"/>
      <c r="AC446" s="78"/>
      <c r="AD446" s="78"/>
      <c r="AE446" s="78"/>
    </row>
    <row r="447" spans="1:31" ht="12.75">
      <c r="A447"/>
      <c r="B447"/>
      <c r="C447"/>
      <c r="D447"/>
      <c r="E447"/>
      <c r="F447"/>
      <c r="G447"/>
      <c r="H447"/>
      <c r="I447"/>
      <c r="J447"/>
      <c r="K447" s="100">
        <f t="shared" si="55"/>
        <v>0</v>
      </c>
      <c r="L447" s="95"/>
      <c r="M447" s="90">
        <f t="shared" si="49"/>
        <v>0</v>
      </c>
      <c r="N447" s="56">
        <v>0</v>
      </c>
      <c r="O447" s="44">
        <f t="shared" si="50"/>
        <v>0</v>
      </c>
      <c r="P447" s="44"/>
      <c r="Q447" s="44"/>
      <c r="R447" s="44"/>
      <c r="S447" s="44">
        <f t="shared" si="56"/>
        <v>0</v>
      </c>
      <c r="T447" s="44">
        <f t="shared" si="51"/>
        <v>0</v>
      </c>
      <c r="U447">
        <v>0</v>
      </c>
      <c r="V447" s="43">
        <v>0</v>
      </c>
      <c r="W447" s="44">
        <f t="shared" si="52"/>
        <v>0</v>
      </c>
      <c r="X447" s="44">
        <f t="shared" si="53"/>
        <v>0</v>
      </c>
      <c r="Y447" s="44">
        <f t="shared" si="54"/>
        <v>0</v>
      </c>
      <c r="Z447" s="84"/>
      <c r="AA447" s="78"/>
      <c r="AB447" s="78"/>
      <c r="AC447" s="78"/>
      <c r="AD447" s="78"/>
      <c r="AE447" s="78"/>
    </row>
    <row r="448" spans="1:31" ht="12.75">
      <c r="A448"/>
      <c r="B448"/>
      <c r="C448"/>
      <c r="D448"/>
      <c r="E448"/>
      <c r="F448"/>
      <c r="G448"/>
      <c r="H448"/>
      <c r="I448"/>
      <c r="J448"/>
      <c r="K448" s="100">
        <f t="shared" si="55"/>
        <v>0</v>
      </c>
      <c r="L448" s="95"/>
      <c r="M448" s="90">
        <f t="shared" si="49"/>
        <v>0</v>
      </c>
      <c r="N448" s="56">
        <v>0</v>
      </c>
      <c r="O448" s="44">
        <f t="shared" si="50"/>
        <v>0</v>
      </c>
      <c r="P448" s="44"/>
      <c r="Q448" s="44"/>
      <c r="R448" s="44"/>
      <c r="S448" s="44">
        <f t="shared" si="56"/>
        <v>0</v>
      </c>
      <c r="T448" s="44">
        <f t="shared" si="51"/>
        <v>0</v>
      </c>
      <c r="U448">
        <v>0</v>
      </c>
      <c r="V448" s="43">
        <v>0</v>
      </c>
      <c r="W448" s="44">
        <f t="shared" si="52"/>
        <v>0</v>
      </c>
      <c r="X448" s="44">
        <f t="shared" si="53"/>
        <v>0</v>
      </c>
      <c r="Y448" s="44">
        <f t="shared" si="54"/>
        <v>0</v>
      </c>
      <c r="Z448" s="84"/>
      <c r="AA448" s="78"/>
      <c r="AB448" s="78"/>
      <c r="AC448" s="78"/>
      <c r="AD448" s="78"/>
      <c r="AE448" s="78"/>
    </row>
    <row r="449" spans="1:31" ht="12.75">
      <c r="A449"/>
      <c r="B449"/>
      <c r="C449"/>
      <c r="D449"/>
      <c r="E449"/>
      <c r="F449"/>
      <c r="G449"/>
      <c r="H449"/>
      <c r="I449"/>
      <c r="J449"/>
      <c r="K449" s="100">
        <f t="shared" si="55"/>
        <v>0</v>
      </c>
      <c r="L449" s="95"/>
      <c r="M449" s="90">
        <f t="shared" si="49"/>
        <v>0</v>
      </c>
      <c r="N449" s="56">
        <v>0</v>
      </c>
      <c r="O449" s="44">
        <f t="shared" si="50"/>
        <v>0</v>
      </c>
      <c r="P449" s="44"/>
      <c r="Q449" s="44"/>
      <c r="R449" s="44"/>
      <c r="S449" s="44">
        <f t="shared" si="56"/>
        <v>0</v>
      </c>
      <c r="T449" s="44">
        <f t="shared" si="51"/>
        <v>0</v>
      </c>
      <c r="U449">
        <v>0</v>
      </c>
      <c r="V449" s="43">
        <v>0</v>
      </c>
      <c r="W449" s="44">
        <f t="shared" si="52"/>
        <v>0</v>
      </c>
      <c r="X449" s="44">
        <f t="shared" si="53"/>
        <v>0</v>
      </c>
      <c r="Y449" s="44">
        <f t="shared" si="54"/>
        <v>0</v>
      </c>
      <c r="Z449" s="84"/>
      <c r="AA449" s="78"/>
      <c r="AB449" s="78"/>
      <c r="AC449" s="78"/>
      <c r="AD449" s="78"/>
      <c r="AE449" s="78"/>
    </row>
    <row r="450" spans="1:31" ht="12.75">
      <c r="A450"/>
      <c r="B450"/>
      <c r="C450"/>
      <c r="D450"/>
      <c r="E450"/>
      <c r="F450"/>
      <c r="G450"/>
      <c r="H450"/>
      <c r="I450"/>
      <c r="J450"/>
      <c r="K450" s="100">
        <f t="shared" si="55"/>
        <v>0</v>
      </c>
      <c r="L450" s="95"/>
      <c r="M450" s="90">
        <f t="shared" si="49"/>
        <v>0</v>
      </c>
      <c r="N450" s="56">
        <v>0</v>
      </c>
      <c r="O450" s="44">
        <f t="shared" si="50"/>
        <v>0</v>
      </c>
      <c r="P450" s="44"/>
      <c r="Q450" s="44"/>
      <c r="R450" s="44"/>
      <c r="S450" s="44">
        <f t="shared" si="56"/>
        <v>0</v>
      </c>
      <c r="T450" s="44">
        <f t="shared" si="51"/>
        <v>0</v>
      </c>
      <c r="U450">
        <v>0</v>
      </c>
      <c r="V450" s="43">
        <v>0</v>
      </c>
      <c r="W450" s="44">
        <f t="shared" si="52"/>
        <v>0</v>
      </c>
      <c r="X450" s="44">
        <f t="shared" si="53"/>
        <v>0</v>
      </c>
      <c r="Y450" s="44">
        <f t="shared" si="54"/>
        <v>0</v>
      </c>
      <c r="Z450" s="84"/>
      <c r="AA450" s="78"/>
      <c r="AB450" s="78"/>
      <c r="AC450" s="78"/>
      <c r="AD450" s="78"/>
      <c r="AE450" s="78"/>
    </row>
    <row r="451" spans="1:31" ht="12.75">
      <c r="A451"/>
      <c r="B451"/>
      <c r="C451"/>
      <c r="D451"/>
      <c r="E451"/>
      <c r="F451"/>
      <c r="G451"/>
      <c r="H451"/>
      <c r="I451"/>
      <c r="J451"/>
      <c r="K451" s="100">
        <f t="shared" si="55"/>
        <v>0</v>
      </c>
      <c r="L451" s="95"/>
      <c r="M451" s="90">
        <f t="shared" si="49"/>
        <v>0</v>
      </c>
      <c r="N451" s="56">
        <v>0</v>
      </c>
      <c r="O451" s="44">
        <f t="shared" si="50"/>
        <v>0</v>
      </c>
      <c r="P451" s="44"/>
      <c r="Q451" s="44"/>
      <c r="R451" s="44"/>
      <c r="S451" s="44">
        <f t="shared" si="56"/>
        <v>0</v>
      </c>
      <c r="T451" s="44">
        <f t="shared" si="51"/>
        <v>0</v>
      </c>
      <c r="U451">
        <v>0</v>
      </c>
      <c r="V451" s="43">
        <v>0</v>
      </c>
      <c r="W451" s="44">
        <f t="shared" si="52"/>
        <v>0</v>
      </c>
      <c r="X451" s="44">
        <f t="shared" si="53"/>
        <v>0</v>
      </c>
      <c r="Y451" s="44">
        <f t="shared" si="54"/>
        <v>0</v>
      </c>
      <c r="Z451" s="84"/>
      <c r="AA451" s="78"/>
      <c r="AB451" s="78"/>
      <c r="AC451" s="78"/>
      <c r="AD451" s="78"/>
      <c r="AE451" s="78"/>
    </row>
    <row r="452" spans="1:31" ht="12.75">
      <c r="A452"/>
      <c r="B452"/>
      <c r="C452"/>
      <c r="D452"/>
      <c r="E452"/>
      <c r="F452"/>
      <c r="G452"/>
      <c r="H452"/>
      <c r="I452"/>
      <c r="J452"/>
      <c r="K452" s="100">
        <f t="shared" si="55"/>
        <v>0</v>
      </c>
      <c r="L452" s="95"/>
      <c r="M452" s="90">
        <f t="shared" si="49"/>
        <v>0</v>
      </c>
      <c r="N452" s="56">
        <v>0</v>
      </c>
      <c r="O452" s="44">
        <f t="shared" si="50"/>
        <v>0</v>
      </c>
      <c r="P452" s="44"/>
      <c r="Q452" s="44"/>
      <c r="R452" s="44"/>
      <c r="S452" s="44">
        <f t="shared" si="56"/>
        <v>0</v>
      </c>
      <c r="T452" s="44">
        <f t="shared" si="51"/>
        <v>0</v>
      </c>
      <c r="U452">
        <v>0</v>
      </c>
      <c r="V452" s="43">
        <v>0</v>
      </c>
      <c r="W452" s="44">
        <f t="shared" si="52"/>
        <v>0</v>
      </c>
      <c r="X452" s="44">
        <f t="shared" si="53"/>
        <v>0</v>
      </c>
      <c r="Y452" s="44">
        <f t="shared" si="54"/>
        <v>0</v>
      </c>
      <c r="Z452" s="84"/>
      <c r="AA452" s="78"/>
      <c r="AB452" s="78"/>
      <c r="AC452" s="78"/>
      <c r="AD452" s="78"/>
      <c r="AE452" s="78"/>
    </row>
    <row r="453" spans="1:31" ht="12.75">
      <c r="A453"/>
      <c r="B453"/>
      <c r="C453"/>
      <c r="D453"/>
      <c r="E453"/>
      <c r="F453"/>
      <c r="G453"/>
      <c r="H453"/>
      <c r="I453"/>
      <c r="J453"/>
      <c r="K453" s="100">
        <f t="shared" si="55"/>
        <v>0</v>
      </c>
      <c r="L453" s="95"/>
      <c r="M453" s="90">
        <f t="shared" si="49"/>
        <v>0</v>
      </c>
      <c r="N453" s="56">
        <v>0</v>
      </c>
      <c r="O453" s="44">
        <f t="shared" si="50"/>
        <v>0</v>
      </c>
      <c r="P453" s="44"/>
      <c r="Q453" s="44"/>
      <c r="R453" s="44"/>
      <c r="S453" s="44">
        <f t="shared" si="56"/>
        <v>0</v>
      </c>
      <c r="T453" s="44">
        <f t="shared" si="51"/>
        <v>0</v>
      </c>
      <c r="U453">
        <v>0</v>
      </c>
      <c r="V453" s="43">
        <v>0</v>
      </c>
      <c r="W453" s="44">
        <f t="shared" si="52"/>
        <v>0</v>
      </c>
      <c r="X453" s="44">
        <f t="shared" si="53"/>
        <v>0</v>
      </c>
      <c r="Y453" s="44">
        <f t="shared" si="54"/>
        <v>0</v>
      </c>
      <c r="Z453" s="84"/>
      <c r="AA453" s="78"/>
      <c r="AB453" s="78"/>
      <c r="AC453" s="78"/>
      <c r="AD453" s="78"/>
      <c r="AE453" s="78"/>
    </row>
    <row r="454" spans="1:31" ht="12.75">
      <c r="A454"/>
      <c r="B454"/>
      <c r="C454"/>
      <c r="D454"/>
      <c r="E454"/>
      <c r="F454"/>
      <c r="G454"/>
      <c r="H454"/>
      <c r="I454"/>
      <c r="J454"/>
      <c r="K454" s="100">
        <f t="shared" si="55"/>
        <v>0</v>
      </c>
      <c r="L454" s="95"/>
      <c r="M454" s="90">
        <f t="shared" si="49"/>
        <v>0</v>
      </c>
      <c r="N454" s="56">
        <v>0</v>
      </c>
      <c r="O454" s="44">
        <f t="shared" si="50"/>
        <v>0</v>
      </c>
      <c r="P454" s="44"/>
      <c r="Q454" s="44"/>
      <c r="R454" s="44"/>
      <c r="S454" s="44">
        <f t="shared" si="56"/>
        <v>0</v>
      </c>
      <c r="T454" s="44">
        <f t="shared" si="51"/>
        <v>0</v>
      </c>
      <c r="U454">
        <v>0</v>
      </c>
      <c r="V454" s="43">
        <v>0</v>
      </c>
      <c r="W454" s="44">
        <f t="shared" si="52"/>
        <v>0</v>
      </c>
      <c r="X454" s="44">
        <f t="shared" si="53"/>
        <v>0</v>
      </c>
      <c r="Y454" s="44">
        <f t="shared" si="54"/>
        <v>0</v>
      </c>
      <c r="Z454" s="84"/>
      <c r="AA454" s="78"/>
      <c r="AB454" s="78"/>
      <c r="AC454" s="78"/>
      <c r="AD454" s="78"/>
      <c r="AE454" s="78"/>
    </row>
    <row r="455" spans="1:31" ht="12.75">
      <c r="A455"/>
      <c r="B455"/>
      <c r="C455"/>
      <c r="D455"/>
      <c r="E455"/>
      <c r="F455"/>
      <c r="G455"/>
      <c r="H455"/>
      <c r="I455"/>
      <c r="J455"/>
      <c r="K455" s="100">
        <f t="shared" si="55"/>
        <v>0</v>
      </c>
      <c r="L455" s="95"/>
      <c r="M455" s="90">
        <f t="shared" si="49"/>
        <v>0</v>
      </c>
      <c r="N455" s="56">
        <v>0</v>
      </c>
      <c r="O455" s="44">
        <f t="shared" si="50"/>
        <v>0</v>
      </c>
      <c r="P455" s="44"/>
      <c r="Q455" s="44"/>
      <c r="R455" s="44"/>
      <c r="S455" s="44">
        <f t="shared" si="56"/>
        <v>0</v>
      </c>
      <c r="T455" s="44">
        <f t="shared" si="51"/>
        <v>0</v>
      </c>
      <c r="U455">
        <v>0</v>
      </c>
      <c r="V455" s="43">
        <v>0</v>
      </c>
      <c r="W455" s="44">
        <f t="shared" si="52"/>
        <v>0</v>
      </c>
      <c r="X455" s="44">
        <f t="shared" si="53"/>
        <v>0</v>
      </c>
      <c r="Y455" s="44">
        <f t="shared" si="54"/>
        <v>0</v>
      </c>
      <c r="Z455" s="84"/>
      <c r="AA455" s="78"/>
      <c r="AB455" s="78"/>
      <c r="AC455" s="78"/>
      <c r="AD455" s="78"/>
      <c r="AE455" s="78"/>
    </row>
    <row r="456" spans="1:31" ht="12.75">
      <c r="A456"/>
      <c r="B456"/>
      <c r="C456"/>
      <c r="D456"/>
      <c r="E456"/>
      <c r="F456"/>
      <c r="G456"/>
      <c r="H456"/>
      <c r="I456"/>
      <c r="J456"/>
      <c r="K456" s="100">
        <f t="shared" si="55"/>
        <v>0</v>
      </c>
      <c r="L456" s="95"/>
      <c r="M456" s="90">
        <f t="shared" ref="M456:M519" si="57">ROUND(K456*L456,2)</f>
        <v>0</v>
      </c>
      <c r="N456" s="56">
        <v>0</v>
      </c>
      <c r="O456" s="44">
        <f t="shared" ref="O456:O519" si="58">+M456-(M456*N456)</f>
        <v>0</v>
      </c>
      <c r="P456" s="44"/>
      <c r="Q456" s="44"/>
      <c r="R456" s="44"/>
      <c r="S456" s="44">
        <f t="shared" si="56"/>
        <v>0</v>
      </c>
      <c r="T456" s="44">
        <f t="shared" ref="T456:T519" si="59">+O456+P456+Q456+R456</f>
        <v>0</v>
      </c>
      <c r="U456">
        <v>0</v>
      </c>
      <c r="V456" s="43">
        <v>0</v>
      </c>
      <c r="W456" s="44">
        <f t="shared" ref="W456:W519" si="60">+O456-U456-V456-Z456</f>
        <v>0</v>
      </c>
      <c r="X456" s="44">
        <f t="shared" ref="X456:X519" si="61">(+O456-U456-Z456)*$X$1</f>
        <v>0</v>
      </c>
      <c r="Y456" s="44">
        <f t="shared" ref="Y456:Y519" si="62">+W456-X456</f>
        <v>0</v>
      </c>
      <c r="Z456" s="84"/>
      <c r="AA456" s="78"/>
      <c r="AB456" s="78"/>
      <c r="AC456" s="78"/>
      <c r="AD456" s="78"/>
      <c r="AE456" s="78"/>
    </row>
    <row r="457" spans="1:31" ht="12.75">
      <c r="A457"/>
      <c r="B457"/>
      <c r="C457"/>
      <c r="D457"/>
      <c r="E457"/>
      <c r="F457"/>
      <c r="G457"/>
      <c r="H457"/>
      <c r="I457"/>
      <c r="J457"/>
      <c r="K457" s="100">
        <f t="shared" ref="K457:K469" si="63">+I457*J457</f>
        <v>0</v>
      </c>
      <c r="L457" s="95"/>
      <c r="M457" s="90">
        <f t="shared" si="57"/>
        <v>0</v>
      </c>
      <c r="N457" s="56">
        <v>0</v>
      </c>
      <c r="O457" s="44">
        <f t="shared" si="58"/>
        <v>0</v>
      </c>
      <c r="P457" s="44"/>
      <c r="Q457" s="44"/>
      <c r="R457" s="44"/>
      <c r="S457" s="44">
        <f t="shared" ref="S457:S469" si="64">IF(R457="y",+P457*0.01,0)</f>
        <v>0</v>
      </c>
      <c r="T457" s="44">
        <f t="shared" si="59"/>
        <v>0</v>
      </c>
      <c r="U457">
        <v>0</v>
      </c>
      <c r="V457" s="43">
        <v>0</v>
      </c>
      <c r="W457" s="44">
        <f t="shared" si="60"/>
        <v>0</v>
      </c>
      <c r="X457" s="44">
        <f t="shared" si="61"/>
        <v>0</v>
      </c>
      <c r="Y457" s="44">
        <f t="shared" si="62"/>
        <v>0</v>
      </c>
      <c r="Z457" s="84"/>
      <c r="AA457" s="78"/>
      <c r="AB457" s="78"/>
      <c r="AC457" s="78"/>
      <c r="AD457" s="78"/>
      <c r="AE457" s="78"/>
    </row>
    <row r="458" spans="1:31" ht="12.75">
      <c r="A458"/>
      <c r="B458"/>
      <c r="C458"/>
      <c r="D458"/>
      <c r="E458"/>
      <c r="F458"/>
      <c r="G458"/>
      <c r="H458"/>
      <c r="I458"/>
      <c r="J458"/>
      <c r="K458" s="100">
        <f t="shared" si="63"/>
        <v>0</v>
      </c>
      <c r="L458" s="95"/>
      <c r="M458" s="90">
        <f t="shared" si="57"/>
        <v>0</v>
      </c>
      <c r="N458" s="56">
        <v>0</v>
      </c>
      <c r="O458" s="44">
        <f t="shared" si="58"/>
        <v>0</v>
      </c>
      <c r="P458" s="44"/>
      <c r="Q458" s="44"/>
      <c r="R458" s="44"/>
      <c r="S458" s="44">
        <f t="shared" si="64"/>
        <v>0</v>
      </c>
      <c r="T458" s="44">
        <f t="shared" si="59"/>
        <v>0</v>
      </c>
      <c r="U458">
        <v>0</v>
      </c>
      <c r="V458" s="43">
        <v>0</v>
      </c>
      <c r="W458" s="44">
        <f t="shared" si="60"/>
        <v>0</v>
      </c>
      <c r="X458" s="44">
        <f t="shared" si="61"/>
        <v>0</v>
      </c>
      <c r="Y458" s="44">
        <f t="shared" si="62"/>
        <v>0</v>
      </c>
      <c r="Z458" s="84"/>
      <c r="AA458" s="78"/>
      <c r="AB458" s="78"/>
      <c r="AC458" s="78"/>
      <c r="AD458" s="78"/>
      <c r="AE458" s="78"/>
    </row>
    <row r="459" spans="1:31" ht="12.75">
      <c r="A459"/>
      <c r="B459"/>
      <c r="C459"/>
      <c r="D459"/>
      <c r="E459"/>
      <c r="F459"/>
      <c r="G459"/>
      <c r="H459"/>
      <c r="I459"/>
      <c r="J459"/>
      <c r="K459" s="100">
        <f t="shared" si="63"/>
        <v>0</v>
      </c>
      <c r="L459" s="95"/>
      <c r="M459" s="90">
        <f t="shared" si="57"/>
        <v>0</v>
      </c>
      <c r="N459" s="56">
        <v>0</v>
      </c>
      <c r="O459" s="44">
        <f t="shared" si="58"/>
        <v>0</v>
      </c>
      <c r="P459" s="44"/>
      <c r="Q459" s="44"/>
      <c r="R459" s="44"/>
      <c r="S459" s="44">
        <f t="shared" si="64"/>
        <v>0</v>
      </c>
      <c r="T459" s="44">
        <f t="shared" si="59"/>
        <v>0</v>
      </c>
      <c r="U459">
        <v>0</v>
      </c>
      <c r="V459" s="43">
        <v>0</v>
      </c>
      <c r="W459" s="44">
        <f t="shared" si="60"/>
        <v>0</v>
      </c>
      <c r="X459" s="44">
        <f t="shared" si="61"/>
        <v>0</v>
      </c>
      <c r="Y459" s="44">
        <f t="shared" si="62"/>
        <v>0</v>
      </c>
      <c r="Z459" s="84"/>
      <c r="AA459" s="78"/>
      <c r="AB459" s="78"/>
      <c r="AC459" s="78"/>
      <c r="AD459" s="78"/>
      <c r="AE459" s="78"/>
    </row>
    <row r="460" spans="1:31" ht="12.75">
      <c r="A460"/>
      <c r="B460"/>
      <c r="C460"/>
      <c r="D460"/>
      <c r="E460"/>
      <c r="F460"/>
      <c r="G460"/>
      <c r="H460"/>
      <c r="I460"/>
      <c r="J460"/>
      <c r="K460" s="100">
        <f t="shared" si="63"/>
        <v>0</v>
      </c>
      <c r="L460" s="95"/>
      <c r="M460" s="90">
        <f t="shared" si="57"/>
        <v>0</v>
      </c>
      <c r="N460" s="56">
        <v>0</v>
      </c>
      <c r="O460" s="44">
        <f t="shared" si="58"/>
        <v>0</v>
      </c>
      <c r="P460" s="44"/>
      <c r="Q460" s="44"/>
      <c r="R460" s="44"/>
      <c r="S460" s="44">
        <f t="shared" si="64"/>
        <v>0</v>
      </c>
      <c r="T460" s="44">
        <f t="shared" si="59"/>
        <v>0</v>
      </c>
      <c r="U460">
        <v>0</v>
      </c>
      <c r="V460" s="43">
        <v>0</v>
      </c>
      <c r="W460" s="44">
        <f t="shared" si="60"/>
        <v>0</v>
      </c>
      <c r="X460" s="44">
        <f t="shared" si="61"/>
        <v>0</v>
      </c>
      <c r="Y460" s="44">
        <f t="shared" si="62"/>
        <v>0</v>
      </c>
      <c r="Z460" s="84"/>
      <c r="AA460" s="78"/>
      <c r="AB460" s="78"/>
      <c r="AC460" s="78"/>
      <c r="AD460" s="78"/>
      <c r="AE460" s="78"/>
    </row>
    <row r="461" spans="1:31" ht="12.75">
      <c r="A461"/>
      <c r="B461"/>
      <c r="C461"/>
      <c r="D461"/>
      <c r="E461"/>
      <c r="F461"/>
      <c r="G461"/>
      <c r="H461"/>
      <c r="I461"/>
      <c r="J461"/>
      <c r="K461" s="100">
        <f t="shared" si="63"/>
        <v>0</v>
      </c>
      <c r="L461" s="95"/>
      <c r="M461" s="90">
        <f t="shared" si="57"/>
        <v>0</v>
      </c>
      <c r="N461" s="56">
        <v>0</v>
      </c>
      <c r="O461" s="44">
        <f t="shared" si="58"/>
        <v>0</v>
      </c>
      <c r="P461" s="44"/>
      <c r="Q461" s="44"/>
      <c r="R461" s="44"/>
      <c r="S461" s="44">
        <f t="shared" si="64"/>
        <v>0</v>
      </c>
      <c r="T461" s="44">
        <f t="shared" si="59"/>
        <v>0</v>
      </c>
      <c r="U461">
        <v>0</v>
      </c>
      <c r="V461" s="43">
        <v>0</v>
      </c>
      <c r="W461" s="44">
        <f t="shared" si="60"/>
        <v>0</v>
      </c>
      <c r="X461" s="44">
        <f t="shared" si="61"/>
        <v>0</v>
      </c>
      <c r="Y461" s="44">
        <f t="shared" si="62"/>
        <v>0</v>
      </c>
      <c r="Z461" s="84"/>
      <c r="AA461" s="78"/>
      <c r="AB461" s="78"/>
      <c r="AC461" s="78"/>
      <c r="AD461" s="78"/>
      <c r="AE461" s="78"/>
    </row>
    <row r="462" spans="1:31" ht="12.75">
      <c r="A462"/>
      <c r="B462"/>
      <c r="C462"/>
      <c r="D462"/>
      <c r="E462"/>
      <c r="F462"/>
      <c r="G462"/>
      <c r="H462"/>
      <c r="I462"/>
      <c r="J462"/>
      <c r="K462" s="100">
        <f t="shared" si="63"/>
        <v>0</v>
      </c>
      <c r="L462" s="95"/>
      <c r="M462" s="90">
        <f t="shared" si="57"/>
        <v>0</v>
      </c>
      <c r="N462" s="56">
        <v>0</v>
      </c>
      <c r="O462" s="44">
        <f t="shared" si="58"/>
        <v>0</v>
      </c>
      <c r="P462" s="44"/>
      <c r="Q462" s="44"/>
      <c r="R462" s="44"/>
      <c r="S462" s="44">
        <f t="shared" si="64"/>
        <v>0</v>
      </c>
      <c r="T462" s="44">
        <f t="shared" si="59"/>
        <v>0</v>
      </c>
      <c r="U462">
        <v>0</v>
      </c>
      <c r="V462" s="43">
        <v>0</v>
      </c>
      <c r="W462" s="44">
        <f t="shared" si="60"/>
        <v>0</v>
      </c>
      <c r="X462" s="44">
        <f t="shared" si="61"/>
        <v>0</v>
      </c>
      <c r="Y462" s="44">
        <f t="shared" si="62"/>
        <v>0</v>
      </c>
      <c r="Z462" s="84"/>
      <c r="AA462" s="78"/>
      <c r="AB462" s="78"/>
      <c r="AC462" s="78"/>
      <c r="AD462" s="78"/>
      <c r="AE462" s="78"/>
    </row>
    <row r="463" spans="1:31" ht="12.75">
      <c r="A463"/>
      <c r="B463"/>
      <c r="C463"/>
      <c r="D463"/>
      <c r="E463"/>
      <c r="F463"/>
      <c r="G463"/>
      <c r="H463"/>
      <c r="I463"/>
      <c r="J463"/>
      <c r="K463" s="100">
        <f t="shared" si="63"/>
        <v>0</v>
      </c>
      <c r="L463" s="95"/>
      <c r="M463" s="90">
        <f t="shared" si="57"/>
        <v>0</v>
      </c>
      <c r="N463" s="56">
        <v>0</v>
      </c>
      <c r="O463" s="44">
        <f t="shared" si="58"/>
        <v>0</v>
      </c>
      <c r="P463" s="44"/>
      <c r="Q463" s="44"/>
      <c r="R463" s="44"/>
      <c r="S463" s="44">
        <f t="shared" si="64"/>
        <v>0</v>
      </c>
      <c r="T463" s="44">
        <f t="shared" si="59"/>
        <v>0</v>
      </c>
      <c r="U463">
        <v>0</v>
      </c>
      <c r="V463" s="43">
        <v>0</v>
      </c>
      <c r="W463" s="44">
        <f t="shared" si="60"/>
        <v>0</v>
      </c>
      <c r="X463" s="44">
        <f t="shared" si="61"/>
        <v>0</v>
      </c>
      <c r="Y463" s="44">
        <f t="shared" si="62"/>
        <v>0</v>
      </c>
      <c r="Z463" s="84"/>
      <c r="AA463" s="78"/>
      <c r="AB463" s="78"/>
      <c r="AC463" s="78"/>
      <c r="AD463" s="78"/>
      <c r="AE463" s="78"/>
    </row>
    <row r="464" spans="1:31" ht="12.75">
      <c r="A464"/>
      <c r="B464"/>
      <c r="C464"/>
      <c r="D464"/>
      <c r="E464"/>
      <c r="F464"/>
      <c r="G464"/>
      <c r="H464"/>
      <c r="I464"/>
      <c r="J464"/>
      <c r="K464" s="100">
        <f t="shared" si="63"/>
        <v>0</v>
      </c>
      <c r="L464" s="95"/>
      <c r="M464" s="90">
        <f t="shared" si="57"/>
        <v>0</v>
      </c>
      <c r="N464" s="56">
        <v>0</v>
      </c>
      <c r="O464" s="44">
        <f t="shared" si="58"/>
        <v>0</v>
      </c>
      <c r="P464" s="44"/>
      <c r="Q464" s="44"/>
      <c r="R464" s="44"/>
      <c r="S464" s="44">
        <f t="shared" si="64"/>
        <v>0</v>
      </c>
      <c r="T464" s="44">
        <f t="shared" si="59"/>
        <v>0</v>
      </c>
      <c r="U464">
        <v>0</v>
      </c>
      <c r="V464" s="43">
        <v>0</v>
      </c>
      <c r="W464" s="44">
        <f t="shared" si="60"/>
        <v>0</v>
      </c>
      <c r="X464" s="44">
        <f t="shared" si="61"/>
        <v>0</v>
      </c>
      <c r="Y464" s="44">
        <f t="shared" si="62"/>
        <v>0</v>
      </c>
      <c r="Z464" s="84"/>
      <c r="AA464" s="78"/>
      <c r="AB464" s="78"/>
      <c r="AC464" s="78"/>
      <c r="AD464" s="78"/>
      <c r="AE464" s="78"/>
    </row>
    <row r="465" spans="1:31" ht="12.75">
      <c r="A465"/>
      <c r="B465"/>
      <c r="C465"/>
      <c r="D465"/>
      <c r="E465"/>
      <c r="F465"/>
      <c r="G465"/>
      <c r="H465"/>
      <c r="I465"/>
      <c r="J465"/>
      <c r="K465" s="100">
        <f t="shared" si="63"/>
        <v>0</v>
      </c>
      <c r="L465" s="95"/>
      <c r="M465" s="90">
        <f t="shared" si="57"/>
        <v>0</v>
      </c>
      <c r="N465" s="56">
        <v>0</v>
      </c>
      <c r="O465" s="44">
        <f t="shared" si="58"/>
        <v>0</v>
      </c>
      <c r="P465" s="44"/>
      <c r="Q465" s="44"/>
      <c r="R465" s="44"/>
      <c r="S465" s="44">
        <f t="shared" si="64"/>
        <v>0</v>
      </c>
      <c r="T465" s="44">
        <f t="shared" si="59"/>
        <v>0</v>
      </c>
      <c r="U465">
        <v>0</v>
      </c>
      <c r="V465" s="43">
        <v>0</v>
      </c>
      <c r="W465" s="44">
        <f t="shared" si="60"/>
        <v>0</v>
      </c>
      <c r="X465" s="44">
        <f t="shared" si="61"/>
        <v>0</v>
      </c>
      <c r="Y465" s="44">
        <f t="shared" si="62"/>
        <v>0</v>
      </c>
      <c r="Z465" s="84"/>
      <c r="AA465" s="78"/>
      <c r="AB465" s="78"/>
      <c r="AC465" s="78"/>
      <c r="AD465" s="78"/>
      <c r="AE465" s="78"/>
    </row>
    <row r="466" spans="1:31" ht="12.75">
      <c r="A466"/>
      <c r="B466"/>
      <c r="C466"/>
      <c r="D466"/>
      <c r="E466"/>
      <c r="F466"/>
      <c r="G466"/>
      <c r="H466"/>
      <c r="I466"/>
      <c r="J466"/>
      <c r="K466" s="100">
        <f t="shared" si="63"/>
        <v>0</v>
      </c>
      <c r="L466" s="95"/>
      <c r="M466" s="90">
        <f t="shared" si="57"/>
        <v>0</v>
      </c>
      <c r="N466" s="56">
        <v>0</v>
      </c>
      <c r="O466" s="44">
        <f t="shared" si="58"/>
        <v>0</v>
      </c>
      <c r="P466" s="44"/>
      <c r="Q466" s="44"/>
      <c r="R466" s="44"/>
      <c r="S466" s="44">
        <f t="shared" si="64"/>
        <v>0</v>
      </c>
      <c r="T466" s="44">
        <f t="shared" si="59"/>
        <v>0</v>
      </c>
      <c r="U466">
        <v>0</v>
      </c>
      <c r="V466" s="43">
        <v>0</v>
      </c>
      <c r="W466" s="44">
        <f t="shared" si="60"/>
        <v>0</v>
      </c>
      <c r="X466" s="44">
        <f t="shared" si="61"/>
        <v>0</v>
      </c>
      <c r="Y466" s="44">
        <f t="shared" si="62"/>
        <v>0</v>
      </c>
      <c r="Z466" s="84"/>
      <c r="AA466" s="78"/>
      <c r="AB466" s="78"/>
      <c r="AC466" s="78"/>
      <c r="AD466" s="78"/>
      <c r="AE466" s="78"/>
    </row>
    <row r="467" spans="1:31" ht="12.75">
      <c r="A467"/>
      <c r="B467"/>
      <c r="C467"/>
      <c r="D467"/>
      <c r="E467"/>
      <c r="F467"/>
      <c r="G467"/>
      <c r="H467"/>
      <c r="I467"/>
      <c r="J467"/>
      <c r="K467" s="100">
        <f t="shared" si="63"/>
        <v>0</v>
      </c>
      <c r="L467" s="95"/>
      <c r="M467" s="90">
        <f t="shared" si="57"/>
        <v>0</v>
      </c>
      <c r="N467" s="56">
        <v>0</v>
      </c>
      <c r="O467" s="44">
        <f t="shared" si="58"/>
        <v>0</v>
      </c>
      <c r="P467" s="44"/>
      <c r="Q467" s="44"/>
      <c r="R467" s="44"/>
      <c r="S467" s="44">
        <f t="shared" si="64"/>
        <v>0</v>
      </c>
      <c r="T467" s="44">
        <f t="shared" si="59"/>
        <v>0</v>
      </c>
      <c r="U467">
        <v>0</v>
      </c>
      <c r="V467" s="43">
        <v>0</v>
      </c>
      <c r="W467" s="44">
        <f t="shared" si="60"/>
        <v>0</v>
      </c>
      <c r="X467" s="44">
        <f t="shared" si="61"/>
        <v>0</v>
      </c>
      <c r="Y467" s="44">
        <f t="shared" si="62"/>
        <v>0</v>
      </c>
      <c r="Z467" s="84"/>
      <c r="AA467" s="78"/>
      <c r="AB467" s="78"/>
      <c r="AC467" s="78"/>
      <c r="AD467" s="78"/>
      <c r="AE467" s="78"/>
    </row>
    <row r="468" spans="1:31" ht="12.75">
      <c r="A468"/>
      <c r="B468"/>
      <c r="C468"/>
      <c r="D468"/>
      <c r="E468"/>
      <c r="F468"/>
      <c r="G468"/>
      <c r="H468"/>
      <c r="I468"/>
      <c r="J468"/>
      <c r="K468" s="100">
        <f t="shared" si="63"/>
        <v>0</v>
      </c>
      <c r="L468" s="95"/>
      <c r="M468" s="90">
        <f t="shared" si="57"/>
        <v>0</v>
      </c>
      <c r="N468" s="56">
        <v>0</v>
      </c>
      <c r="O468" s="44">
        <f t="shared" si="58"/>
        <v>0</v>
      </c>
      <c r="P468" s="44"/>
      <c r="Q468" s="44"/>
      <c r="R468" s="44"/>
      <c r="S468" s="44">
        <f t="shared" si="64"/>
        <v>0</v>
      </c>
      <c r="T468" s="44">
        <f t="shared" si="59"/>
        <v>0</v>
      </c>
      <c r="U468">
        <v>0</v>
      </c>
      <c r="V468" s="43">
        <v>0</v>
      </c>
      <c r="W468" s="44">
        <f t="shared" si="60"/>
        <v>0</v>
      </c>
      <c r="X468" s="44">
        <f t="shared" si="61"/>
        <v>0</v>
      </c>
      <c r="Y468" s="44">
        <f t="shared" si="62"/>
        <v>0</v>
      </c>
      <c r="Z468" s="84"/>
      <c r="AA468" s="78"/>
      <c r="AB468" s="78"/>
      <c r="AC468" s="78"/>
      <c r="AD468" s="78"/>
      <c r="AE468" s="78"/>
    </row>
    <row r="469" spans="1:31" ht="12.75">
      <c r="A469"/>
      <c r="B469"/>
      <c r="C469"/>
      <c r="D469"/>
      <c r="E469"/>
      <c r="F469"/>
      <c r="G469"/>
      <c r="H469"/>
      <c r="I469"/>
      <c r="J469"/>
      <c r="K469" s="100">
        <f t="shared" si="63"/>
        <v>0</v>
      </c>
      <c r="L469" s="95"/>
      <c r="M469" s="90">
        <f t="shared" si="57"/>
        <v>0</v>
      </c>
      <c r="N469" s="56">
        <v>0</v>
      </c>
      <c r="O469" s="44">
        <f t="shared" si="58"/>
        <v>0</v>
      </c>
      <c r="P469" s="44"/>
      <c r="Q469" s="44"/>
      <c r="R469" s="44"/>
      <c r="S469" s="44">
        <f t="shared" si="64"/>
        <v>0</v>
      </c>
      <c r="T469" s="44">
        <f t="shared" si="59"/>
        <v>0</v>
      </c>
      <c r="U469">
        <v>0</v>
      </c>
      <c r="V469" s="43">
        <v>0</v>
      </c>
      <c r="W469" s="44">
        <f t="shared" si="60"/>
        <v>0</v>
      </c>
      <c r="X469" s="44">
        <f t="shared" si="61"/>
        <v>0</v>
      </c>
      <c r="Y469" s="44">
        <f t="shared" si="62"/>
        <v>0</v>
      </c>
      <c r="Z469" s="84"/>
      <c r="AA469" s="78"/>
      <c r="AB469" s="78"/>
      <c r="AC469" s="78"/>
      <c r="AD469" s="78"/>
      <c r="AE469" s="78"/>
    </row>
    <row r="470" spans="1:31" ht="12.75">
      <c r="A470"/>
      <c r="B470"/>
      <c r="C470"/>
      <c r="D470"/>
      <c r="E470"/>
      <c r="F470"/>
      <c r="G470"/>
      <c r="H470"/>
      <c r="I470"/>
      <c r="J470"/>
      <c r="K470" s="100">
        <f t="shared" ref="K470:K501" si="65">+I470*J470</f>
        <v>0</v>
      </c>
      <c r="L470" s="95"/>
      <c r="M470" s="90">
        <f t="shared" si="57"/>
        <v>0</v>
      </c>
      <c r="N470" s="56">
        <v>0</v>
      </c>
      <c r="O470" s="44">
        <f t="shared" si="58"/>
        <v>0</v>
      </c>
      <c r="P470" s="44"/>
      <c r="Q470" s="44"/>
      <c r="R470" s="44"/>
      <c r="S470" s="44">
        <f t="shared" ref="S470:S501" si="66">IF(R470="y",+P470*0.01,0)</f>
        <v>0</v>
      </c>
      <c r="T470" s="44">
        <f t="shared" si="59"/>
        <v>0</v>
      </c>
      <c r="U470">
        <v>0</v>
      </c>
      <c r="V470" s="43">
        <v>0</v>
      </c>
      <c r="W470" s="44">
        <f t="shared" si="60"/>
        <v>0</v>
      </c>
      <c r="X470" s="44">
        <f t="shared" si="61"/>
        <v>0</v>
      </c>
      <c r="Y470" s="44">
        <f t="shared" si="62"/>
        <v>0</v>
      </c>
      <c r="Z470" s="84"/>
      <c r="AA470" s="78"/>
      <c r="AB470" s="78"/>
      <c r="AC470" s="78"/>
      <c r="AD470" s="78"/>
      <c r="AE470" s="78"/>
    </row>
    <row r="471" spans="1:31" ht="12.75">
      <c r="A471"/>
      <c r="B471"/>
      <c r="C471"/>
      <c r="D471"/>
      <c r="E471"/>
      <c r="F471"/>
      <c r="G471"/>
      <c r="H471"/>
      <c r="I471"/>
      <c r="J471"/>
      <c r="K471" s="100">
        <f t="shared" si="65"/>
        <v>0</v>
      </c>
      <c r="L471" s="95"/>
      <c r="M471" s="90">
        <f t="shared" si="57"/>
        <v>0</v>
      </c>
      <c r="N471" s="56">
        <v>0</v>
      </c>
      <c r="O471" s="44">
        <f t="shared" si="58"/>
        <v>0</v>
      </c>
      <c r="P471" s="44"/>
      <c r="Q471" s="44"/>
      <c r="R471" s="44"/>
      <c r="S471" s="44">
        <f t="shared" si="66"/>
        <v>0</v>
      </c>
      <c r="T471" s="44">
        <f t="shared" si="59"/>
        <v>0</v>
      </c>
      <c r="U471">
        <v>0</v>
      </c>
      <c r="V471" s="43">
        <v>0</v>
      </c>
      <c r="W471" s="44">
        <f t="shared" si="60"/>
        <v>0</v>
      </c>
      <c r="X471" s="44">
        <f t="shared" si="61"/>
        <v>0</v>
      </c>
      <c r="Y471" s="44">
        <f t="shared" si="62"/>
        <v>0</v>
      </c>
      <c r="Z471" s="84"/>
      <c r="AA471" s="78"/>
      <c r="AB471" s="78"/>
      <c r="AC471" s="78"/>
      <c r="AD471" s="78"/>
      <c r="AE471" s="78"/>
    </row>
    <row r="472" spans="1:31" ht="12.75">
      <c r="A472"/>
      <c r="B472"/>
      <c r="C472"/>
      <c r="D472"/>
      <c r="E472"/>
      <c r="F472"/>
      <c r="G472"/>
      <c r="H472"/>
      <c r="I472"/>
      <c r="J472"/>
      <c r="K472" s="100">
        <f t="shared" si="65"/>
        <v>0</v>
      </c>
      <c r="L472" s="95"/>
      <c r="M472" s="90">
        <f t="shared" si="57"/>
        <v>0</v>
      </c>
      <c r="N472" s="56">
        <v>0</v>
      </c>
      <c r="O472" s="44">
        <f t="shared" si="58"/>
        <v>0</v>
      </c>
      <c r="P472" s="44"/>
      <c r="Q472" s="44"/>
      <c r="R472" s="44"/>
      <c r="S472" s="44">
        <f t="shared" si="66"/>
        <v>0</v>
      </c>
      <c r="T472" s="44">
        <f t="shared" si="59"/>
        <v>0</v>
      </c>
      <c r="U472">
        <v>0</v>
      </c>
      <c r="V472" s="43">
        <v>0</v>
      </c>
      <c r="W472" s="44">
        <f t="shared" si="60"/>
        <v>0</v>
      </c>
      <c r="X472" s="44">
        <f t="shared" si="61"/>
        <v>0</v>
      </c>
      <c r="Y472" s="44">
        <f t="shared" si="62"/>
        <v>0</v>
      </c>
      <c r="Z472" s="84"/>
      <c r="AA472" s="78"/>
      <c r="AB472" s="78"/>
      <c r="AC472" s="78"/>
      <c r="AD472" s="78"/>
      <c r="AE472" s="78"/>
    </row>
    <row r="473" spans="1:31" ht="12.75">
      <c r="A473"/>
      <c r="B473"/>
      <c r="C473"/>
      <c r="D473"/>
      <c r="E473"/>
      <c r="F473"/>
      <c r="G473"/>
      <c r="H473"/>
      <c r="I473"/>
      <c r="J473"/>
      <c r="K473" s="100">
        <f t="shared" si="65"/>
        <v>0</v>
      </c>
      <c r="L473" s="95"/>
      <c r="M473" s="90">
        <f t="shared" si="57"/>
        <v>0</v>
      </c>
      <c r="N473" s="56">
        <v>0</v>
      </c>
      <c r="O473" s="44">
        <f t="shared" si="58"/>
        <v>0</v>
      </c>
      <c r="P473" s="44"/>
      <c r="Q473" s="44"/>
      <c r="R473" s="44"/>
      <c r="S473" s="44">
        <f t="shared" si="66"/>
        <v>0</v>
      </c>
      <c r="T473" s="44">
        <f t="shared" si="59"/>
        <v>0</v>
      </c>
      <c r="U473">
        <v>0</v>
      </c>
      <c r="V473" s="43">
        <v>0</v>
      </c>
      <c r="W473" s="44">
        <f t="shared" si="60"/>
        <v>0</v>
      </c>
      <c r="X473" s="44">
        <f t="shared" si="61"/>
        <v>0</v>
      </c>
      <c r="Y473" s="44">
        <f t="shared" si="62"/>
        <v>0</v>
      </c>
      <c r="Z473" s="84"/>
      <c r="AA473" s="78"/>
      <c r="AB473" s="78"/>
      <c r="AC473" s="78"/>
      <c r="AD473" s="78"/>
      <c r="AE473" s="78"/>
    </row>
    <row r="474" spans="1:31" ht="12.75">
      <c r="A474"/>
      <c r="B474"/>
      <c r="C474"/>
      <c r="D474"/>
      <c r="E474"/>
      <c r="F474"/>
      <c r="G474"/>
      <c r="H474"/>
      <c r="I474"/>
      <c r="J474"/>
      <c r="K474" s="100">
        <f t="shared" si="65"/>
        <v>0</v>
      </c>
      <c r="L474" s="95"/>
      <c r="M474" s="90">
        <f t="shared" si="57"/>
        <v>0</v>
      </c>
      <c r="N474" s="56">
        <v>0</v>
      </c>
      <c r="O474" s="44">
        <f t="shared" si="58"/>
        <v>0</v>
      </c>
      <c r="P474" s="44"/>
      <c r="Q474" s="44"/>
      <c r="R474" s="44"/>
      <c r="S474" s="44">
        <f t="shared" si="66"/>
        <v>0</v>
      </c>
      <c r="T474" s="44">
        <f t="shared" si="59"/>
        <v>0</v>
      </c>
      <c r="U474">
        <v>0</v>
      </c>
      <c r="V474" s="43">
        <v>0</v>
      </c>
      <c r="W474" s="44">
        <f t="shared" si="60"/>
        <v>0</v>
      </c>
      <c r="X474" s="44">
        <f t="shared" si="61"/>
        <v>0</v>
      </c>
      <c r="Y474" s="44">
        <f t="shared" si="62"/>
        <v>0</v>
      </c>
      <c r="Z474" s="84"/>
      <c r="AA474" s="78"/>
      <c r="AB474" s="78"/>
      <c r="AC474" s="78"/>
      <c r="AD474" s="78"/>
      <c r="AE474" s="78"/>
    </row>
    <row r="475" spans="1:31" ht="12.75">
      <c r="A475"/>
      <c r="B475"/>
      <c r="C475"/>
      <c r="D475"/>
      <c r="E475"/>
      <c r="F475"/>
      <c r="G475"/>
      <c r="H475"/>
      <c r="I475"/>
      <c r="J475"/>
      <c r="K475" s="100">
        <f t="shared" si="65"/>
        <v>0</v>
      </c>
      <c r="L475" s="95"/>
      <c r="M475" s="90">
        <f t="shared" si="57"/>
        <v>0</v>
      </c>
      <c r="N475" s="56">
        <v>0</v>
      </c>
      <c r="O475" s="44">
        <f t="shared" si="58"/>
        <v>0</v>
      </c>
      <c r="P475" s="44"/>
      <c r="Q475" s="44"/>
      <c r="R475" s="44"/>
      <c r="S475" s="44">
        <f t="shared" si="66"/>
        <v>0</v>
      </c>
      <c r="T475" s="44">
        <f t="shared" si="59"/>
        <v>0</v>
      </c>
      <c r="U475">
        <v>0</v>
      </c>
      <c r="V475" s="43">
        <v>0</v>
      </c>
      <c r="W475" s="44">
        <f t="shared" si="60"/>
        <v>0</v>
      </c>
      <c r="X475" s="44">
        <f t="shared" si="61"/>
        <v>0</v>
      </c>
      <c r="Y475" s="44">
        <f t="shared" si="62"/>
        <v>0</v>
      </c>
      <c r="Z475" s="84"/>
      <c r="AA475" s="78"/>
      <c r="AB475" s="78"/>
      <c r="AC475" s="78"/>
      <c r="AD475" s="78"/>
      <c r="AE475" s="78"/>
    </row>
    <row r="476" spans="1:31" ht="12.75">
      <c r="A476"/>
      <c r="B476"/>
      <c r="C476"/>
      <c r="D476"/>
      <c r="E476"/>
      <c r="F476"/>
      <c r="G476"/>
      <c r="H476"/>
      <c r="I476"/>
      <c r="J476"/>
      <c r="K476" s="100">
        <f t="shared" si="65"/>
        <v>0</v>
      </c>
      <c r="L476" s="95"/>
      <c r="M476" s="90">
        <f t="shared" si="57"/>
        <v>0</v>
      </c>
      <c r="N476" s="56">
        <v>0</v>
      </c>
      <c r="O476" s="44">
        <f t="shared" si="58"/>
        <v>0</v>
      </c>
      <c r="P476" s="44"/>
      <c r="Q476" s="44"/>
      <c r="R476" s="44"/>
      <c r="S476" s="44">
        <f t="shared" si="66"/>
        <v>0</v>
      </c>
      <c r="T476" s="44">
        <f t="shared" si="59"/>
        <v>0</v>
      </c>
      <c r="U476">
        <v>0</v>
      </c>
      <c r="V476" s="43">
        <v>0</v>
      </c>
      <c r="W476" s="44">
        <f t="shared" si="60"/>
        <v>0</v>
      </c>
      <c r="X476" s="44">
        <f t="shared" si="61"/>
        <v>0</v>
      </c>
      <c r="Y476" s="44">
        <f t="shared" si="62"/>
        <v>0</v>
      </c>
      <c r="Z476" s="84"/>
      <c r="AA476" s="78"/>
      <c r="AB476" s="78"/>
      <c r="AC476" s="78"/>
      <c r="AD476" s="78"/>
      <c r="AE476" s="78"/>
    </row>
    <row r="477" spans="1:31" ht="12.75">
      <c r="A477"/>
      <c r="B477"/>
      <c r="C477"/>
      <c r="D477"/>
      <c r="E477"/>
      <c r="F477"/>
      <c r="G477"/>
      <c r="H477"/>
      <c r="I477"/>
      <c r="J477"/>
      <c r="K477" s="100">
        <f t="shared" si="65"/>
        <v>0</v>
      </c>
      <c r="L477" s="95"/>
      <c r="M477" s="90">
        <f t="shared" si="57"/>
        <v>0</v>
      </c>
      <c r="N477" s="56">
        <v>0</v>
      </c>
      <c r="O477" s="44">
        <f t="shared" si="58"/>
        <v>0</v>
      </c>
      <c r="P477" s="44"/>
      <c r="Q477" s="44"/>
      <c r="R477" s="44"/>
      <c r="S477" s="44">
        <f t="shared" si="66"/>
        <v>0</v>
      </c>
      <c r="T477" s="44">
        <f t="shared" si="59"/>
        <v>0</v>
      </c>
      <c r="U477">
        <v>0</v>
      </c>
      <c r="V477" s="43">
        <v>0</v>
      </c>
      <c r="W477" s="44">
        <f t="shared" si="60"/>
        <v>0</v>
      </c>
      <c r="X477" s="44">
        <f t="shared" si="61"/>
        <v>0</v>
      </c>
      <c r="Y477" s="44">
        <f t="shared" si="62"/>
        <v>0</v>
      </c>
      <c r="Z477" s="84"/>
      <c r="AA477" s="78"/>
      <c r="AB477" s="78"/>
      <c r="AC477" s="78"/>
      <c r="AD477" s="78"/>
      <c r="AE477" s="78"/>
    </row>
    <row r="478" spans="1:31" ht="12.75">
      <c r="A478"/>
      <c r="B478"/>
      <c r="C478"/>
      <c r="D478"/>
      <c r="E478"/>
      <c r="F478"/>
      <c r="G478"/>
      <c r="H478"/>
      <c r="I478"/>
      <c r="J478"/>
      <c r="K478" s="100">
        <f t="shared" si="65"/>
        <v>0</v>
      </c>
      <c r="L478" s="95"/>
      <c r="M478" s="90">
        <f t="shared" si="57"/>
        <v>0</v>
      </c>
      <c r="N478" s="56">
        <v>0</v>
      </c>
      <c r="O478" s="44">
        <f t="shared" si="58"/>
        <v>0</v>
      </c>
      <c r="P478" s="44"/>
      <c r="Q478" s="44"/>
      <c r="R478" s="44"/>
      <c r="S478" s="44">
        <f t="shared" si="66"/>
        <v>0</v>
      </c>
      <c r="T478" s="44">
        <f t="shared" si="59"/>
        <v>0</v>
      </c>
      <c r="U478">
        <v>0</v>
      </c>
      <c r="V478" s="43">
        <v>0</v>
      </c>
      <c r="W478" s="44">
        <f t="shared" si="60"/>
        <v>0</v>
      </c>
      <c r="X478" s="44">
        <f t="shared" si="61"/>
        <v>0</v>
      </c>
      <c r="Y478" s="44">
        <f t="shared" si="62"/>
        <v>0</v>
      </c>
      <c r="Z478" s="84"/>
      <c r="AA478" s="78"/>
      <c r="AB478" s="78"/>
      <c r="AC478" s="78"/>
      <c r="AD478" s="78"/>
      <c r="AE478" s="78"/>
    </row>
    <row r="479" spans="1:31" ht="12.75">
      <c r="A479"/>
      <c r="B479"/>
      <c r="C479"/>
      <c r="D479"/>
      <c r="E479"/>
      <c r="F479"/>
      <c r="G479"/>
      <c r="H479"/>
      <c r="I479"/>
      <c r="J479"/>
      <c r="K479" s="100">
        <f t="shared" si="65"/>
        <v>0</v>
      </c>
      <c r="L479" s="95"/>
      <c r="M479" s="90">
        <f t="shared" si="57"/>
        <v>0</v>
      </c>
      <c r="N479" s="56">
        <v>0</v>
      </c>
      <c r="O479" s="44">
        <f t="shared" si="58"/>
        <v>0</v>
      </c>
      <c r="P479" s="44"/>
      <c r="Q479" s="44"/>
      <c r="R479" s="44"/>
      <c r="S479" s="44">
        <f t="shared" si="66"/>
        <v>0</v>
      </c>
      <c r="T479" s="44">
        <f t="shared" si="59"/>
        <v>0</v>
      </c>
      <c r="U479">
        <v>0</v>
      </c>
      <c r="V479" s="43">
        <v>0</v>
      </c>
      <c r="W479" s="44">
        <f t="shared" si="60"/>
        <v>0</v>
      </c>
      <c r="X479" s="44">
        <f t="shared" si="61"/>
        <v>0</v>
      </c>
      <c r="Y479" s="44">
        <f t="shared" si="62"/>
        <v>0</v>
      </c>
      <c r="Z479" s="84"/>
      <c r="AA479" s="78"/>
      <c r="AB479" s="78"/>
      <c r="AC479" s="78"/>
      <c r="AD479" s="78"/>
      <c r="AE479" s="78"/>
    </row>
    <row r="480" spans="1:31" ht="12.75">
      <c r="A480"/>
      <c r="B480"/>
      <c r="C480"/>
      <c r="D480"/>
      <c r="E480"/>
      <c r="F480"/>
      <c r="G480"/>
      <c r="H480"/>
      <c r="I480"/>
      <c r="J480"/>
      <c r="K480" s="100">
        <f t="shared" si="65"/>
        <v>0</v>
      </c>
      <c r="L480" s="95"/>
      <c r="M480" s="90">
        <f t="shared" si="57"/>
        <v>0</v>
      </c>
      <c r="N480" s="56">
        <v>0</v>
      </c>
      <c r="O480" s="44">
        <f t="shared" si="58"/>
        <v>0</v>
      </c>
      <c r="P480" s="44"/>
      <c r="Q480" s="44"/>
      <c r="R480" s="44"/>
      <c r="S480" s="44">
        <f t="shared" si="66"/>
        <v>0</v>
      </c>
      <c r="T480" s="44">
        <f t="shared" si="59"/>
        <v>0</v>
      </c>
      <c r="U480">
        <v>0</v>
      </c>
      <c r="V480" s="43">
        <v>0</v>
      </c>
      <c r="W480" s="44">
        <f t="shared" si="60"/>
        <v>0</v>
      </c>
      <c r="X480" s="44">
        <f t="shared" si="61"/>
        <v>0</v>
      </c>
      <c r="Y480" s="44">
        <f t="shared" si="62"/>
        <v>0</v>
      </c>
      <c r="Z480" s="84"/>
      <c r="AA480" s="78"/>
      <c r="AB480" s="78"/>
      <c r="AC480" s="78"/>
      <c r="AD480" s="78"/>
      <c r="AE480" s="78"/>
    </row>
    <row r="481" spans="1:31" ht="12.75">
      <c r="A481"/>
      <c r="B481"/>
      <c r="C481"/>
      <c r="D481"/>
      <c r="E481"/>
      <c r="F481"/>
      <c r="G481"/>
      <c r="H481"/>
      <c r="I481"/>
      <c r="J481"/>
      <c r="K481" s="100">
        <f t="shared" si="65"/>
        <v>0</v>
      </c>
      <c r="L481" s="95"/>
      <c r="M481" s="90">
        <f t="shared" si="57"/>
        <v>0</v>
      </c>
      <c r="N481" s="56">
        <v>0</v>
      </c>
      <c r="O481" s="44">
        <f t="shared" si="58"/>
        <v>0</v>
      </c>
      <c r="P481" s="44"/>
      <c r="Q481" s="44"/>
      <c r="R481" s="44"/>
      <c r="S481" s="44">
        <f t="shared" si="66"/>
        <v>0</v>
      </c>
      <c r="T481" s="44">
        <f t="shared" si="59"/>
        <v>0</v>
      </c>
      <c r="U481">
        <v>0</v>
      </c>
      <c r="V481" s="43">
        <v>0</v>
      </c>
      <c r="W481" s="44">
        <f t="shared" si="60"/>
        <v>0</v>
      </c>
      <c r="X481" s="44">
        <f t="shared" si="61"/>
        <v>0</v>
      </c>
      <c r="Y481" s="44">
        <f t="shared" si="62"/>
        <v>0</v>
      </c>
      <c r="Z481" s="84"/>
      <c r="AA481" s="78"/>
      <c r="AB481" s="78"/>
      <c r="AC481" s="78"/>
      <c r="AD481" s="78"/>
      <c r="AE481" s="78"/>
    </row>
    <row r="482" spans="1:31" ht="12.75">
      <c r="A482"/>
      <c r="B482"/>
      <c r="C482"/>
      <c r="D482"/>
      <c r="E482"/>
      <c r="F482"/>
      <c r="G482"/>
      <c r="H482"/>
      <c r="I482"/>
      <c r="J482"/>
      <c r="K482" s="100">
        <f t="shared" si="65"/>
        <v>0</v>
      </c>
      <c r="L482" s="95"/>
      <c r="M482" s="90">
        <f t="shared" si="57"/>
        <v>0</v>
      </c>
      <c r="N482" s="56">
        <v>0</v>
      </c>
      <c r="O482" s="44">
        <f t="shared" si="58"/>
        <v>0</v>
      </c>
      <c r="P482" s="44"/>
      <c r="Q482" s="44"/>
      <c r="R482" s="44"/>
      <c r="S482" s="44">
        <f t="shared" si="66"/>
        <v>0</v>
      </c>
      <c r="T482" s="44">
        <f t="shared" si="59"/>
        <v>0</v>
      </c>
      <c r="U482">
        <v>0</v>
      </c>
      <c r="V482" s="43">
        <v>0</v>
      </c>
      <c r="W482" s="44">
        <f t="shared" si="60"/>
        <v>0</v>
      </c>
      <c r="X482" s="44">
        <f t="shared" si="61"/>
        <v>0</v>
      </c>
      <c r="Y482" s="44">
        <f t="shared" si="62"/>
        <v>0</v>
      </c>
      <c r="Z482" s="84"/>
      <c r="AA482" s="78"/>
      <c r="AB482" s="78"/>
      <c r="AC482" s="78"/>
      <c r="AD482" s="78"/>
      <c r="AE482" s="78"/>
    </row>
    <row r="483" spans="1:31" ht="12.75">
      <c r="A483"/>
      <c r="B483"/>
      <c r="C483"/>
      <c r="D483"/>
      <c r="E483"/>
      <c r="F483"/>
      <c r="G483"/>
      <c r="H483"/>
      <c r="I483"/>
      <c r="J483"/>
      <c r="K483" s="100">
        <f t="shared" si="65"/>
        <v>0</v>
      </c>
      <c r="L483" s="95"/>
      <c r="M483" s="90">
        <f t="shared" si="57"/>
        <v>0</v>
      </c>
      <c r="N483" s="56">
        <v>0</v>
      </c>
      <c r="O483" s="44">
        <f t="shared" si="58"/>
        <v>0</v>
      </c>
      <c r="P483" s="44"/>
      <c r="Q483" s="44"/>
      <c r="R483" s="44"/>
      <c r="S483" s="44">
        <f t="shared" si="66"/>
        <v>0</v>
      </c>
      <c r="T483" s="44">
        <f t="shared" si="59"/>
        <v>0</v>
      </c>
      <c r="U483">
        <v>0</v>
      </c>
      <c r="V483" s="43">
        <v>0</v>
      </c>
      <c r="W483" s="44">
        <f t="shared" si="60"/>
        <v>0</v>
      </c>
      <c r="X483" s="44">
        <f t="shared" si="61"/>
        <v>0</v>
      </c>
      <c r="Y483" s="44">
        <f t="shared" si="62"/>
        <v>0</v>
      </c>
      <c r="Z483" s="84"/>
      <c r="AA483" s="78"/>
      <c r="AB483" s="78"/>
      <c r="AC483" s="78"/>
      <c r="AD483" s="78"/>
      <c r="AE483" s="78"/>
    </row>
    <row r="484" spans="1:31" ht="12.75">
      <c r="A484"/>
      <c r="B484"/>
      <c r="C484"/>
      <c r="D484"/>
      <c r="E484"/>
      <c r="F484"/>
      <c r="G484"/>
      <c r="H484"/>
      <c r="I484"/>
      <c r="J484"/>
      <c r="K484" s="100">
        <f t="shared" si="65"/>
        <v>0</v>
      </c>
      <c r="L484" s="95"/>
      <c r="M484" s="90">
        <f t="shared" si="57"/>
        <v>0</v>
      </c>
      <c r="N484" s="56">
        <v>0</v>
      </c>
      <c r="O484" s="44">
        <f t="shared" si="58"/>
        <v>0</v>
      </c>
      <c r="P484" s="44"/>
      <c r="Q484" s="44"/>
      <c r="R484" s="44"/>
      <c r="S484" s="44">
        <f t="shared" si="66"/>
        <v>0</v>
      </c>
      <c r="T484" s="44">
        <f t="shared" si="59"/>
        <v>0</v>
      </c>
      <c r="U484">
        <v>0</v>
      </c>
      <c r="V484" s="43">
        <v>0</v>
      </c>
      <c r="W484" s="44">
        <f t="shared" si="60"/>
        <v>0</v>
      </c>
      <c r="X484" s="44">
        <f t="shared" si="61"/>
        <v>0</v>
      </c>
      <c r="Y484" s="44">
        <f t="shared" si="62"/>
        <v>0</v>
      </c>
      <c r="Z484" s="84"/>
      <c r="AA484" s="78"/>
      <c r="AB484" s="78"/>
      <c r="AC484" s="78"/>
      <c r="AD484" s="78"/>
      <c r="AE484" s="78"/>
    </row>
    <row r="485" spans="1:31" ht="12.75">
      <c r="A485"/>
      <c r="B485"/>
      <c r="C485"/>
      <c r="D485"/>
      <c r="E485"/>
      <c r="F485"/>
      <c r="G485"/>
      <c r="H485"/>
      <c r="I485"/>
      <c r="J485"/>
      <c r="K485" s="100">
        <f t="shared" si="65"/>
        <v>0</v>
      </c>
      <c r="L485" s="95"/>
      <c r="M485" s="90">
        <f t="shared" si="57"/>
        <v>0</v>
      </c>
      <c r="N485" s="56">
        <v>0</v>
      </c>
      <c r="O485" s="44">
        <f t="shared" si="58"/>
        <v>0</v>
      </c>
      <c r="P485" s="44"/>
      <c r="Q485" s="44"/>
      <c r="R485" s="44"/>
      <c r="S485" s="44">
        <f t="shared" si="66"/>
        <v>0</v>
      </c>
      <c r="T485" s="44">
        <f t="shared" si="59"/>
        <v>0</v>
      </c>
      <c r="U485">
        <v>0</v>
      </c>
      <c r="V485" s="43">
        <v>0</v>
      </c>
      <c r="W485" s="44">
        <f t="shared" si="60"/>
        <v>0</v>
      </c>
      <c r="X485" s="44">
        <f t="shared" si="61"/>
        <v>0</v>
      </c>
      <c r="Y485" s="44">
        <f t="shared" si="62"/>
        <v>0</v>
      </c>
      <c r="Z485" s="84"/>
      <c r="AA485" s="78"/>
      <c r="AB485" s="78"/>
      <c r="AC485" s="78"/>
      <c r="AD485" s="78"/>
      <c r="AE485" s="78"/>
    </row>
    <row r="486" spans="1:31" ht="12.75">
      <c r="A486"/>
      <c r="B486"/>
      <c r="C486"/>
      <c r="D486"/>
      <c r="E486"/>
      <c r="F486"/>
      <c r="G486"/>
      <c r="H486"/>
      <c r="I486"/>
      <c r="J486"/>
      <c r="K486" s="100">
        <f t="shared" si="65"/>
        <v>0</v>
      </c>
      <c r="L486" s="95"/>
      <c r="M486" s="90">
        <f t="shared" si="57"/>
        <v>0</v>
      </c>
      <c r="N486" s="56">
        <v>0</v>
      </c>
      <c r="O486" s="44">
        <f t="shared" si="58"/>
        <v>0</v>
      </c>
      <c r="P486" s="44"/>
      <c r="Q486" s="44"/>
      <c r="R486" s="44"/>
      <c r="S486" s="44">
        <f t="shared" si="66"/>
        <v>0</v>
      </c>
      <c r="T486" s="44">
        <f t="shared" si="59"/>
        <v>0</v>
      </c>
      <c r="U486">
        <v>0</v>
      </c>
      <c r="V486" s="43">
        <v>0</v>
      </c>
      <c r="W486" s="44">
        <f t="shared" si="60"/>
        <v>0</v>
      </c>
      <c r="X486" s="44">
        <f t="shared" si="61"/>
        <v>0</v>
      </c>
      <c r="Y486" s="44">
        <f t="shared" si="62"/>
        <v>0</v>
      </c>
      <c r="Z486" s="84"/>
      <c r="AA486" s="78"/>
      <c r="AB486" s="78"/>
      <c r="AC486" s="78"/>
      <c r="AD486" s="78"/>
      <c r="AE486" s="78"/>
    </row>
    <row r="487" spans="1:31" ht="12.75">
      <c r="A487"/>
      <c r="B487"/>
      <c r="C487"/>
      <c r="D487"/>
      <c r="E487"/>
      <c r="F487"/>
      <c r="G487"/>
      <c r="H487"/>
      <c r="I487"/>
      <c r="J487"/>
      <c r="K487" s="100">
        <f t="shared" si="65"/>
        <v>0</v>
      </c>
      <c r="L487" s="95"/>
      <c r="M487" s="90">
        <f t="shared" si="57"/>
        <v>0</v>
      </c>
      <c r="N487" s="56">
        <v>0</v>
      </c>
      <c r="O487" s="44">
        <f t="shared" si="58"/>
        <v>0</v>
      </c>
      <c r="P487" s="44"/>
      <c r="Q487" s="44"/>
      <c r="R487" s="44"/>
      <c r="S487" s="44">
        <f t="shared" si="66"/>
        <v>0</v>
      </c>
      <c r="T487" s="44">
        <f t="shared" si="59"/>
        <v>0</v>
      </c>
      <c r="U487">
        <v>0</v>
      </c>
      <c r="V487" s="43">
        <v>0</v>
      </c>
      <c r="W487" s="44">
        <f t="shared" si="60"/>
        <v>0</v>
      </c>
      <c r="X487" s="44">
        <f t="shared" si="61"/>
        <v>0</v>
      </c>
      <c r="Y487" s="44">
        <f t="shared" si="62"/>
        <v>0</v>
      </c>
      <c r="Z487" s="84"/>
      <c r="AA487" s="78"/>
      <c r="AB487" s="78"/>
      <c r="AC487" s="78"/>
      <c r="AD487" s="78"/>
      <c r="AE487" s="78"/>
    </row>
    <row r="488" spans="1:31" ht="12.75">
      <c r="A488"/>
      <c r="B488"/>
      <c r="C488"/>
      <c r="D488"/>
      <c r="E488"/>
      <c r="F488"/>
      <c r="G488"/>
      <c r="H488"/>
      <c r="I488"/>
      <c r="J488"/>
      <c r="K488" s="100">
        <f t="shared" si="65"/>
        <v>0</v>
      </c>
      <c r="L488" s="95"/>
      <c r="M488" s="90">
        <f t="shared" si="57"/>
        <v>0</v>
      </c>
      <c r="N488" s="56">
        <v>0</v>
      </c>
      <c r="O488" s="44">
        <f t="shared" si="58"/>
        <v>0</v>
      </c>
      <c r="P488" s="44"/>
      <c r="Q488" s="44"/>
      <c r="R488" s="44"/>
      <c r="S488" s="44">
        <f t="shared" si="66"/>
        <v>0</v>
      </c>
      <c r="T488" s="44">
        <f t="shared" si="59"/>
        <v>0</v>
      </c>
      <c r="U488">
        <v>0</v>
      </c>
      <c r="V488" s="43">
        <v>0</v>
      </c>
      <c r="W488" s="44">
        <f t="shared" si="60"/>
        <v>0</v>
      </c>
      <c r="X488" s="44">
        <f t="shared" si="61"/>
        <v>0</v>
      </c>
      <c r="Y488" s="44">
        <f t="shared" si="62"/>
        <v>0</v>
      </c>
      <c r="Z488" s="84"/>
      <c r="AA488" s="78"/>
      <c r="AB488" s="78"/>
      <c r="AC488" s="78"/>
      <c r="AD488" s="78"/>
      <c r="AE488" s="78"/>
    </row>
    <row r="489" spans="1:31" ht="12.75">
      <c r="A489"/>
      <c r="B489"/>
      <c r="C489"/>
      <c r="D489"/>
      <c r="E489"/>
      <c r="F489"/>
      <c r="G489"/>
      <c r="H489"/>
      <c r="I489"/>
      <c r="J489"/>
      <c r="K489" s="100">
        <f t="shared" si="65"/>
        <v>0</v>
      </c>
      <c r="L489" s="95"/>
      <c r="M489" s="90">
        <f t="shared" si="57"/>
        <v>0</v>
      </c>
      <c r="N489" s="56">
        <v>0</v>
      </c>
      <c r="O489" s="44">
        <f t="shared" si="58"/>
        <v>0</v>
      </c>
      <c r="P489" s="44"/>
      <c r="Q489" s="44"/>
      <c r="R489" s="44"/>
      <c r="S489" s="44">
        <f t="shared" si="66"/>
        <v>0</v>
      </c>
      <c r="T489" s="44">
        <f t="shared" si="59"/>
        <v>0</v>
      </c>
      <c r="U489">
        <v>0</v>
      </c>
      <c r="V489" s="43">
        <v>0</v>
      </c>
      <c r="W489" s="44">
        <f t="shared" si="60"/>
        <v>0</v>
      </c>
      <c r="X489" s="44">
        <f t="shared" si="61"/>
        <v>0</v>
      </c>
      <c r="Y489" s="44">
        <f t="shared" si="62"/>
        <v>0</v>
      </c>
      <c r="Z489" s="84"/>
      <c r="AA489" s="78"/>
      <c r="AB489" s="78"/>
      <c r="AC489" s="78"/>
      <c r="AD489" s="78"/>
      <c r="AE489" s="78"/>
    </row>
    <row r="490" spans="1:31" ht="12.75">
      <c r="A490"/>
      <c r="B490"/>
      <c r="C490"/>
      <c r="D490"/>
      <c r="E490"/>
      <c r="F490"/>
      <c r="G490"/>
      <c r="H490"/>
      <c r="I490"/>
      <c r="J490"/>
      <c r="K490" s="100">
        <f t="shared" si="65"/>
        <v>0</v>
      </c>
      <c r="L490" s="95"/>
      <c r="M490" s="90">
        <f t="shared" si="57"/>
        <v>0</v>
      </c>
      <c r="N490" s="56">
        <v>0</v>
      </c>
      <c r="O490" s="44">
        <f t="shared" si="58"/>
        <v>0</v>
      </c>
      <c r="P490" s="44"/>
      <c r="Q490" s="44"/>
      <c r="R490" s="44"/>
      <c r="S490" s="44">
        <f t="shared" si="66"/>
        <v>0</v>
      </c>
      <c r="T490" s="44">
        <f t="shared" si="59"/>
        <v>0</v>
      </c>
      <c r="U490">
        <v>0</v>
      </c>
      <c r="V490" s="43">
        <v>0</v>
      </c>
      <c r="W490" s="44">
        <f t="shared" si="60"/>
        <v>0</v>
      </c>
      <c r="X490" s="44">
        <f t="shared" si="61"/>
        <v>0</v>
      </c>
      <c r="Y490" s="44">
        <f t="shared" si="62"/>
        <v>0</v>
      </c>
      <c r="Z490" s="84"/>
      <c r="AA490" s="78"/>
      <c r="AB490" s="78"/>
      <c r="AC490" s="78"/>
      <c r="AD490" s="78"/>
      <c r="AE490" s="78"/>
    </row>
    <row r="491" spans="1:31" ht="12.75">
      <c r="A491"/>
      <c r="B491"/>
      <c r="C491"/>
      <c r="D491"/>
      <c r="E491"/>
      <c r="F491"/>
      <c r="G491"/>
      <c r="H491"/>
      <c r="I491"/>
      <c r="J491"/>
      <c r="K491" s="100">
        <f t="shared" si="65"/>
        <v>0</v>
      </c>
      <c r="L491" s="95"/>
      <c r="M491" s="90">
        <f t="shared" si="57"/>
        <v>0</v>
      </c>
      <c r="N491" s="56">
        <v>0</v>
      </c>
      <c r="O491" s="44">
        <f t="shared" si="58"/>
        <v>0</v>
      </c>
      <c r="P491" s="44"/>
      <c r="Q491" s="44"/>
      <c r="R491" s="44"/>
      <c r="S491" s="44">
        <f t="shared" si="66"/>
        <v>0</v>
      </c>
      <c r="T491" s="44">
        <f t="shared" si="59"/>
        <v>0</v>
      </c>
      <c r="U491">
        <v>0</v>
      </c>
      <c r="V491" s="43">
        <v>0</v>
      </c>
      <c r="W491" s="44">
        <f t="shared" si="60"/>
        <v>0</v>
      </c>
      <c r="X491" s="44">
        <f t="shared" si="61"/>
        <v>0</v>
      </c>
      <c r="Y491" s="44">
        <f t="shared" si="62"/>
        <v>0</v>
      </c>
      <c r="Z491" s="84"/>
      <c r="AA491" s="78"/>
      <c r="AB491" s="78"/>
      <c r="AC491" s="78"/>
      <c r="AD491" s="78"/>
      <c r="AE491" s="78"/>
    </row>
    <row r="492" spans="1:31" ht="12.75">
      <c r="A492"/>
      <c r="B492"/>
      <c r="C492"/>
      <c r="D492"/>
      <c r="E492"/>
      <c r="F492"/>
      <c r="G492"/>
      <c r="H492"/>
      <c r="I492"/>
      <c r="J492"/>
      <c r="K492" s="100">
        <f t="shared" si="65"/>
        <v>0</v>
      </c>
      <c r="L492" s="95"/>
      <c r="M492" s="90">
        <f t="shared" si="57"/>
        <v>0</v>
      </c>
      <c r="N492" s="56">
        <v>0</v>
      </c>
      <c r="O492" s="44">
        <f t="shared" si="58"/>
        <v>0</v>
      </c>
      <c r="P492" s="44"/>
      <c r="Q492" s="44"/>
      <c r="R492" s="44"/>
      <c r="S492" s="44">
        <f t="shared" si="66"/>
        <v>0</v>
      </c>
      <c r="T492" s="44">
        <f t="shared" si="59"/>
        <v>0</v>
      </c>
      <c r="U492">
        <v>0</v>
      </c>
      <c r="V492" s="43">
        <v>0</v>
      </c>
      <c r="W492" s="44">
        <f t="shared" si="60"/>
        <v>0</v>
      </c>
      <c r="X492" s="44">
        <f t="shared" si="61"/>
        <v>0</v>
      </c>
      <c r="Y492" s="44">
        <f t="shared" si="62"/>
        <v>0</v>
      </c>
      <c r="Z492" s="84"/>
      <c r="AA492" s="78"/>
      <c r="AB492" s="78"/>
      <c r="AC492" s="78"/>
      <c r="AD492" s="78"/>
      <c r="AE492" s="78"/>
    </row>
    <row r="493" spans="1:31" ht="12.75">
      <c r="A493"/>
      <c r="B493"/>
      <c r="C493"/>
      <c r="D493"/>
      <c r="E493"/>
      <c r="F493"/>
      <c r="G493"/>
      <c r="H493"/>
      <c r="I493"/>
      <c r="J493"/>
      <c r="K493" s="100">
        <f t="shared" si="65"/>
        <v>0</v>
      </c>
      <c r="L493" s="95"/>
      <c r="M493" s="90">
        <f t="shared" si="57"/>
        <v>0</v>
      </c>
      <c r="N493" s="56">
        <v>0</v>
      </c>
      <c r="O493" s="44">
        <f t="shared" si="58"/>
        <v>0</v>
      </c>
      <c r="P493" s="44"/>
      <c r="Q493" s="44"/>
      <c r="R493" s="44"/>
      <c r="S493" s="44">
        <f t="shared" si="66"/>
        <v>0</v>
      </c>
      <c r="T493" s="44">
        <f t="shared" si="59"/>
        <v>0</v>
      </c>
      <c r="U493">
        <v>0</v>
      </c>
      <c r="V493" s="43">
        <v>0</v>
      </c>
      <c r="W493" s="44">
        <f t="shared" si="60"/>
        <v>0</v>
      </c>
      <c r="X493" s="44">
        <f t="shared" si="61"/>
        <v>0</v>
      </c>
      <c r="Y493" s="44">
        <f t="shared" si="62"/>
        <v>0</v>
      </c>
      <c r="Z493" s="84"/>
      <c r="AA493" s="78"/>
      <c r="AB493" s="78"/>
      <c r="AC493" s="78"/>
      <c r="AD493" s="78"/>
      <c r="AE493" s="78"/>
    </row>
    <row r="494" spans="1:31" ht="12.75">
      <c r="A494"/>
      <c r="B494"/>
      <c r="C494"/>
      <c r="D494"/>
      <c r="E494"/>
      <c r="F494"/>
      <c r="G494"/>
      <c r="H494"/>
      <c r="I494"/>
      <c r="J494"/>
      <c r="K494" s="100">
        <f t="shared" si="65"/>
        <v>0</v>
      </c>
      <c r="L494" s="95"/>
      <c r="M494" s="90">
        <f t="shared" si="57"/>
        <v>0</v>
      </c>
      <c r="N494" s="56">
        <v>0</v>
      </c>
      <c r="O494" s="44">
        <f t="shared" si="58"/>
        <v>0</v>
      </c>
      <c r="P494" s="44"/>
      <c r="Q494" s="44"/>
      <c r="R494" s="44"/>
      <c r="S494" s="44">
        <f t="shared" si="66"/>
        <v>0</v>
      </c>
      <c r="T494" s="44">
        <f t="shared" si="59"/>
        <v>0</v>
      </c>
      <c r="U494">
        <v>0</v>
      </c>
      <c r="V494" s="43">
        <v>0</v>
      </c>
      <c r="W494" s="44">
        <f t="shared" si="60"/>
        <v>0</v>
      </c>
      <c r="X494" s="44">
        <f t="shared" si="61"/>
        <v>0</v>
      </c>
      <c r="Y494" s="44">
        <f t="shared" si="62"/>
        <v>0</v>
      </c>
      <c r="Z494" s="84"/>
      <c r="AA494" s="78"/>
      <c r="AB494" s="78"/>
      <c r="AC494" s="78"/>
      <c r="AD494" s="78"/>
      <c r="AE494" s="78"/>
    </row>
    <row r="495" spans="1:31" ht="12.75">
      <c r="A495"/>
      <c r="B495"/>
      <c r="C495"/>
      <c r="D495"/>
      <c r="E495"/>
      <c r="F495"/>
      <c r="G495"/>
      <c r="H495"/>
      <c r="I495"/>
      <c r="J495"/>
      <c r="K495" s="100">
        <f t="shared" si="65"/>
        <v>0</v>
      </c>
      <c r="L495" s="95"/>
      <c r="M495" s="90">
        <f t="shared" si="57"/>
        <v>0</v>
      </c>
      <c r="N495" s="56">
        <v>0</v>
      </c>
      <c r="O495" s="44">
        <f t="shared" si="58"/>
        <v>0</v>
      </c>
      <c r="P495" s="44"/>
      <c r="Q495" s="44"/>
      <c r="R495" s="44"/>
      <c r="S495" s="44">
        <f t="shared" si="66"/>
        <v>0</v>
      </c>
      <c r="T495" s="44">
        <f t="shared" si="59"/>
        <v>0</v>
      </c>
      <c r="U495">
        <v>0</v>
      </c>
      <c r="V495" s="43">
        <v>0</v>
      </c>
      <c r="W495" s="44">
        <f t="shared" si="60"/>
        <v>0</v>
      </c>
      <c r="X495" s="44">
        <f t="shared" si="61"/>
        <v>0</v>
      </c>
      <c r="Y495" s="44">
        <f t="shared" si="62"/>
        <v>0</v>
      </c>
      <c r="Z495" s="84"/>
      <c r="AA495" s="78"/>
      <c r="AB495" s="78"/>
      <c r="AC495" s="78"/>
      <c r="AD495" s="78"/>
      <c r="AE495" s="78"/>
    </row>
    <row r="496" spans="1:31" ht="12.75">
      <c r="A496"/>
      <c r="B496"/>
      <c r="C496"/>
      <c r="D496"/>
      <c r="E496"/>
      <c r="F496"/>
      <c r="G496"/>
      <c r="H496"/>
      <c r="I496"/>
      <c r="J496"/>
      <c r="K496" s="100">
        <f t="shared" si="65"/>
        <v>0</v>
      </c>
      <c r="L496" s="95"/>
      <c r="M496" s="90">
        <f t="shared" si="57"/>
        <v>0</v>
      </c>
      <c r="N496" s="56">
        <v>0</v>
      </c>
      <c r="O496" s="44">
        <f t="shared" si="58"/>
        <v>0</v>
      </c>
      <c r="P496" s="44"/>
      <c r="Q496" s="44"/>
      <c r="R496" s="44"/>
      <c r="S496" s="44">
        <f t="shared" si="66"/>
        <v>0</v>
      </c>
      <c r="T496" s="44">
        <f t="shared" si="59"/>
        <v>0</v>
      </c>
      <c r="U496">
        <v>0</v>
      </c>
      <c r="V496" s="43">
        <v>0</v>
      </c>
      <c r="W496" s="44">
        <f t="shared" si="60"/>
        <v>0</v>
      </c>
      <c r="X496" s="44">
        <f t="shared" si="61"/>
        <v>0</v>
      </c>
      <c r="Y496" s="44">
        <f t="shared" si="62"/>
        <v>0</v>
      </c>
      <c r="Z496" s="84"/>
      <c r="AA496" s="78"/>
      <c r="AB496" s="78"/>
      <c r="AC496" s="78"/>
      <c r="AD496" s="78"/>
      <c r="AE496" s="78"/>
    </row>
    <row r="497" spans="1:31" ht="12.75">
      <c r="A497"/>
      <c r="B497"/>
      <c r="C497"/>
      <c r="D497"/>
      <c r="E497"/>
      <c r="F497"/>
      <c r="G497"/>
      <c r="H497"/>
      <c r="I497"/>
      <c r="J497"/>
      <c r="K497" s="100">
        <f t="shared" si="65"/>
        <v>0</v>
      </c>
      <c r="L497" s="95"/>
      <c r="M497" s="90">
        <f t="shared" si="57"/>
        <v>0</v>
      </c>
      <c r="N497" s="56">
        <v>0</v>
      </c>
      <c r="O497" s="44">
        <f t="shared" si="58"/>
        <v>0</v>
      </c>
      <c r="P497" s="44"/>
      <c r="Q497" s="44"/>
      <c r="R497" s="44"/>
      <c r="S497" s="44">
        <f t="shared" si="66"/>
        <v>0</v>
      </c>
      <c r="T497" s="44">
        <f t="shared" si="59"/>
        <v>0</v>
      </c>
      <c r="U497">
        <v>0</v>
      </c>
      <c r="V497" s="43">
        <v>0</v>
      </c>
      <c r="W497" s="44">
        <f t="shared" si="60"/>
        <v>0</v>
      </c>
      <c r="X497" s="44">
        <f t="shared" si="61"/>
        <v>0</v>
      </c>
      <c r="Y497" s="44">
        <f t="shared" si="62"/>
        <v>0</v>
      </c>
      <c r="Z497" s="84"/>
      <c r="AA497" s="78"/>
      <c r="AB497" s="78"/>
      <c r="AC497" s="78"/>
      <c r="AD497" s="78"/>
      <c r="AE497" s="78"/>
    </row>
    <row r="498" spans="1:31" ht="12.75">
      <c r="A498"/>
      <c r="B498"/>
      <c r="C498"/>
      <c r="D498"/>
      <c r="E498"/>
      <c r="F498"/>
      <c r="G498"/>
      <c r="H498"/>
      <c r="I498"/>
      <c r="J498"/>
      <c r="K498" s="100">
        <f t="shared" si="65"/>
        <v>0</v>
      </c>
      <c r="L498" s="95"/>
      <c r="M498" s="90">
        <f t="shared" si="57"/>
        <v>0</v>
      </c>
      <c r="N498" s="56">
        <v>0</v>
      </c>
      <c r="O498" s="44">
        <f t="shared" si="58"/>
        <v>0</v>
      </c>
      <c r="P498" s="44"/>
      <c r="Q498" s="44"/>
      <c r="R498" s="44"/>
      <c r="S498" s="44">
        <f t="shared" si="66"/>
        <v>0</v>
      </c>
      <c r="T498" s="44">
        <f t="shared" si="59"/>
        <v>0</v>
      </c>
      <c r="U498">
        <v>0</v>
      </c>
      <c r="V498" s="43">
        <v>0</v>
      </c>
      <c r="W498" s="44">
        <f t="shared" si="60"/>
        <v>0</v>
      </c>
      <c r="X498" s="44">
        <f t="shared" si="61"/>
        <v>0</v>
      </c>
      <c r="Y498" s="44">
        <f t="shared" si="62"/>
        <v>0</v>
      </c>
      <c r="Z498" s="84"/>
      <c r="AA498" s="78"/>
      <c r="AB498" s="78"/>
      <c r="AC498" s="78"/>
      <c r="AD498" s="78"/>
      <c r="AE498" s="78"/>
    </row>
    <row r="499" spans="1:31" ht="12.75">
      <c r="A499"/>
      <c r="B499"/>
      <c r="C499"/>
      <c r="D499"/>
      <c r="E499"/>
      <c r="F499"/>
      <c r="G499"/>
      <c r="H499"/>
      <c r="I499"/>
      <c r="J499"/>
      <c r="K499" s="100">
        <f t="shared" si="65"/>
        <v>0</v>
      </c>
      <c r="L499" s="95"/>
      <c r="M499" s="90">
        <f t="shared" si="57"/>
        <v>0</v>
      </c>
      <c r="N499" s="56">
        <v>0</v>
      </c>
      <c r="O499" s="44">
        <f t="shared" si="58"/>
        <v>0</v>
      </c>
      <c r="P499" s="44"/>
      <c r="Q499" s="44"/>
      <c r="R499" s="44"/>
      <c r="S499" s="44">
        <f t="shared" si="66"/>
        <v>0</v>
      </c>
      <c r="T499" s="44">
        <f t="shared" si="59"/>
        <v>0</v>
      </c>
      <c r="U499">
        <v>0</v>
      </c>
      <c r="V499" s="43">
        <v>0</v>
      </c>
      <c r="W499" s="44">
        <f t="shared" si="60"/>
        <v>0</v>
      </c>
      <c r="X499" s="44">
        <f t="shared" si="61"/>
        <v>0</v>
      </c>
      <c r="Y499" s="44">
        <f t="shared" si="62"/>
        <v>0</v>
      </c>
      <c r="Z499" s="84"/>
      <c r="AA499" s="78"/>
      <c r="AB499" s="78"/>
      <c r="AC499" s="78"/>
      <c r="AD499" s="78"/>
      <c r="AE499" s="78"/>
    </row>
    <row r="500" spans="1:31" ht="12.75">
      <c r="A500"/>
      <c r="B500"/>
      <c r="C500"/>
      <c r="D500"/>
      <c r="E500"/>
      <c r="F500"/>
      <c r="G500"/>
      <c r="H500"/>
      <c r="I500"/>
      <c r="J500"/>
      <c r="K500" s="100">
        <f t="shared" si="65"/>
        <v>0</v>
      </c>
      <c r="L500" s="95"/>
      <c r="M500" s="90">
        <f t="shared" si="57"/>
        <v>0</v>
      </c>
      <c r="N500" s="56">
        <v>0</v>
      </c>
      <c r="O500" s="44">
        <f t="shared" si="58"/>
        <v>0</v>
      </c>
      <c r="P500" s="44"/>
      <c r="Q500" s="44"/>
      <c r="R500" s="44"/>
      <c r="S500" s="44">
        <f t="shared" si="66"/>
        <v>0</v>
      </c>
      <c r="T500" s="44">
        <f t="shared" si="59"/>
        <v>0</v>
      </c>
      <c r="U500">
        <v>0</v>
      </c>
      <c r="V500" s="43">
        <v>0</v>
      </c>
      <c r="W500" s="44">
        <f t="shared" si="60"/>
        <v>0</v>
      </c>
      <c r="X500" s="44">
        <f t="shared" si="61"/>
        <v>0</v>
      </c>
      <c r="Y500" s="44">
        <f t="shared" si="62"/>
        <v>0</v>
      </c>
      <c r="Z500" s="84"/>
      <c r="AA500" s="78"/>
      <c r="AB500" s="78"/>
      <c r="AC500" s="78"/>
      <c r="AD500" s="78"/>
      <c r="AE500" s="78"/>
    </row>
    <row r="501" spans="1:31" ht="12.75">
      <c r="A501"/>
      <c r="B501"/>
      <c r="C501"/>
      <c r="D501"/>
      <c r="E501"/>
      <c r="F501"/>
      <c r="G501"/>
      <c r="H501"/>
      <c r="I501"/>
      <c r="J501"/>
      <c r="K501" s="100">
        <f t="shared" si="65"/>
        <v>0</v>
      </c>
      <c r="L501" s="95"/>
      <c r="M501" s="90">
        <f t="shared" si="57"/>
        <v>0</v>
      </c>
      <c r="N501" s="56">
        <v>0</v>
      </c>
      <c r="O501" s="44">
        <f t="shared" si="58"/>
        <v>0</v>
      </c>
      <c r="P501" s="44"/>
      <c r="Q501" s="44"/>
      <c r="R501" s="44"/>
      <c r="S501" s="44">
        <f t="shared" si="66"/>
        <v>0</v>
      </c>
      <c r="T501" s="44">
        <f t="shared" si="59"/>
        <v>0</v>
      </c>
      <c r="U501">
        <v>0</v>
      </c>
      <c r="V501" s="43">
        <v>0</v>
      </c>
      <c r="W501" s="44">
        <f t="shared" si="60"/>
        <v>0</v>
      </c>
      <c r="X501" s="44">
        <f t="shared" si="61"/>
        <v>0</v>
      </c>
      <c r="Y501" s="44">
        <f t="shared" si="62"/>
        <v>0</v>
      </c>
      <c r="Z501" s="84"/>
      <c r="AA501" s="78"/>
      <c r="AB501" s="78"/>
      <c r="AC501" s="78"/>
      <c r="AD501" s="78"/>
      <c r="AE501" s="78"/>
    </row>
    <row r="502" spans="1:31" ht="12.75">
      <c r="A502"/>
      <c r="B502"/>
      <c r="C502"/>
      <c r="D502"/>
      <c r="E502"/>
      <c r="F502"/>
      <c r="G502"/>
      <c r="H502"/>
      <c r="I502"/>
      <c r="J502"/>
      <c r="K502" s="100">
        <f t="shared" ref="K502:K532" si="67">+I502*J502</f>
        <v>0</v>
      </c>
      <c r="L502" s="95"/>
      <c r="M502" s="90">
        <f t="shared" si="57"/>
        <v>0</v>
      </c>
      <c r="N502" s="56">
        <v>0</v>
      </c>
      <c r="O502" s="44">
        <f t="shared" si="58"/>
        <v>0</v>
      </c>
      <c r="P502" s="44"/>
      <c r="Q502" s="44"/>
      <c r="R502" s="44"/>
      <c r="S502" s="44">
        <f t="shared" ref="S502:S532" si="68">IF(R502="y",+P502*0.01,0)</f>
        <v>0</v>
      </c>
      <c r="T502" s="44">
        <f t="shared" si="59"/>
        <v>0</v>
      </c>
      <c r="U502">
        <v>0</v>
      </c>
      <c r="V502" s="43">
        <v>0</v>
      </c>
      <c r="W502" s="44">
        <f t="shared" si="60"/>
        <v>0</v>
      </c>
      <c r="X502" s="44">
        <f t="shared" si="61"/>
        <v>0</v>
      </c>
      <c r="Y502" s="44">
        <f t="shared" si="62"/>
        <v>0</v>
      </c>
      <c r="Z502" s="84"/>
      <c r="AA502" s="78"/>
      <c r="AB502" s="78"/>
      <c r="AC502" s="78"/>
      <c r="AD502" s="78"/>
      <c r="AE502" s="78"/>
    </row>
    <row r="503" spans="1:31" ht="12.75">
      <c r="A503"/>
      <c r="B503"/>
      <c r="C503"/>
      <c r="D503"/>
      <c r="E503"/>
      <c r="F503"/>
      <c r="G503"/>
      <c r="H503"/>
      <c r="I503"/>
      <c r="J503"/>
      <c r="K503" s="100">
        <f t="shared" si="67"/>
        <v>0</v>
      </c>
      <c r="L503" s="95"/>
      <c r="M503" s="90">
        <f t="shared" si="57"/>
        <v>0</v>
      </c>
      <c r="N503" s="56">
        <v>0</v>
      </c>
      <c r="O503" s="44">
        <f t="shared" si="58"/>
        <v>0</v>
      </c>
      <c r="P503" s="44"/>
      <c r="Q503" s="44"/>
      <c r="R503" s="44"/>
      <c r="S503" s="44">
        <f t="shared" si="68"/>
        <v>0</v>
      </c>
      <c r="T503" s="44">
        <f t="shared" si="59"/>
        <v>0</v>
      </c>
      <c r="U503">
        <v>0</v>
      </c>
      <c r="V503" s="43">
        <v>0</v>
      </c>
      <c r="W503" s="44">
        <f t="shared" si="60"/>
        <v>0</v>
      </c>
      <c r="X503" s="44">
        <f t="shared" si="61"/>
        <v>0</v>
      </c>
      <c r="Y503" s="44">
        <f t="shared" si="62"/>
        <v>0</v>
      </c>
      <c r="Z503" s="84"/>
      <c r="AA503" s="78"/>
      <c r="AB503" s="78"/>
      <c r="AC503" s="78"/>
      <c r="AD503" s="78"/>
      <c r="AE503" s="78"/>
    </row>
    <row r="504" spans="1:31" ht="12.75">
      <c r="A504"/>
      <c r="B504"/>
      <c r="C504"/>
      <c r="D504"/>
      <c r="E504"/>
      <c r="F504"/>
      <c r="G504"/>
      <c r="H504"/>
      <c r="I504"/>
      <c r="J504"/>
      <c r="K504" s="100">
        <f t="shared" si="67"/>
        <v>0</v>
      </c>
      <c r="L504" s="95"/>
      <c r="M504" s="90">
        <f t="shared" si="57"/>
        <v>0</v>
      </c>
      <c r="N504" s="56">
        <v>0</v>
      </c>
      <c r="O504" s="44">
        <f t="shared" si="58"/>
        <v>0</v>
      </c>
      <c r="P504" s="44"/>
      <c r="Q504" s="44"/>
      <c r="R504" s="44"/>
      <c r="S504" s="44">
        <f t="shared" si="68"/>
        <v>0</v>
      </c>
      <c r="T504" s="44">
        <f t="shared" si="59"/>
        <v>0</v>
      </c>
      <c r="U504">
        <v>0</v>
      </c>
      <c r="V504" s="43">
        <v>0</v>
      </c>
      <c r="W504" s="44">
        <f t="shared" si="60"/>
        <v>0</v>
      </c>
      <c r="X504" s="44">
        <f t="shared" si="61"/>
        <v>0</v>
      </c>
      <c r="Y504" s="44">
        <f t="shared" si="62"/>
        <v>0</v>
      </c>
      <c r="Z504" s="84"/>
      <c r="AA504" s="78"/>
      <c r="AB504" s="78"/>
      <c r="AC504" s="78"/>
      <c r="AD504" s="78"/>
      <c r="AE504" s="78"/>
    </row>
    <row r="505" spans="1:31" ht="12.75">
      <c r="A505"/>
      <c r="B505"/>
      <c r="C505"/>
      <c r="D505"/>
      <c r="E505"/>
      <c r="F505"/>
      <c r="G505"/>
      <c r="H505"/>
      <c r="I505"/>
      <c r="J505"/>
      <c r="K505" s="100">
        <f t="shared" si="67"/>
        <v>0</v>
      </c>
      <c r="L505" s="95"/>
      <c r="M505" s="90">
        <f t="shared" si="57"/>
        <v>0</v>
      </c>
      <c r="N505" s="56">
        <v>0</v>
      </c>
      <c r="O505" s="44">
        <f t="shared" si="58"/>
        <v>0</v>
      </c>
      <c r="P505" s="44"/>
      <c r="Q505" s="44"/>
      <c r="R505" s="44"/>
      <c r="S505" s="44">
        <f t="shared" si="68"/>
        <v>0</v>
      </c>
      <c r="T505" s="44">
        <f t="shared" si="59"/>
        <v>0</v>
      </c>
      <c r="U505">
        <v>0</v>
      </c>
      <c r="V505" s="43">
        <v>0</v>
      </c>
      <c r="W505" s="44">
        <f t="shared" si="60"/>
        <v>0</v>
      </c>
      <c r="X505" s="44">
        <f t="shared" si="61"/>
        <v>0</v>
      </c>
      <c r="Y505" s="44">
        <f t="shared" si="62"/>
        <v>0</v>
      </c>
      <c r="Z505" s="84"/>
      <c r="AA505" s="78"/>
      <c r="AB505" s="78"/>
      <c r="AC505" s="78"/>
      <c r="AD505" s="78"/>
      <c r="AE505" s="78"/>
    </row>
    <row r="506" spans="1:31" ht="12.75">
      <c r="A506"/>
      <c r="B506"/>
      <c r="C506"/>
      <c r="D506"/>
      <c r="E506"/>
      <c r="F506"/>
      <c r="G506"/>
      <c r="H506"/>
      <c r="I506"/>
      <c r="J506"/>
      <c r="K506" s="100">
        <f t="shared" si="67"/>
        <v>0</v>
      </c>
      <c r="L506" s="95"/>
      <c r="M506" s="90">
        <f t="shared" si="57"/>
        <v>0</v>
      </c>
      <c r="N506" s="56">
        <v>0</v>
      </c>
      <c r="O506" s="44">
        <f t="shared" si="58"/>
        <v>0</v>
      </c>
      <c r="P506" s="44"/>
      <c r="Q506" s="44"/>
      <c r="R506" s="44"/>
      <c r="S506" s="44">
        <f t="shared" si="68"/>
        <v>0</v>
      </c>
      <c r="T506" s="44">
        <f t="shared" si="59"/>
        <v>0</v>
      </c>
      <c r="U506">
        <v>0</v>
      </c>
      <c r="V506" s="43">
        <v>0</v>
      </c>
      <c r="W506" s="44">
        <f t="shared" si="60"/>
        <v>0</v>
      </c>
      <c r="X506" s="44">
        <f t="shared" si="61"/>
        <v>0</v>
      </c>
      <c r="Y506" s="44">
        <f t="shared" si="62"/>
        <v>0</v>
      </c>
      <c r="Z506" s="84"/>
      <c r="AA506" s="78"/>
      <c r="AB506" s="78"/>
      <c r="AC506" s="78"/>
      <c r="AD506" s="78"/>
      <c r="AE506" s="78"/>
    </row>
    <row r="507" spans="1:31" ht="12.75">
      <c r="A507"/>
      <c r="B507"/>
      <c r="C507"/>
      <c r="D507"/>
      <c r="E507"/>
      <c r="F507"/>
      <c r="G507"/>
      <c r="H507"/>
      <c r="I507"/>
      <c r="J507"/>
      <c r="K507" s="100">
        <f t="shared" si="67"/>
        <v>0</v>
      </c>
      <c r="L507" s="95"/>
      <c r="M507" s="90">
        <f t="shared" si="57"/>
        <v>0</v>
      </c>
      <c r="N507" s="56">
        <v>0</v>
      </c>
      <c r="O507" s="44">
        <f t="shared" si="58"/>
        <v>0</v>
      </c>
      <c r="P507" s="44"/>
      <c r="Q507" s="44"/>
      <c r="R507" s="44"/>
      <c r="S507" s="44">
        <f t="shared" si="68"/>
        <v>0</v>
      </c>
      <c r="T507" s="44">
        <f t="shared" si="59"/>
        <v>0</v>
      </c>
      <c r="U507">
        <v>0</v>
      </c>
      <c r="V507" s="43">
        <v>0</v>
      </c>
      <c r="W507" s="44">
        <f t="shared" si="60"/>
        <v>0</v>
      </c>
      <c r="X507" s="44">
        <f t="shared" si="61"/>
        <v>0</v>
      </c>
      <c r="Y507" s="44">
        <f t="shared" si="62"/>
        <v>0</v>
      </c>
      <c r="Z507" s="84"/>
      <c r="AA507" s="78"/>
      <c r="AB507" s="78"/>
      <c r="AC507" s="78"/>
      <c r="AD507" s="78"/>
      <c r="AE507" s="78"/>
    </row>
    <row r="508" spans="1:31" ht="12.75">
      <c r="A508"/>
      <c r="B508"/>
      <c r="C508"/>
      <c r="D508"/>
      <c r="E508"/>
      <c r="F508"/>
      <c r="G508"/>
      <c r="H508"/>
      <c r="I508"/>
      <c r="J508"/>
      <c r="K508" s="100">
        <f t="shared" si="67"/>
        <v>0</v>
      </c>
      <c r="L508" s="95"/>
      <c r="M508" s="90">
        <f t="shared" si="57"/>
        <v>0</v>
      </c>
      <c r="N508" s="56">
        <v>0</v>
      </c>
      <c r="O508" s="44">
        <f t="shared" si="58"/>
        <v>0</v>
      </c>
      <c r="P508" s="44"/>
      <c r="Q508" s="44"/>
      <c r="R508" s="44"/>
      <c r="S508" s="44">
        <f t="shared" si="68"/>
        <v>0</v>
      </c>
      <c r="T508" s="44">
        <f t="shared" si="59"/>
        <v>0</v>
      </c>
      <c r="U508">
        <v>0</v>
      </c>
      <c r="V508" s="43">
        <v>0</v>
      </c>
      <c r="W508" s="44">
        <f t="shared" si="60"/>
        <v>0</v>
      </c>
      <c r="X508" s="44">
        <f t="shared" si="61"/>
        <v>0</v>
      </c>
      <c r="Y508" s="44">
        <f t="shared" si="62"/>
        <v>0</v>
      </c>
      <c r="Z508" s="84"/>
      <c r="AA508" s="78"/>
      <c r="AB508" s="78"/>
      <c r="AC508" s="78"/>
      <c r="AD508" s="78"/>
      <c r="AE508" s="78"/>
    </row>
    <row r="509" spans="1:31" ht="12.75">
      <c r="A509"/>
      <c r="B509"/>
      <c r="C509"/>
      <c r="D509"/>
      <c r="E509"/>
      <c r="F509"/>
      <c r="G509"/>
      <c r="H509"/>
      <c r="I509"/>
      <c r="J509"/>
      <c r="K509" s="100">
        <f t="shared" si="67"/>
        <v>0</v>
      </c>
      <c r="L509" s="95"/>
      <c r="M509" s="90">
        <f t="shared" si="57"/>
        <v>0</v>
      </c>
      <c r="N509" s="56">
        <v>0</v>
      </c>
      <c r="O509" s="44">
        <f t="shared" si="58"/>
        <v>0</v>
      </c>
      <c r="P509" s="44"/>
      <c r="Q509" s="44"/>
      <c r="R509" s="44"/>
      <c r="S509" s="44">
        <f t="shared" si="68"/>
        <v>0</v>
      </c>
      <c r="T509" s="44">
        <f t="shared" si="59"/>
        <v>0</v>
      </c>
      <c r="U509">
        <v>0</v>
      </c>
      <c r="V509" s="43">
        <v>0</v>
      </c>
      <c r="W509" s="44">
        <f t="shared" si="60"/>
        <v>0</v>
      </c>
      <c r="X509" s="44">
        <f t="shared" si="61"/>
        <v>0</v>
      </c>
      <c r="Y509" s="44">
        <f t="shared" si="62"/>
        <v>0</v>
      </c>
      <c r="Z509" s="84"/>
      <c r="AA509" s="78"/>
      <c r="AB509" s="78"/>
      <c r="AC509" s="78"/>
      <c r="AD509" s="78"/>
      <c r="AE509" s="78"/>
    </row>
    <row r="510" spans="1:31" ht="12.75">
      <c r="A510"/>
      <c r="B510"/>
      <c r="C510"/>
      <c r="D510"/>
      <c r="E510"/>
      <c r="F510"/>
      <c r="G510"/>
      <c r="H510"/>
      <c r="I510"/>
      <c r="J510"/>
      <c r="K510" s="100">
        <f t="shared" si="67"/>
        <v>0</v>
      </c>
      <c r="L510" s="95"/>
      <c r="M510" s="90">
        <f t="shared" si="57"/>
        <v>0</v>
      </c>
      <c r="N510" s="56">
        <v>0</v>
      </c>
      <c r="O510" s="44">
        <f t="shared" si="58"/>
        <v>0</v>
      </c>
      <c r="P510" s="44"/>
      <c r="Q510" s="44"/>
      <c r="R510" s="44"/>
      <c r="S510" s="44">
        <f t="shared" si="68"/>
        <v>0</v>
      </c>
      <c r="T510" s="44">
        <f t="shared" si="59"/>
        <v>0</v>
      </c>
      <c r="U510">
        <v>0</v>
      </c>
      <c r="V510" s="43">
        <v>0</v>
      </c>
      <c r="W510" s="44">
        <f t="shared" si="60"/>
        <v>0</v>
      </c>
      <c r="X510" s="44">
        <f t="shared" si="61"/>
        <v>0</v>
      </c>
      <c r="Y510" s="44">
        <f t="shared" si="62"/>
        <v>0</v>
      </c>
      <c r="Z510" s="84"/>
      <c r="AA510" s="78"/>
      <c r="AB510" s="78"/>
      <c r="AC510" s="78"/>
      <c r="AD510" s="78"/>
      <c r="AE510" s="78"/>
    </row>
    <row r="511" spans="1:31" ht="12.75">
      <c r="A511"/>
      <c r="B511"/>
      <c r="C511"/>
      <c r="D511"/>
      <c r="E511"/>
      <c r="F511"/>
      <c r="G511"/>
      <c r="H511"/>
      <c r="I511"/>
      <c r="J511"/>
      <c r="K511" s="100">
        <f t="shared" si="67"/>
        <v>0</v>
      </c>
      <c r="L511" s="95"/>
      <c r="M511" s="90">
        <f t="shared" si="57"/>
        <v>0</v>
      </c>
      <c r="N511" s="56">
        <v>0</v>
      </c>
      <c r="O511" s="44">
        <f t="shared" si="58"/>
        <v>0</v>
      </c>
      <c r="P511" s="44"/>
      <c r="Q511" s="44"/>
      <c r="R511" s="44"/>
      <c r="S511" s="44">
        <f t="shared" si="68"/>
        <v>0</v>
      </c>
      <c r="T511" s="44">
        <f t="shared" si="59"/>
        <v>0</v>
      </c>
      <c r="U511">
        <v>0</v>
      </c>
      <c r="V511" s="43">
        <v>0</v>
      </c>
      <c r="W511" s="44">
        <f t="shared" si="60"/>
        <v>0</v>
      </c>
      <c r="X511" s="44">
        <f t="shared" si="61"/>
        <v>0</v>
      </c>
      <c r="Y511" s="44">
        <f t="shared" si="62"/>
        <v>0</v>
      </c>
      <c r="Z511" s="84"/>
      <c r="AA511" s="78"/>
      <c r="AB511" s="78"/>
      <c r="AC511" s="78"/>
      <c r="AD511" s="78"/>
      <c r="AE511" s="78"/>
    </row>
    <row r="512" spans="1:31" ht="12.75">
      <c r="A512"/>
      <c r="B512"/>
      <c r="C512"/>
      <c r="D512"/>
      <c r="E512"/>
      <c r="F512"/>
      <c r="G512"/>
      <c r="H512"/>
      <c r="I512"/>
      <c r="J512"/>
      <c r="K512" s="100">
        <f t="shared" si="67"/>
        <v>0</v>
      </c>
      <c r="L512" s="95"/>
      <c r="M512" s="90">
        <f t="shared" si="57"/>
        <v>0</v>
      </c>
      <c r="N512" s="56">
        <v>0</v>
      </c>
      <c r="O512" s="44">
        <f t="shared" si="58"/>
        <v>0</v>
      </c>
      <c r="P512" s="44"/>
      <c r="Q512" s="44"/>
      <c r="R512" s="44"/>
      <c r="S512" s="44">
        <f t="shared" si="68"/>
        <v>0</v>
      </c>
      <c r="T512" s="44">
        <f t="shared" si="59"/>
        <v>0</v>
      </c>
      <c r="U512">
        <v>0</v>
      </c>
      <c r="V512" s="43">
        <v>0</v>
      </c>
      <c r="W512" s="44">
        <f t="shared" si="60"/>
        <v>0</v>
      </c>
      <c r="X512" s="44">
        <f t="shared" si="61"/>
        <v>0</v>
      </c>
      <c r="Y512" s="44">
        <f t="shared" si="62"/>
        <v>0</v>
      </c>
      <c r="Z512" s="84"/>
      <c r="AA512" s="78"/>
      <c r="AB512" s="78"/>
      <c r="AC512" s="78"/>
      <c r="AD512" s="78"/>
      <c r="AE512" s="78"/>
    </row>
    <row r="513" spans="1:31" ht="12.75">
      <c r="A513"/>
      <c r="B513"/>
      <c r="C513"/>
      <c r="D513"/>
      <c r="E513"/>
      <c r="F513"/>
      <c r="G513"/>
      <c r="H513"/>
      <c r="I513"/>
      <c r="J513"/>
      <c r="K513" s="100">
        <f t="shared" si="67"/>
        <v>0</v>
      </c>
      <c r="L513" s="95"/>
      <c r="M513" s="90">
        <f t="shared" si="57"/>
        <v>0</v>
      </c>
      <c r="N513" s="56">
        <v>0</v>
      </c>
      <c r="O513" s="44">
        <f t="shared" si="58"/>
        <v>0</v>
      </c>
      <c r="P513" s="44"/>
      <c r="Q513" s="44"/>
      <c r="R513" s="44"/>
      <c r="S513" s="44">
        <f t="shared" si="68"/>
        <v>0</v>
      </c>
      <c r="T513" s="44">
        <f t="shared" si="59"/>
        <v>0</v>
      </c>
      <c r="U513">
        <v>0</v>
      </c>
      <c r="V513" s="43">
        <v>0</v>
      </c>
      <c r="W513" s="44">
        <f t="shared" si="60"/>
        <v>0</v>
      </c>
      <c r="X513" s="44">
        <f t="shared" si="61"/>
        <v>0</v>
      </c>
      <c r="Y513" s="44">
        <f t="shared" si="62"/>
        <v>0</v>
      </c>
      <c r="Z513" s="84"/>
      <c r="AA513" s="78"/>
      <c r="AB513" s="78"/>
      <c r="AC513" s="78"/>
      <c r="AD513" s="78"/>
      <c r="AE513" s="78"/>
    </row>
    <row r="514" spans="1:31" ht="12.75">
      <c r="A514"/>
      <c r="B514"/>
      <c r="C514"/>
      <c r="D514"/>
      <c r="E514"/>
      <c r="F514"/>
      <c r="G514"/>
      <c r="H514"/>
      <c r="I514"/>
      <c r="J514"/>
      <c r="K514" s="100">
        <f t="shared" si="67"/>
        <v>0</v>
      </c>
      <c r="L514" s="95"/>
      <c r="M514" s="90">
        <f t="shared" si="57"/>
        <v>0</v>
      </c>
      <c r="N514" s="56">
        <v>0</v>
      </c>
      <c r="O514" s="44">
        <f t="shared" si="58"/>
        <v>0</v>
      </c>
      <c r="P514" s="44"/>
      <c r="Q514" s="44"/>
      <c r="R514" s="44"/>
      <c r="S514" s="44">
        <f t="shared" si="68"/>
        <v>0</v>
      </c>
      <c r="T514" s="44">
        <f t="shared" si="59"/>
        <v>0</v>
      </c>
      <c r="U514">
        <v>0</v>
      </c>
      <c r="V514" s="43">
        <v>0</v>
      </c>
      <c r="W514" s="44">
        <f t="shared" si="60"/>
        <v>0</v>
      </c>
      <c r="X514" s="44">
        <f t="shared" si="61"/>
        <v>0</v>
      </c>
      <c r="Y514" s="44">
        <f t="shared" si="62"/>
        <v>0</v>
      </c>
      <c r="Z514" s="84"/>
      <c r="AA514" s="78"/>
      <c r="AB514" s="78"/>
      <c r="AC514" s="78"/>
      <c r="AD514" s="78"/>
      <c r="AE514" s="78"/>
    </row>
    <row r="515" spans="1:31" ht="12.75">
      <c r="A515"/>
      <c r="B515"/>
      <c r="C515"/>
      <c r="D515"/>
      <c r="E515"/>
      <c r="F515"/>
      <c r="G515"/>
      <c r="H515"/>
      <c r="I515"/>
      <c r="J515"/>
      <c r="K515" s="100">
        <f t="shared" si="67"/>
        <v>0</v>
      </c>
      <c r="L515" s="95"/>
      <c r="M515" s="90">
        <f t="shared" si="57"/>
        <v>0</v>
      </c>
      <c r="N515" s="56">
        <v>0</v>
      </c>
      <c r="O515" s="44">
        <f t="shared" si="58"/>
        <v>0</v>
      </c>
      <c r="P515" s="44"/>
      <c r="Q515" s="44"/>
      <c r="R515" s="44"/>
      <c r="S515" s="44">
        <f t="shared" si="68"/>
        <v>0</v>
      </c>
      <c r="T515" s="44">
        <f t="shared" si="59"/>
        <v>0</v>
      </c>
      <c r="U515">
        <v>0</v>
      </c>
      <c r="V515" s="43">
        <v>0</v>
      </c>
      <c r="W515" s="44">
        <f t="shared" si="60"/>
        <v>0</v>
      </c>
      <c r="X515" s="44">
        <f t="shared" si="61"/>
        <v>0</v>
      </c>
      <c r="Y515" s="44">
        <f t="shared" si="62"/>
        <v>0</v>
      </c>
      <c r="Z515" s="84"/>
      <c r="AA515" s="78"/>
      <c r="AB515" s="78"/>
      <c r="AC515" s="78"/>
      <c r="AD515" s="78"/>
      <c r="AE515" s="78"/>
    </row>
    <row r="516" spans="1:31" ht="12.75">
      <c r="A516"/>
      <c r="B516"/>
      <c r="C516"/>
      <c r="D516"/>
      <c r="E516"/>
      <c r="F516"/>
      <c r="G516"/>
      <c r="H516"/>
      <c r="I516"/>
      <c r="J516"/>
      <c r="K516" s="100">
        <f t="shared" si="67"/>
        <v>0</v>
      </c>
      <c r="L516" s="95"/>
      <c r="M516" s="90">
        <f t="shared" si="57"/>
        <v>0</v>
      </c>
      <c r="N516" s="56">
        <v>0</v>
      </c>
      <c r="O516" s="44">
        <f t="shared" si="58"/>
        <v>0</v>
      </c>
      <c r="P516" s="44"/>
      <c r="Q516" s="44"/>
      <c r="R516" s="44"/>
      <c r="S516" s="44">
        <f t="shared" si="68"/>
        <v>0</v>
      </c>
      <c r="T516" s="44">
        <f t="shared" si="59"/>
        <v>0</v>
      </c>
      <c r="U516">
        <v>0</v>
      </c>
      <c r="V516" s="43">
        <v>0</v>
      </c>
      <c r="W516" s="44">
        <f t="shared" si="60"/>
        <v>0</v>
      </c>
      <c r="X516" s="44">
        <f t="shared" si="61"/>
        <v>0</v>
      </c>
      <c r="Y516" s="44">
        <f t="shared" si="62"/>
        <v>0</v>
      </c>
      <c r="Z516" s="84"/>
      <c r="AA516" s="78"/>
      <c r="AB516" s="78"/>
      <c r="AC516" s="78"/>
      <c r="AD516" s="78"/>
      <c r="AE516" s="78"/>
    </row>
    <row r="517" spans="1:31" ht="12.75">
      <c r="A517"/>
      <c r="B517"/>
      <c r="C517"/>
      <c r="D517"/>
      <c r="E517"/>
      <c r="F517"/>
      <c r="G517"/>
      <c r="H517"/>
      <c r="I517"/>
      <c r="J517"/>
      <c r="K517" s="100">
        <f t="shared" si="67"/>
        <v>0</v>
      </c>
      <c r="L517" s="95"/>
      <c r="M517" s="90">
        <f t="shared" si="57"/>
        <v>0</v>
      </c>
      <c r="N517" s="56">
        <v>0</v>
      </c>
      <c r="O517" s="44">
        <f t="shared" si="58"/>
        <v>0</v>
      </c>
      <c r="P517" s="44"/>
      <c r="Q517" s="44"/>
      <c r="R517" s="44"/>
      <c r="S517" s="44">
        <f t="shared" si="68"/>
        <v>0</v>
      </c>
      <c r="T517" s="44">
        <f t="shared" si="59"/>
        <v>0</v>
      </c>
      <c r="U517">
        <v>0</v>
      </c>
      <c r="V517" s="43">
        <v>0</v>
      </c>
      <c r="W517" s="44">
        <f t="shared" si="60"/>
        <v>0</v>
      </c>
      <c r="X517" s="44">
        <f t="shared" si="61"/>
        <v>0</v>
      </c>
      <c r="Y517" s="44">
        <f t="shared" si="62"/>
        <v>0</v>
      </c>
      <c r="Z517" s="84"/>
      <c r="AA517" s="78"/>
      <c r="AB517" s="78"/>
      <c r="AC517" s="78"/>
      <c r="AD517" s="78"/>
      <c r="AE517" s="78"/>
    </row>
    <row r="518" spans="1:31" ht="12.75">
      <c r="A518"/>
      <c r="B518"/>
      <c r="C518"/>
      <c r="D518"/>
      <c r="E518"/>
      <c r="F518"/>
      <c r="G518"/>
      <c r="H518"/>
      <c r="I518"/>
      <c r="J518"/>
      <c r="K518" s="100">
        <f t="shared" si="67"/>
        <v>0</v>
      </c>
      <c r="L518" s="95"/>
      <c r="M518" s="90">
        <f t="shared" si="57"/>
        <v>0</v>
      </c>
      <c r="N518" s="56">
        <v>0</v>
      </c>
      <c r="O518" s="44">
        <f t="shared" si="58"/>
        <v>0</v>
      </c>
      <c r="P518" s="44"/>
      <c r="Q518" s="44"/>
      <c r="R518" s="44"/>
      <c r="S518" s="44">
        <f t="shared" si="68"/>
        <v>0</v>
      </c>
      <c r="T518" s="44">
        <f t="shared" si="59"/>
        <v>0</v>
      </c>
      <c r="U518">
        <v>0</v>
      </c>
      <c r="V518" s="43">
        <v>0</v>
      </c>
      <c r="W518" s="44">
        <f t="shared" si="60"/>
        <v>0</v>
      </c>
      <c r="X518" s="44">
        <f t="shared" si="61"/>
        <v>0</v>
      </c>
      <c r="Y518" s="44">
        <f t="shared" si="62"/>
        <v>0</v>
      </c>
      <c r="Z518" s="84"/>
      <c r="AA518" s="78"/>
      <c r="AB518" s="78"/>
      <c r="AC518" s="78"/>
      <c r="AD518" s="78"/>
      <c r="AE518" s="78"/>
    </row>
    <row r="519" spans="1:31" ht="12.75">
      <c r="A519"/>
      <c r="B519"/>
      <c r="C519"/>
      <c r="D519"/>
      <c r="E519"/>
      <c r="F519"/>
      <c r="G519"/>
      <c r="H519"/>
      <c r="I519"/>
      <c r="J519"/>
      <c r="K519" s="100">
        <f t="shared" si="67"/>
        <v>0</v>
      </c>
      <c r="L519" s="95"/>
      <c r="M519" s="90">
        <f t="shared" si="57"/>
        <v>0</v>
      </c>
      <c r="N519" s="56">
        <v>0</v>
      </c>
      <c r="O519" s="44">
        <f t="shared" si="58"/>
        <v>0</v>
      </c>
      <c r="P519" s="44"/>
      <c r="Q519" s="44"/>
      <c r="R519" s="44"/>
      <c r="S519" s="44">
        <f t="shared" si="68"/>
        <v>0</v>
      </c>
      <c r="T519" s="44">
        <f t="shared" si="59"/>
        <v>0</v>
      </c>
      <c r="U519">
        <v>0</v>
      </c>
      <c r="V519" s="43">
        <v>0</v>
      </c>
      <c r="W519" s="44">
        <f t="shared" si="60"/>
        <v>0</v>
      </c>
      <c r="X519" s="44">
        <f t="shared" si="61"/>
        <v>0</v>
      </c>
      <c r="Y519" s="44">
        <f t="shared" si="62"/>
        <v>0</v>
      </c>
      <c r="Z519" s="84"/>
      <c r="AA519" s="78"/>
      <c r="AB519" s="78"/>
      <c r="AC519" s="78"/>
      <c r="AD519" s="78"/>
      <c r="AE519" s="78"/>
    </row>
    <row r="520" spans="1:31" ht="12.75">
      <c r="A520"/>
      <c r="B520"/>
      <c r="C520"/>
      <c r="D520"/>
      <c r="E520"/>
      <c r="F520"/>
      <c r="G520"/>
      <c r="H520"/>
      <c r="I520"/>
      <c r="J520"/>
      <c r="K520" s="100">
        <f t="shared" si="67"/>
        <v>0</v>
      </c>
      <c r="L520" s="95"/>
      <c r="M520" s="90">
        <f t="shared" ref="M520:M583" si="69">ROUND(K520*L520,2)</f>
        <v>0</v>
      </c>
      <c r="N520" s="56">
        <v>0</v>
      </c>
      <c r="O520" s="44">
        <f t="shared" ref="O520:O583" si="70">+M520-(M520*N520)</f>
        <v>0</v>
      </c>
      <c r="P520" s="44"/>
      <c r="Q520" s="44"/>
      <c r="R520" s="44"/>
      <c r="S520" s="44">
        <f t="shared" si="68"/>
        <v>0</v>
      </c>
      <c r="T520" s="44">
        <f t="shared" ref="T520:T583" si="71">+O520+P520+Q520+R520</f>
        <v>0</v>
      </c>
      <c r="U520">
        <v>0</v>
      </c>
      <c r="V520" s="43">
        <v>0</v>
      </c>
      <c r="W520" s="44">
        <f t="shared" ref="W520:W583" si="72">+O520-U520-V520-Z520</f>
        <v>0</v>
      </c>
      <c r="X520" s="44">
        <f t="shared" ref="X520:X583" si="73">(+O520-U520-Z520)*$X$1</f>
        <v>0</v>
      </c>
      <c r="Y520" s="44">
        <f t="shared" ref="Y520:Y583" si="74">+W520-X520</f>
        <v>0</v>
      </c>
      <c r="Z520" s="84"/>
      <c r="AA520" s="78"/>
      <c r="AB520" s="78"/>
      <c r="AC520" s="78"/>
      <c r="AD520" s="78"/>
      <c r="AE520" s="78"/>
    </row>
    <row r="521" spans="1:31" ht="12.75">
      <c r="A521"/>
      <c r="B521"/>
      <c r="C521"/>
      <c r="D521"/>
      <c r="E521"/>
      <c r="F521"/>
      <c r="G521"/>
      <c r="H521"/>
      <c r="I521"/>
      <c r="J521"/>
      <c r="K521" s="100">
        <f t="shared" si="67"/>
        <v>0</v>
      </c>
      <c r="L521" s="95"/>
      <c r="M521" s="90">
        <f t="shared" si="69"/>
        <v>0</v>
      </c>
      <c r="N521" s="56">
        <v>0</v>
      </c>
      <c r="O521" s="44">
        <f t="shared" si="70"/>
        <v>0</v>
      </c>
      <c r="P521" s="44"/>
      <c r="Q521" s="44"/>
      <c r="R521" s="44"/>
      <c r="S521" s="44">
        <f t="shared" si="68"/>
        <v>0</v>
      </c>
      <c r="T521" s="44">
        <f t="shared" si="71"/>
        <v>0</v>
      </c>
      <c r="U521">
        <v>0</v>
      </c>
      <c r="V521" s="43">
        <v>0</v>
      </c>
      <c r="W521" s="44">
        <f t="shared" si="72"/>
        <v>0</v>
      </c>
      <c r="X521" s="44">
        <f t="shared" si="73"/>
        <v>0</v>
      </c>
      <c r="Y521" s="44">
        <f t="shared" si="74"/>
        <v>0</v>
      </c>
      <c r="Z521" s="84"/>
      <c r="AA521" s="78"/>
      <c r="AB521" s="78"/>
      <c r="AC521" s="78"/>
      <c r="AD521" s="78"/>
      <c r="AE521" s="78"/>
    </row>
    <row r="522" spans="1:31" ht="12.75">
      <c r="A522"/>
      <c r="B522"/>
      <c r="C522"/>
      <c r="D522"/>
      <c r="E522"/>
      <c r="F522"/>
      <c r="G522"/>
      <c r="H522"/>
      <c r="I522"/>
      <c r="J522"/>
      <c r="K522" s="100">
        <f t="shared" si="67"/>
        <v>0</v>
      </c>
      <c r="L522" s="95"/>
      <c r="M522" s="90">
        <f t="shared" si="69"/>
        <v>0</v>
      </c>
      <c r="N522" s="56">
        <v>0</v>
      </c>
      <c r="O522" s="44">
        <f t="shared" si="70"/>
        <v>0</v>
      </c>
      <c r="P522" s="44"/>
      <c r="Q522" s="44"/>
      <c r="R522" s="44"/>
      <c r="S522" s="44">
        <f t="shared" si="68"/>
        <v>0</v>
      </c>
      <c r="T522" s="44">
        <f t="shared" si="71"/>
        <v>0</v>
      </c>
      <c r="U522">
        <v>0</v>
      </c>
      <c r="V522" s="43">
        <v>0</v>
      </c>
      <c r="W522" s="44">
        <f t="shared" si="72"/>
        <v>0</v>
      </c>
      <c r="X522" s="44">
        <f t="shared" si="73"/>
        <v>0</v>
      </c>
      <c r="Y522" s="44">
        <f t="shared" si="74"/>
        <v>0</v>
      </c>
      <c r="Z522" s="84"/>
      <c r="AA522" s="78"/>
      <c r="AB522" s="78"/>
      <c r="AC522" s="78"/>
      <c r="AD522" s="78"/>
      <c r="AE522" s="78"/>
    </row>
    <row r="523" spans="1:31" ht="12.75">
      <c r="A523"/>
      <c r="B523"/>
      <c r="C523"/>
      <c r="D523"/>
      <c r="E523"/>
      <c r="F523"/>
      <c r="G523"/>
      <c r="H523"/>
      <c r="I523"/>
      <c r="J523"/>
      <c r="K523" s="100">
        <f t="shared" si="67"/>
        <v>0</v>
      </c>
      <c r="L523" s="95"/>
      <c r="M523" s="90">
        <f t="shared" si="69"/>
        <v>0</v>
      </c>
      <c r="N523" s="56">
        <v>0</v>
      </c>
      <c r="O523" s="44">
        <f t="shared" si="70"/>
        <v>0</v>
      </c>
      <c r="P523" s="44"/>
      <c r="Q523" s="44"/>
      <c r="R523" s="44"/>
      <c r="S523" s="44">
        <f t="shared" si="68"/>
        <v>0</v>
      </c>
      <c r="T523" s="44">
        <f t="shared" si="71"/>
        <v>0</v>
      </c>
      <c r="U523">
        <v>0</v>
      </c>
      <c r="V523" s="43">
        <v>0</v>
      </c>
      <c r="W523" s="44">
        <f t="shared" si="72"/>
        <v>0</v>
      </c>
      <c r="X523" s="44">
        <f t="shared" si="73"/>
        <v>0</v>
      </c>
      <c r="Y523" s="44">
        <f t="shared" si="74"/>
        <v>0</v>
      </c>
      <c r="Z523" s="84"/>
      <c r="AA523" s="78"/>
      <c r="AB523" s="78"/>
      <c r="AC523" s="78"/>
      <c r="AD523" s="78"/>
      <c r="AE523" s="78"/>
    </row>
    <row r="524" spans="1:31" ht="12.75">
      <c r="A524"/>
      <c r="B524"/>
      <c r="C524"/>
      <c r="D524"/>
      <c r="E524"/>
      <c r="F524"/>
      <c r="G524"/>
      <c r="H524"/>
      <c r="I524"/>
      <c r="J524"/>
      <c r="K524" s="100">
        <f t="shared" si="67"/>
        <v>0</v>
      </c>
      <c r="L524" s="95"/>
      <c r="M524" s="90">
        <f t="shared" si="69"/>
        <v>0</v>
      </c>
      <c r="N524" s="56">
        <v>0</v>
      </c>
      <c r="O524" s="44">
        <f t="shared" si="70"/>
        <v>0</v>
      </c>
      <c r="P524" s="44"/>
      <c r="Q524" s="44"/>
      <c r="R524" s="44"/>
      <c r="S524" s="44">
        <f t="shared" si="68"/>
        <v>0</v>
      </c>
      <c r="T524" s="44">
        <f t="shared" si="71"/>
        <v>0</v>
      </c>
      <c r="U524">
        <v>0</v>
      </c>
      <c r="V524" s="43">
        <v>0</v>
      </c>
      <c r="W524" s="44">
        <f t="shared" si="72"/>
        <v>0</v>
      </c>
      <c r="X524" s="44">
        <f t="shared" si="73"/>
        <v>0</v>
      </c>
      <c r="Y524" s="44">
        <f t="shared" si="74"/>
        <v>0</v>
      </c>
      <c r="Z524" s="84"/>
      <c r="AA524" s="78"/>
      <c r="AB524" s="78"/>
      <c r="AC524" s="78"/>
      <c r="AD524" s="78"/>
      <c r="AE524" s="78"/>
    </row>
    <row r="525" spans="1:31" ht="12.75">
      <c r="A525"/>
      <c r="B525"/>
      <c r="C525"/>
      <c r="D525"/>
      <c r="E525"/>
      <c r="F525"/>
      <c r="G525"/>
      <c r="H525"/>
      <c r="I525"/>
      <c r="J525"/>
      <c r="K525" s="100">
        <f t="shared" si="67"/>
        <v>0</v>
      </c>
      <c r="L525" s="95"/>
      <c r="M525" s="90">
        <f t="shared" si="69"/>
        <v>0</v>
      </c>
      <c r="N525" s="56">
        <v>0</v>
      </c>
      <c r="O525" s="44">
        <f t="shared" si="70"/>
        <v>0</v>
      </c>
      <c r="P525" s="44"/>
      <c r="Q525" s="44"/>
      <c r="R525" s="44"/>
      <c r="S525" s="44">
        <f t="shared" si="68"/>
        <v>0</v>
      </c>
      <c r="T525" s="44">
        <f t="shared" si="71"/>
        <v>0</v>
      </c>
      <c r="U525">
        <v>0</v>
      </c>
      <c r="V525" s="43">
        <v>0</v>
      </c>
      <c r="W525" s="44">
        <f t="shared" si="72"/>
        <v>0</v>
      </c>
      <c r="X525" s="44">
        <f t="shared" si="73"/>
        <v>0</v>
      </c>
      <c r="Y525" s="44">
        <f t="shared" si="74"/>
        <v>0</v>
      </c>
      <c r="Z525" s="84"/>
      <c r="AA525" s="78"/>
      <c r="AB525" s="78"/>
      <c r="AC525" s="78"/>
      <c r="AD525" s="78"/>
      <c r="AE525" s="78"/>
    </row>
    <row r="526" spans="1:31" ht="12.75">
      <c r="A526"/>
      <c r="B526"/>
      <c r="C526"/>
      <c r="D526"/>
      <c r="E526"/>
      <c r="F526"/>
      <c r="G526"/>
      <c r="H526"/>
      <c r="I526"/>
      <c r="J526"/>
      <c r="K526" s="100">
        <f t="shared" si="67"/>
        <v>0</v>
      </c>
      <c r="L526" s="95"/>
      <c r="M526" s="90">
        <f t="shared" si="69"/>
        <v>0</v>
      </c>
      <c r="N526" s="56">
        <v>0</v>
      </c>
      <c r="O526" s="44">
        <f t="shared" si="70"/>
        <v>0</v>
      </c>
      <c r="P526" s="44"/>
      <c r="Q526" s="44"/>
      <c r="R526" s="44"/>
      <c r="S526" s="44">
        <f t="shared" si="68"/>
        <v>0</v>
      </c>
      <c r="T526" s="44">
        <f t="shared" si="71"/>
        <v>0</v>
      </c>
      <c r="U526">
        <v>0</v>
      </c>
      <c r="V526" s="43">
        <v>0</v>
      </c>
      <c r="W526" s="44">
        <f t="shared" si="72"/>
        <v>0</v>
      </c>
      <c r="X526" s="44">
        <f t="shared" si="73"/>
        <v>0</v>
      </c>
      <c r="Y526" s="44">
        <f t="shared" si="74"/>
        <v>0</v>
      </c>
      <c r="Z526" s="84"/>
      <c r="AA526" s="78"/>
      <c r="AB526" s="78"/>
      <c r="AC526" s="78"/>
      <c r="AD526" s="78"/>
      <c r="AE526" s="78"/>
    </row>
    <row r="527" spans="1:31" ht="12.75">
      <c r="A527"/>
      <c r="B527"/>
      <c r="C527"/>
      <c r="D527"/>
      <c r="E527"/>
      <c r="F527"/>
      <c r="G527"/>
      <c r="H527"/>
      <c r="I527"/>
      <c r="J527"/>
      <c r="K527" s="100">
        <f t="shared" si="67"/>
        <v>0</v>
      </c>
      <c r="L527" s="95"/>
      <c r="M527" s="90">
        <f t="shared" si="69"/>
        <v>0</v>
      </c>
      <c r="N527" s="56">
        <v>0</v>
      </c>
      <c r="O527" s="44">
        <f t="shared" si="70"/>
        <v>0</v>
      </c>
      <c r="P527" s="44"/>
      <c r="Q527" s="44"/>
      <c r="R527" s="44"/>
      <c r="S527" s="44">
        <f t="shared" si="68"/>
        <v>0</v>
      </c>
      <c r="T527" s="44">
        <f t="shared" si="71"/>
        <v>0</v>
      </c>
      <c r="U527">
        <v>0</v>
      </c>
      <c r="V527" s="43">
        <v>0</v>
      </c>
      <c r="W527" s="44">
        <f t="shared" si="72"/>
        <v>0</v>
      </c>
      <c r="X527" s="44">
        <f t="shared" si="73"/>
        <v>0</v>
      </c>
      <c r="Y527" s="44">
        <f t="shared" si="74"/>
        <v>0</v>
      </c>
      <c r="Z527" s="84"/>
      <c r="AA527" s="78"/>
      <c r="AB527" s="78"/>
      <c r="AC527" s="78"/>
      <c r="AD527" s="78"/>
      <c r="AE527" s="78"/>
    </row>
    <row r="528" spans="1:31" ht="12.75">
      <c r="A528"/>
      <c r="B528"/>
      <c r="C528"/>
      <c r="D528"/>
      <c r="E528"/>
      <c r="F528"/>
      <c r="G528"/>
      <c r="H528"/>
      <c r="I528"/>
      <c r="J528"/>
      <c r="K528" s="100">
        <f t="shared" si="67"/>
        <v>0</v>
      </c>
      <c r="L528" s="95"/>
      <c r="M528" s="90">
        <f t="shared" si="69"/>
        <v>0</v>
      </c>
      <c r="N528" s="56">
        <v>0</v>
      </c>
      <c r="O528" s="44">
        <f t="shared" si="70"/>
        <v>0</v>
      </c>
      <c r="P528" s="44"/>
      <c r="Q528" s="44"/>
      <c r="R528" s="44"/>
      <c r="S528" s="44">
        <f t="shared" si="68"/>
        <v>0</v>
      </c>
      <c r="T528" s="44">
        <f t="shared" si="71"/>
        <v>0</v>
      </c>
      <c r="U528">
        <v>0</v>
      </c>
      <c r="V528" s="43">
        <v>0</v>
      </c>
      <c r="W528" s="44">
        <f t="shared" si="72"/>
        <v>0</v>
      </c>
      <c r="X528" s="44">
        <f t="shared" si="73"/>
        <v>0</v>
      </c>
      <c r="Y528" s="44">
        <f t="shared" si="74"/>
        <v>0</v>
      </c>
      <c r="Z528" s="84"/>
      <c r="AA528" s="78"/>
      <c r="AB528" s="78"/>
      <c r="AC528" s="78"/>
      <c r="AD528" s="78"/>
      <c r="AE528" s="78"/>
    </row>
    <row r="529" spans="1:31" ht="12.75">
      <c r="A529"/>
      <c r="B529"/>
      <c r="C529"/>
      <c r="D529"/>
      <c r="E529"/>
      <c r="F529"/>
      <c r="G529"/>
      <c r="H529"/>
      <c r="I529"/>
      <c r="J529"/>
      <c r="K529" s="100">
        <f t="shared" si="67"/>
        <v>0</v>
      </c>
      <c r="L529" s="95"/>
      <c r="M529" s="90">
        <f t="shared" si="69"/>
        <v>0</v>
      </c>
      <c r="N529" s="56">
        <v>0</v>
      </c>
      <c r="O529" s="44">
        <f t="shared" si="70"/>
        <v>0</v>
      </c>
      <c r="P529" s="44"/>
      <c r="Q529" s="44"/>
      <c r="R529" s="44"/>
      <c r="S529" s="44">
        <f t="shared" si="68"/>
        <v>0</v>
      </c>
      <c r="T529" s="44">
        <f t="shared" si="71"/>
        <v>0</v>
      </c>
      <c r="U529">
        <v>0</v>
      </c>
      <c r="V529" s="43">
        <v>0</v>
      </c>
      <c r="W529" s="44">
        <f t="shared" si="72"/>
        <v>0</v>
      </c>
      <c r="X529" s="44">
        <f t="shared" si="73"/>
        <v>0</v>
      </c>
      <c r="Y529" s="44">
        <f t="shared" si="74"/>
        <v>0</v>
      </c>
      <c r="Z529" s="84"/>
      <c r="AA529" s="78"/>
      <c r="AB529" s="78"/>
      <c r="AC529" s="78"/>
      <c r="AD529" s="78"/>
      <c r="AE529" s="78"/>
    </row>
    <row r="530" spans="1:31" ht="12.75">
      <c r="A530"/>
      <c r="B530"/>
      <c r="C530"/>
      <c r="D530"/>
      <c r="E530"/>
      <c r="F530"/>
      <c r="G530"/>
      <c r="H530"/>
      <c r="I530"/>
      <c r="J530"/>
      <c r="K530" s="100">
        <f t="shared" si="67"/>
        <v>0</v>
      </c>
      <c r="L530" s="95"/>
      <c r="M530" s="90">
        <f t="shared" si="69"/>
        <v>0</v>
      </c>
      <c r="N530" s="56">
        <v>0</v>
      </c>
      <c r="O530" s="44">
        <f t="shared" si="70"/>
        <v>0</v>
      </c>
      <c r="P530" s="44"/>
      <c r="Q530" s="44"/>
      <c r="R530" s="44"/>
      <c r="S530" s="44">
        <f t="shared" si="68"/>
        <v>0</v>
      </c>
      <c r="T530" s="44">
        <f t="shared" si="71"/>
        <v>0</v>
      </c>
      <c r="U530">
        <v>0</v>
      </c>
      <c r="V530" s="43">
        <v>0</v>
      </c>
      <c r="W530" s="44">
        <f t="shared" si="72"/>
        <v>0</v>
      </c>
      <c r="X530" s="44">
        <f t="shared" si="73"/>
        <v>0</v>
      </c>
      <c r="Y530" s="44">
        <f t="shared" si="74"/>
        <v>0</v>
      </c>
      <c r="Z530" s="84"/>
      <c r="AA530" s="78"/>
      <c r="AB530" s="78"/>
      <c r="AC530" s="78"/>
      <c r="AD530" s="78"/>
      <c r="AE530" s="78"/>
    </row>
    <row r="531" spans="1:31" ht="12.75">
      <c r="A531"/>
      <c r="B531"/>
      <c r="C531"/>
      <c r="D531"/>
      <c r="E531"/>
      <c r="F531"/>
      <c r="G531"/>
      <c r="H531"/>
      <c r="I531"/>
      <c r="J531"/>
      <c r="K531" s="100">
        <f t="shared" si="67"/>
        <v>0</v>
      </c>
      <c r="L531" s="95"/>
      <c r="M531" s="90">
        <f t="shared" si="69"/>
        <v>0</v>
      </c>
      <c r="N531" s="56">
        <v>0</v>
      </c>
      <c r="O531" s="44">
        <f t="shared" si="70"/>
        <v>0</v>
      </c>
      <c r="P531" s="44"/>
      <c r="Q531" s="44"/>
      <c r="R531" s="44"/>
      <c r="S531" s="44">
        <f t="shared" si="68"/>
        <v>0</v>
      </c>
      <c r="T531" s="44">
        <f t="shared" si="71"/>
        <v>0</v>
      </c>
      <c r="U531">
        <v>0</v>
      </c>
      <c r="V531" s="43">
        <v>0</v>
      </c>
      <c r="W531" s="44">
        <f t="shared" si="72"/>
        <v>0</v>
      </c>
      <c r="X531" s="44">
        <f t="shared" si="73"/>
        <v>0</v>
      </c>
      <c r="Y531" s="44">
        <f t="shared" si="74"/>
        <v>0</v>
      </c>
      <c r="Z531" s="84"/>
      <c r="AA531" s="78"/>
      <c r="AB531" s="78"/>
      <c r="AC531" s="78"/>
      <c r="AD531" s="78"/>
      <c r="AE531" s="78"/>
    </row>
    <row r="532" spans="1:31" ht="12.75">
      <c r="A532"/>
      <c r="B532"/>
      <c r="C532"/>
      <c r="D532"/>
      <c r="E532"/>
      <c r="F532"/>
      <c r="G532"/>
      <c r="H532"/>
      <c r="I532"/>
      <c r="J532"/>
      <c r="K532" s="100">
        <f t="shared" si="67"/>
        <v>0</v>
      </c>
      <c r="L532" s="95"/>
      <c r="M532" s="90">
        <f t="shared" si="69"/>
        <v>0</v>
      </c>
      <c r="N532" s="56">
        <v>0</v>
      </c>
      <c r="O532" s="44">
        <f t="shared" si="70"/>
        <v>0</v>
      </c>
      <c r="P532" s="44"/>
      <c r="Q532" s="44"/>
      <c r="R532" s="44"/>
      <c r="S532" s="44">
        <f t="shared" si="68"/>
        <v>0</v>
      </c>
      <c r="T532" s="44">
        <f t="shared" si="71"/>
        <v>0</v>
      </c>
      <c r="U532">
        <v>0</v>
      </c>
      <c r="V532" s="43">
        <v>0</v>
      </c>
      <c r="W532" s="44">
        <f t="shared" si="72"/>
        <v>0</v>
      </c>
      <c r="X532" s="44">
        <f t="shared" si="73"/>
        <v>0</v>
      </c>
      <c r="Y532" s="44">
        <f t="shared" si="74"/>
        <v>0</v>
      </c>
      <c r="Z532" s="84"/>
      <c r="AA532" s="78"/>
      <c r="AB532" s="78"/>
      <c r="AC532" s="78"/>
      <c r="AD532" s="78"/>
      <c r="AE532" s="78"/>
    </row>
    <row r="533" spans="1:31" ht="12.75">
      <c r="A533"/>
      <c r="B533"/>
      <c r="C533"/>
      <c r="D533"/>
      <c r="E533"/>
      <c r="F533"/>
      <c r="G533"/>
      <c r="H533"/>
      <c r="I533"/>
      <c r="J533"/>
      <c r="K533" s="100">
        <f t="shared" ref="K533:K596" si="75">+I533*J533</f>
        <v>0</v>
      </c>
      <c r="L533" s="95"/>
      <c r="M533" s="90">
        <f t="shared" si="69"/>
        <v>0</v>
      </c>
      <c r="N533" s="56">
        <v>0</v>
      </c>
      <c r="O533" s="44">
        <f t="shared" si="70"/>
        <v>0</v>
      </c>
      <c r="P533" s="44"/>
      <c r="Q533" s="44"/>
      <c r="R533" s="44"/>
      <c r="S533" s="44">
        <f t="shared" ref="S533:S596" si="76">IF(R533="y",+P533*0.01,0)</f>
        <v>0</v>
      </c>
      <c r="T533" s="44">
        <f t="shared" si="71"/>
        <v>0</v>
      </c>
      <c r="U533">
        <v>0</v>
      </c>
      <c r="V533" s="43">
        <v>0</v>
      </c>
      <c r="W533" s="44">
        <f t="shared" si="72"/>
        <v>0</v>
      </c>
      <c r="X533" s="44">
        <f t="shared" si="73"/>
        <v>0</v>
      </c>
      <c r="Y533" s="44">
        <f t="shared" si="74"/>
        <v>0</v>
      </c>
      <c r="Z533" s="84"/>
      <c r="AA533" s="78"/>
      <c r="AB533" s="78"/>
      <c r="AC533" s="78"/>
      <c r="AD533" s="78"/>
      <c r="AE533" s="78"/>
    </row>
    <row r="534" spans="1:31" ht="12.75">
      <c r="A534"/>
      <c r="B534"/>
      <c r="C534"/>
      <c r="D534"/>
      <c r="E534"/>
      <c r="F534"/>
      <c r="G534"/>
      <c r="H534"/>
      <c r="I534"/>
      <c r="J534"/>
      <c r="K534" s="100">
        <f t="shared" si="75"/>
        <v>0</v>
      </c>
      <c r="L534" s="95"/>
      <c r="M534" s="90">
        <f t="shared" si="69"/>
        <v>0</v>
      </c>
      <c r="N534" s="56">
        <v>0</v>
      </c>
      <c r="O534" s="44">
        <f t="shared" si="70"/>
        <v>0</v>
      </c>
      <c r="P534" s="44"/>
      <c r="Q534" s="44"/>
      <c r="R534" s="44"/>
      <c r="S534" s="44">
        <f t="shared" si="76"/>
        <v>0</v>
      </c>
      <c r="T534" s="44">
        <f t="shared" si="71"/>
        <v>0</v>
      </c>
      <c r="U534">
        <v>0</v>
      </c>
      <c r="V534" s="43">
        <v>0</v>
      </c>
      <c r="W534" s="44">
        <f t="shared" si="72"/>
        <v>0</v>
      </c>
      <c r="X534" s="44">
        <f t="shared" si="73"/>
        <v>0</v>
      </c>
      <c r="Y534" s="44">
        <f t="shared" si="74"/>
        <v>0</v>
      </c>
      <c r="Z534" s="84"/>
      <c r="AA534" s="78"/>
      <c r="AB534" s="78"/>
      <c r="AC534" s="78"/>
      <c r="AD534" s="78"/>
      <c r="AE534" s="78"/>
    </row>
    <row r="535" spans="1:31" ht="12.75">
      <c r="A535"/>
      <c r="B535"/>
      <c r="C535"/>
      <c r="D535"/>
      <c r="E535"/>
      <c r="F535"/>
      <c r="G535"/>
      <c r="H535"/>
      <c r="I535"/>
      <c r="J535"/>
      <c r="K535" s="100">
        <f t="shared" si="75"/>
        <v>0</v>
      </c>
      <c r="L535" s="95"/>
      <c r="M535" s="90">
        <f t="shared" si="69"/>
        <v>0</v>
      </c>
      <c r="N535" s="56">
        <v>0</v>
      </c>
      <c r="O535" s="44">
        <f t="shared" si="70"/>
        <v>0</v>
      </c>
      <c r="P535" s="44"/>
      <c r="Q535" s="44"/>
      <c r="R535" s="44"/>
      <c r="S535" s="44">
        <f t="shared" si="76"/>
        <v>0</v>
      </c>
      <c r="T535" s="44">
        <f t="shared" si="71"/>
        <v>0</v>
      </c>
      <c r="U535">
        <v>0</v>
      </c>
      <c r="V535" s="43">
        <v>0</v>
      </c>
      <c r="W535" s="44">
        <f t="shared" si="72"/>
        <v>0</v>
      </c>
      <c r="X535" s="44">
        <f t="shared" si="73"/>
        <v>0</v>
      </c>
      <c r="Y535" s="44">
        <f t="shared" si="74"/>
        <v>0</v>
      </c>
      <c r="Z535" s="84"/>
      <c r="AA535" s="78"/>
      <c r="AB535" s="78"/>
      <c r="AC535" s="78"/>
      <c r="AD535" s="78"/>
      <c r="AE535" s="78"/>
    </row>
    <row r="536" spans="1:31" ht="12.75">
      <c r="A536"/>
      <c r="B536"/>
      <c r="C536"/>
      <c r="D536"/>
      <c r="E536"/>
      <c r="F536"/>
      <c r="G536"/>
      <c r="H536"/>
      <c r="I536"/>
      <c r="J536"/>
      <c r="K536" s="100">
        <f t="shared" si="75"/>
        <v>0</v>
      </c>
      <c r="L536" s="95"/>
      <c r="M536" s="90">
        <f t="shared" si="69"/>
        <v>0</v>
      </c>
      <c r="N536" s="56">
        <v>0</v>
      </c>
      <c r="O536" s="44">
        <f t="shared" si="70"/>
        <v>0</v>
      </c>
      <c r="P536" s="44"/>
      <c r="Q536" s="44"/>
      <c r="R536" s="44"/>
      <c r="S536" s="44">
        <f t="shared" si="76"/>
        <v>0</v>
      </c>
      <c r="T536" s="44">
        <f t="shared" si="71"/>
        <v>0</v>
      </c>
      <c r="U536">
        <v>0</v>
      </c>
      <c r="V536" s="43">
        <v>0</v>
      </c>
      <c r="W536" s="44">
        <f t="shared" si="72"/>
        <v>0</v>
      </c>
      <c r="X536" s="44">
        <f t="shared" si="73"/>
        <v>0</v>
      </c>
      <c r="Y536" s="44">
        <f t="shared" si="74"/>
        <v>0</v>
      </c>
      <c r="Z536" s="84"/>
      <c r="AA536" s="78"/>
      <c r="AB536" s="78"/>
      <c r="AC536" s="78"/>
      <c r="AD536" s="78"/>
      <c r="AE536" s="78"/>
    </row>
    <row r="537" spans="1:31" ht="12.75">
      <c r="A537"/>
      <c r="B537"/>
      <c r="C537"/>
      <c r="D537"/>
      <c r="E537"/>
      <c r="F537"/>
      <c r="G537"/>
      <c r="H537"/>
      <c r="I537"/>
      <c r="J537"/>
      <c r="K537" s="100">
        <f t="shared" si="75"/>
        <v>0</v>
      </c>
      <c r="L537" s="95"/>
      <c r="M537" s="90">
        <f t="shared" si="69"/>
        <v>0</v>
      </c>
      <c r="N537" s="56">
        <v>0</v>
      </c>
      <c r="O537" s="44">
        <f t="shared" si="70"/>
        <v>0</v>
      </c>
      <c r="P537" s="44"/>
      <c r="Q537" s="44"/>
      <c r="R537" s="44"/>
      <c r="S537" s="44">
        <f t="shared" si="76"/>
        <v>0</v>
      </c>
      <c r="T537" s="44">
        <f t="shared" si="71"/>
        <v>0</v>
      </c>
      <c r="U537">
        <v>0</v>
      </c>
      <c r="V537" s="43">
        <v>0</v>
      </c>
      <c r="W537" s="44">
        <f t="shared" si="72"/>
        <v>0</v>
      </c>
      <c r="X537" s="44">
        <f t="shared" si="73"/>
        <v>0</v>
      </c>
      <c r="Y537" s="44">
        <f t="shared" si="74"/>
        <v>0</v>
      </c>
      <c r="Z537" s="84"/>
      <c r="AA537" s="78"/>
      <c r="AB537" s="78"/>
      <c r="AC537" s="78"/>
      <c r="AD537" s="78"/>
      <c r="AE537" s="78"/>
    </row>
    <row r="538" spans="1:31" ht="12.75">
      <c r="A538"/>
      <c r="B538"/>
      <c r="C538"/>
      <c r="D538"/>
      <c r="E538"/>
      <c r="F538"/>
      <c r="G538"/>
      <c r="H538"/>
      <c r="I538"/>
      <c r="J538"/>
      <c r="K538" s="100">
        <f t="shared" si="75"/>
        <v>0</v>
      </c>
      <c r="L538" s="95"/>
      <c r="M538" s="90">
        <f t="shared" si="69"/>
        <v>0</v>
      </c>
      <c r="N538" s="56">
        <v>0</v>
      </c>
      <c r="O538" s="44">
        <f t="shared" si="70"/>
        <v>0</v>
      </c>
      <c r="P538" s="44"/>
      <c r="Q538" s="44"/>
      <c r="R538" s="44"/>
      <c r="S538" s="44">
        <f t="shared" si="76"/>
        <v>0</v>
      </c>
      <c r="T538" s="44">
        <f t="shared" si="71"/>
        <v>0</v>
      </c>
      <c r="U538">
        <v>0</v>
      </c>
      <c r="V538" s="43">
        <v>0</v>
      </c>
      <c r="W538" s="44">
        <f t="shared" si="72"/>
        <v>0</v>
      </c>
      <c r="X538" s="44">
        <f t="shared" si="73"/>
        <v>0</v>
      </c>
      <c r="Y538" s="44">
        <f t="shared" si="74"/>
        <v>0</v>
      </c>
      <c r="Z538" s="84"/>
      <c r="AA538" s="78"/>
      <c r="AB538" s="78"/>
      <c r="AC538" s="78"/>
      <c r="AD538" s="78"/>
      <c r="AE538" s="78"/>
    </row>
    <row r="539" spans="1:31" ht="12.75">
      <c r="A539"/>
      <c r="B539"/>
      <c r="C539"/>
      <c r="D539"/>
      <c r="E539"/>
      <c r="F539"/>
      <c r="G539"/>
      <c r="H539"/>
      <c r="I539"/>
      <c r="J539"/>
      <c r="K539" s="100">
        <f t="shared" si="75"/>
        <v>0</v>
      </c>
      <c r="L539" s="95"/>
      <c r="M539" s="90">
        <f t="shared" si="69"/>
        <v>0</v>
      </c>
      <c r="N539" s="56">
        <v>0</v>
      </c>
      <c r="O539" s="44">
        <f t="shared" si="70"/>
        <v>0</v>
      </c>
      <c r="P539" s="44"/>
      <c r="Q539" s="44"/>
      <c r="R539" s="44"/>
      <c r="S539" s="44">
        <f t="shared" si="76"/>
        <v>0</v>
      </c>
      <c r="T539" s="44">
        <f t="shared" si="71"/>
        <v>0</v>
      </c>
      <c r="U539">
        <v>0</v>
      </c>
      <c r="V539" s="43">
        <v>0</v>
      </c>
      <c r="W539" s="44">
        <f t="shared" si="72"/>
        <v>0</v>
      </c>
      <c r="X539" s="44">
        <f t="shared" si="73"/>
        <v>0</v>
      </c>
      <c r="Y539" s="44">
        <f t="shared" si="74"/>
        <v>0</v>
      </c>
      <c r="Z539" s="84"/>
      <c r="AA539" s="78"/>
      <c r="AB539" s="78"/>
      <c r="AC539" s="78"/>
      <c r="AD539" s="78"/>
      <c r="AE539" s="78"/>
    </row>
    <row r="540" spans="1:31" ht="12.75">
      <c r="A540"/>
      <c r="B540"/>
      <c r="C540"/>
      <c r="D540"/>
      <c r="E540"/>
      <c r="F540"/>
      <c r="G540"/>
      <c r="H540"/>
      <c r="I540"/>
      <c r="J540"/>
      <c r="K540" s="100">
        <f t="shared" si="75"/>
        <v>0</v>
      </c>
      <c r="L540" s="95"/>
      <c r="M540" s="90">
        <f t="shared" si="69"/>
        <v>0</v>
      </c>
      <c r="N540" s="56">
        <v>0</v>
      </c>
      <c r="O540" s="44">
        <f t="shared" si="70"/>
        <v>0</v>
      </c>
      <c r="P540" s="44"/>
      <c r="Q540" s="44"/>
      <c r="R540" s="44"/>
      <c r="S540" s="44">
        <f t="shared" si="76"/>
        <v>0</v>
      </c>
      <c r="T540" s="44">
        <f t="shared" si="71"/>
        <v>0</v>
      </c>
      <c r="U540">
        <v>0</v>
      </c>
      <c r="V540" s="43">
        <v>0</v>
      </c>
      <c r="W540" s="44">
        <f t="shared" si="72"/>
        <v>0</v>
      </c>
      <c r="X540" s="44">
        <f t="shared" si="73"/>
        <v>0</v>
      </c>
      <c r="Y540" s="44">
        <f t="shared" si="74"/>
        <v>0</v>
      </c>
      <c r="Z540" s="84"/>
      <c r="AA540" s="78"/>
      <c r="AB540" s="78"/>
      <c r="AC540" s="78"/>
      <c r="AD540" s="78"/>
      <c r="AE540" s="78"/>
    </row>
    <row r="541" spans="1:31" ht="12.75">
      <c r="A541"/>
      <c r="B541"/>
      <c r="C541"/>
      <c r="D541"/>
      <c r="E541"/>
      <c r="F541"/>
      <c r="G541"/>
      <c r="H541"/>
      <c r="I541"/>
      <c r="J541"/>
      <c r="K541" s="100">
        <f t="shared" si="75"/>
        <v>0</v>
      </c>
      <c r="L541" s="95"/>
      <c r="M541" s="90">
        <f t="shared" si="69"/>
        <v>0</v>
      </c>
      <c r="N541" s="56">
        <v>0</v>
      </c>
      <c r="O541" s="44">
        <f t="shared" si="70"/>
        <v>0</v>
      </c>
      <c r="P541" s="44"/>
      <c r="Q541" s="44"/>
      <c r="R541" s="44"/>
      <c r="S541" s="44">
        <f t="shared" si="76"/>
        <v>0</v>
      </c>
      <c r="T541" s="44">
        <f t="shared" si="71"/>
        <v>0</v>
      </c>
      <c r="U541">
        <v>0</v>
      </c>
      <c r="V541" s="43">
        <v>0</v>
      </c>
      <c r="W541" s="44">
        <f t="shared" si="72"/>
        <v>0</v>
      </c>
      <c r="X541" s="44">
        <f t="shared" si="73"/>
        <v>0</v>
      </c>
      <c r="Y541" s="44">
        <f t="shared" si="74"/>
        <v>0</v>
      </c>
      <c r="Z541" s="84"/>
      <c r="AA541" s="78"/>
      <c r="AB541" s="78"/>
      <c r="AC541" s="78"/>
      <c r="AD541" s="78"/>
      <c r="AE541" s="78"/>
    </row>
    <row r="542" spans="1:31" ht="12.75">
      <c r="A542"/>
      <c r="B542"/>
      <c r="C542"/>
      <c r="D542"/>
      <c r="E542"/>
      <c r="F542"/>
      <c r="G542"/>
      <c r="H542"/>
      <c r="I542"/>
      <c r="J542"/>
      <c r="K542" s="100">
        <f t="shared" si="75"/>
        <v>0</v>
      </c>
      <c r="L542" s="95"/>
      <c r="M542" s="90">
        <f t="shared" si="69"/>
        <v>0</v>
      </c>
      <c r="N542" s="56">
        <v>0</v>
      </c>
      <c r="O542" s="44">
        <f t="shared" si="70"/>
        <v>0</v>
      </c>
      <c r="P542" s="44"/>
      <c r="Q542" s="44"/>
      <c r="R542" s="44"/>
      <c r="S542" s="44">
        <f t="shared" si="76"/>
        <v>0</v>
      </c>
      <c r="T542" s="44">
        <f t="shared" si="71"/>
        <v>0</v>
      </c>
      <c r="U542">
        <v>0</v>
      </c>
      <c r="V542" s="43">
        <v>0</v>
      </c>
      <c r="W542" s="44">
        <f t="shared" si="72"/>
        <v>0</v>
      </c>
      <c r="X542" s="44">
        <f t="shared" si="73"/>
        <v>0</v>
      </c>
      <c r="Y542" s="44">
        <f t="shared" si="74"/>
        <v>0</v>
      </c>
      <c r="Z542" s="84"/>
      <c r="AA542" s="78"/>
      <c r="AB542" s="78"/>
      <c r="AC542" s="78"/>
      <c r="AD542" s="78"/>
      <c r="AE542" s="78"/>
    </row>
    <row r="543" spans="1:31" ht="12.75">
      <c r="A543"/>
      <c r="B543"/>
      <c r="C543"/>
      <c r="D543"/>
      <c r="E543"/>
      <c r="F543"/>
      <c r="G543"/>
      <c r="H543"/>
      <c r="I543"/>
      <c r="J543"/>
      <c r="K543" s="100">
        <f t="shared" si="75"/>
        <v>0</v>
      </c>
      <c r="L543" s="95"/>
      <c r="M543" s="90">
        <f t="shared" si="69"/>
        <v>0</v>
      </c>
      <c r="N543" s="56">
        <v>0</v>
      </c>
      <c r="O543" s="44">
        <f t="shared" si="70"/>
        <v>0</v>
      </c>
      <c r="P543" s="44"/>
      <c r="Q543" s="44"/>
      <c r="R543" s="44"/>
      <c r="S543" s="44">
        <f t="shared" si="76"/>
        <v>0</v>
      </c>
      <c r="T543" s="44">
        <f t="shared" si="71"/>
        <v>0</v>
      </c>
      <c r="U543">
        <v>0</v>
      </c>
      <c r="V543" s="43">
        <v>0</v>
      </c>
      <c r="W543" s="44">
        <f t="shared" si="72"/>
        <v>0</v>
      </c>
      <c r="X543" s="44">
        <f t="shared" si="73"/>
        <v>0</v>
      </c>
      <c r="Y543" s="44">
        <f t="shared" si="74"/>
        <v>0</v>
      </c>
      <c r="Z543" s="84"/>
      <c r="AA543" s="78"/>
      <c r="AB543" s="78"/>
      <c r="AC543" s="78"/>
      <c r="AD543" s="78"/>
      <c r="AE543" s="78"/>
    </row>
    <row r="544" spans="1:31" ht="12.75">
      <c r="A544"/>
      <c r="B544"/>
      <c r="C544"/>
      <c r="D544"/>
      <c r="E544"/>
      <c r="F544"/>
      <c r="G544"/>
      <c r="H544"/>
      <c r="I544"/>
      <c r="J544"/>
      <c r="K544" s="100">
        <f t="shared" si="75"/>
        <v>0</v>
      </c>
      <c r="L544" s="95"/>
      <c r="M544" s="90">
        <f t="shared" si="69"/>
        <v>0</v>
      </c>
      <c r="N544" s="56">
        <v>0</v>
      </c>
      <c r="O544" s="44">
        <f t="shared" si="70"/>
        <v>0</v>
      </c>
      <c r="P544" s="44"/>
      <c r="Q544" s="44"/>
      <c r="R544" s="44"/>
      <c r="S544" s="44">
        <f t="shared" si="76"/>
        <v>0</v>
      </c>
      <c r="T544" s="44">
        <f t="shared" si="71"/>
        <v>0</v>
      </c>
      <c r="U544">
        <v>0</v>
      </c>
      <c r="V544" s="43">
        <v>0</v>
      </c>
      <c r="W544" s="44">
        <f t="shared" si="72"/>
        <v>0</v>
      </c>
      <c r="X544" s="44">
        <f t="shared" si="73"/>
        <v>0</v>
      </c>
      <c r="Y544" s="44">
        <f t="shared" si="74"/>
        <v>0</v>
      </c>
      <c r="Z544" s="84"/>
      <c r="AA544" s="78"/>
      <c r="AB544" s="78"/>
      <c r="AC544" s="78"/>
      <c r="AD544" s="78"/>
      <c r="AE544" s="78"/>
    </row>
    <row r="545" spans="1:31" ht="12.75">
      <c r="A545"/>
      <c r="B545"/>
      <c r="C545"/>
      <c r="D545"/>
      <c r="E545"/>
      <c r="F545"/>
      <c r="G545"/>
      <c r="H545"/>
      <c r="I545"/>
      <c r="J545"/>
      <c r="K545" s="100">
        <f t="shared" si="75"/>
        <v>0</v>
      </c>
      <c r="L545" s="95"/>
      <c r="M545" s="90">
        <f t="shared" si="69"/>
        <v>0</v>
      </c>
      <c r="N545" s="56">
        <v>0</v>
      </c>
      <c r="O545" s="44">
        <f t="shared" si="70"/>
        <v>0</v>
      </c>
      <c r="P545" s="44"/>
      <c r="Q545" s="44"/>
      <c r="R545" s="44"/>
      <c r="S545" s="44">
        <f t="shared" si="76"/>
        <v>0</v>
      </c>
      <c r="T545" s="44">
        <f t="shared" si="71"/>
        <v>0</v>
      </c>
      <c r="U545">
        <v>0</v>
      </c>
      <c r="V545" s="43">
        <v>0</v>
      </c>
      <c r="W545" s="44">
        <f t="shared" si="72"/>
        <v>0</v>
      </c>
      <c r="X545" s="44">
        <f t="shared" si="73"/>
        <v>0</v>
      </c>
      <c r="Y545" s="44">
        <f t="shared" si="74"/>
        <v>0</v>
      </c>
      <c r="Z545" s="84"/>
      <c r="AA545" s="78"/>
      <c r="AB545" s="78"/>
      <c r="AC545" s="78"/>
      <c r="AD545" s="78"/>
      <c r="AE545" s="78"/>
    </row>
    <row r="546" spans="1:31" ht="12.75">
      <c r="A546"/>
      <c r="B546"/>
      <c r="C546"/>
      <c r="D546"/>
      <c r="E546"/>
      <c r="F546"/>
      <c r="G546"/>
      <c r="H546"/>
      <c r="I546"/>
      <c r="J546"/>
      <c r="K546" s="100">
        <f t="shared" si="75"/>
        <v>0</v>
      </c>
      <c r="L546" s="95"/>
      <c r="M546" s="90">
        <f t="shared" si="69"/>
        <v>0</v>
      </c>
      <c r="N546" s="56">
        <v>0</v>
      </c>
      <c r="O546" s="44">
        <f t="shared" si="70"/>
        <v>0</v>
      </c>
      <c r="P546" s="44"/>
      <c r="Q546" s="44"/>
      <c r="R546" s="44"/>
      <c r="S546" s="44">
        <f t="shared" si="76"/>
        <v>0</v>
      </c>
      <c r="T546" s="44">
        <f t="shared" si="71"/>
        <v>0</v>
      </c>
      <c r="U546">
        <v>0</v>
      </c>
      <c r="V546" s="43">
        <v>0</v>
      </c>
      <c r="W546" s="44">
        <f t="shared" si="72"/>
        <v>0</v>
      </c>
      <c r="X546" s="44">
        <f t="shared" si="73"/>
        <v>0</v>
      </c>
      <c r="Y546" s="44">
        <f t="shared" si="74"/>
        <v>0</v>
      </c>
      <c r="Z546" s="84"/>
      <c r="AA546" s="78"/>
      <c r="AB546" s="78"/>
      <c r="AC546" s="78"/>
      <c r="AD546" s="78"/>
      <c r="AE546" s="78"/>
    </row>
    <row r="547" spans="1:31" ht="12.75">
      <c r="A547"/>
      <c r="B547"/>
      <c r="C547"/>
      <c r="D547"/>
      <c r="E547"/>
      <c r="F547"/>
      <c r="G547"/>
      <c r="H547"/>
      <c r="I547"/>
      <c r="J547"/>
      <c r="K547" s="100">
        <f t="shared" si="75"/>
        <v>0</v>
      </c>
      <c r="L547" s="95"/>
      <c r="M547" s="90">
        <f t="shared" si="69"/>
        <v>0</v>
      </c>
      <c r="N547" s="56">
        <v>0</v>
      </c>
      <c r="O547" s="44">
        <f t="shared" si="70"/>
        <v>0</v>
      </c>
      <c r="P547" s="44"/>
      <c r="Q547" s="44"/>
      <c r="R547" s="44"/>
      <c r="S547" s="44">
        <f t="shared" si="76"/>
        <v>0</v>
      </c>
      <c r="T547" s="44">
        <f t="shared" si="71"/>
        <v>0</v>
      </c>
      <c r="U547">
        <v>0</v>
      </c>
      <c r="V547" s="43">
        <v>0</v>
      </c>
      <c r="W547" s="44">
        <f t="shared" si="72"/>
        <v>0</v>
      </c>
      <c r="X547" s="44">
        <f t="shared" si="73"/>
        <v>0</v>
      </c>
      <c r="Y547" s="44">
        <f t="shared" si="74"/>
        <v>0</v>
      </c>
      <c r="Z547" s="84"/>
      <c r="AA547" s="78"/>
      <c r="AB547" s="78"/>
      <c r="AC547" s="78"/>
      <c r="AD547" s="78"/>
      <c r="AE547" s="78"/>
    </row>
    <row r="548" spans="1:31" ht="12.75">
      <c r="A548"/>
      <c r="B548"/>
      <c r="C548"/>
      <c r="D548"/>
      <c r="E548"/>
      <c r="F548"/>
      <c r="G548"/>
      <c r="H548"/>
      <c r="I548"/>
      <c r="J548"/>
      <c r="K548" s="100">
        <f t="shared" si="75"/>
        <v>0</v>
      </c>
      <c r="L548" s="95"/>
      <c r="M548" s="90">
        <f t="shared" si="69"/>
        <v>0</v>
      </c>
      <c r="N548" s="56">
        <v>0</v>
      </c>
      <c r="O548" s="44">
        <f t="shared" si="70"/>
        <v>0</v>
      </c>
      <c r="P548" s="44"/>
      <c r="Q548" s="44"/>
      <c r="R548" s="44"/>
      <c r="S548" s="44">
        <f t="shared" si="76"/>
        <v>0</v>
      </c>
      <c r="T548" s="44">
        <f t="shared" si="71"/>
        <v>0</v>
      </c>
      <c r="U548">
        <v>0</v>
      </c>
      <c r="V548" s="43">
        <v>0</v>
      </c>
      <c r="W548" s="44">
        <f t="shared" si="72"/>
        <v>0</v>
      </c>
      <c r="X548" s="44">
        <f t="shared" si="73"/>
        <v>0</v>
      </c>
      <c r="Y548" s="44">
        <f t="shared" si="74"/>
        <v>0</v>
      </c>
      <c r="Z548" s="84"/>
      <c r="AA548" s="78"/>
      <c r="AB548" s="78"/>
      <c r="AC548" s="78"/>
      <c r="AD548" s="78"/>
      <c r="AE548" s="78"/>
    </row>
    <row r="549" spans="1:31" ht="12.75">
      <c r="A549"/>
      <c r="B549"/>
      <c r="C549"/>
      <c r="D549"/>
      <c r="E549"/>
      <c r="F549"/>
      <c r="G549"/>
      <c r="H549"/>
      <c r="I549"/>
      <c r="J549"/>
      <c r="K549" s="100">
        <f t="shared" si="75"/>
        <v>0</v>
      </c>
      <c r="L549" s="95"/>
      <c r="M549" s="90">
        <f t="shared" si="69"/>
        <v>0</v>
      </c>
      <c r="N549" s="56">
        <v>0</v>
      </c>
      <c r="O549" s="44">
        <f t="shared" si="70"/>
        <v>0</v>
      </c>
      <c r="P549" s="44"/>
      <c r="Q549" s="44"/>
      <c r="R549" s="44"/>
      <c r="S549" s="44">
        <f t="shared" si="76"/>
        <v>0</v>
      </c>
      <c r="T549" s="44">
        <f t="shared" si="71"/>
        <v>0</v>
      </c>
      <c r="U549">
        <v>0</v>
      </c>
      <c r="V549" s="43">
        <v>0</v>
      </c>
      <c r="W549" s="44">
        <f t="shared" si="72"/>
        <v>0</v>
      </c>
      <c r="X549" s="44">
        <f t="shared" si="73"/>
        <v>0</v>
      </c>
      <c r="Y549" s="44">
        <f t="shared" si="74"/>
        <v>0</v>
      </c>
      <c r="Z549" s="84"/>
      <c r="AA549" s="78"/>
      <c r="AB549" s="78"/>
      <c r="AC549" s="78"/>
      <c r="AD549" s="78"/>
      <c r="AE549" s="78"/>
    </row>
    <row r="550" spans="1:31" ht="12.75">
      <c r="A550"/>
      <c r="B550"/>
      <c r="C550"/>
      <c r="D550"/>
      <c r="E550"/>
      <c r="F550"/>
      <c r="G550"/>
      <c r="H550"/>
      <c r="I550"/>
      <c r="J550"/>
      <c r="K550" s="100">
        <f t="shared" si="75"/>
        <v>0</v>
      </c>
      <c r="L550" s="95"/>
      <c r="M550" s="90">
        <f t="shared" si="69"/>
        <v>0</v>
      </c>
      <c r="N550" s="56">
        <v>0</v>
      </c>
      <c r="O550" s="44">
        <f t="shared" si="70"/>
        <v>0</v>
      </c>
      <c r="P550" s="44"/>
      <c r="Q550" s="44"/>
      <c r="R550" s="44"/>
      <c r="S550" s="44">
        <f t="shared" si="76"/>
        <v>0</v>
      </c>
      <c r="T550" s="44">
        <f t="shared" si="71"/>
        <v>0</v>
      </c>
      <c r="U550">
        <v>0</v>
      </c>
      <c r="V550" s="43">
        <v>0</v>
      </c>
      <c r="W550" s="44">
        <f t="shared" si="72"/>
        <v>0</v>
      </c>
      <c r="X550" s="44">
        <f t="shared" si="73"/>
        <v>0</v>
      </c>
      <c r="Y550" s="44">
        <f t="shared" si="74"/>
        <v>0</v>
      </c>
      <c r="Z550" s="84"/>
      <c r="AA550" s="78"/>
      <c r="AB550" s="78"/>
      <c r="AC550" s="78"/>
      <c r="AD550" s="78"/>
      <c r="AE550" s="78"/>
    </row>
    <row r="551" spans="1:31" ht="12.75">
      <c r="A551"/>
      <c r="B551"/>
      <c r="C551"/>
      <c r="D551"/>
      <c r="E551"/>
      <c r="F551"/>
      <c r="G551"/>
      <c r="H551"/>
      <c r="I551"/>
      <c r="J551"/>
      <c r="K551" s="100">
        <f t="shared" si="75"/>
        <v>0</v>
      </c>
      <c r="L551" s="95"/>
      <c r="M551" s="90">
        <f t="shared" si="69"/>
        <v>0</v>
      </c>
      <c r="N551" s="56">
        <v>0</v>
      </c>
      <c r="O551" s="44">
        <f t="shared" si="70"/>
        <v>0</v>
      </c>
      <c r="P551" s="44"/>
      <c r="Q551" s="44"/>
      <c r="R551" s="44"/>
      <c r="S551" s="44">
        <f t="shared" si="76"/>
        <v>0</v>
      </c>
      <c r="T551" s="44">
        <f t="shared" si="71"/>
        <v>0</v>
      </c>
      <c r="U551">
        <v>0</v>
      </c>
      <c r="V551" s="43">
        <v>0</v>
      </c>
      <c r="W551" s="44">
        <f t="shared" si="72"/>
        <v>0</v>
      </c>
      <c r="X551" s="44">
        <f t="shared" si="73"/>
        <v>0</v>
      </c>
      <c r="Y551" s="44">
        <f t="shared" si="74"/>
        <v>0</v>
      </c>
      <c r="Z551" s="84"/>
      <c r="AA551" s="78"/>
      <c r="AB551" s="78"/>
      <c r="AC551" s="78"/>
      <c r="AD551" s="78"/>
      <c r="AE551" s="78"/>
    </row>
    <row r="552" spans="1:31" ht="12.75">
      <c r="A552"/>
      <c r="B552"/>
      <c r="C552"/>
      <c r="D552"/>
      <c r="E552"/>
      <c r="F552"/>
      <c r="G552"/>
      <c r="H552"/>
      <c r="I552"/>
      <c r="J552"/>
      <c r="K552" s="100">
        <f t="shared" si="75"/>
        <v>0</v>
      </c>
      <c r="L552" s="95"/>
      <c r="M552" s="90">
        <f t="shared" si="69"/>
        <v>0</v>
      </c>
      <c r="N552" s="56">
        <v>0</v>
      </c>
      <c r="O552" s="44">
        <f t="shared" si="70"/>
        <v>0</v>
      </c>
      <c r="P552" s="44"/>
      <c r="Q552" s="44"/>
      <c r="R552" s="44"/>
      <c r="S552" s="44">
        <f t="shared" si="76"/>
        <v>0</v>
      </c>
      <c r="T552" s="44">
        <f t="shared" si="71"/>
        <v>0</v>
      </c>
      <c r="U552">
        <v>0</v>
      </c>
      <c r="V552" s="43">
        <v>0</v>
      </c>
      <c r="W552" s="44">
        <f t="shared" si="72"/>
        <v>0</v>
      </c>
      <c r="X552" s="44">
        <f t="shared" si="73"/>
        <v>0</v>
      </c>
      <c r="Y552" s="44">
        <f t="shared" si="74"/>
        <v>0</v>
      </c>
      <c r="Z552" s="84"/>
      <c r="AA552" s="78"/>
      <c r="AB552" s="78"/>
      <c r="AC552" s="78"/>
      <c r="AD552" s="78"/>
      <c r="AE552" s="78"/>
    </row>
    <row r="553" spans="1:31" ht="12.75">
      <c r="A553"/>
      <c r="B553"/>
      <c r="C553"/>
      <c r="D553"/>
      <c r="E553"/>
      <c r="F553"/>
      <c r="G553"/>
      <c r="H553"/>
      <c r="I553"/>
      <c r="J553"/>
      <c r="K553" s="100">
        <f t="shared" si="75"/>
        <v>0</v>
      </c>
      <c r="L553" s="95"/>
      <c r="M553" s="90">
        <f t="shared" si="69"/>
        <v>0</v>
      </c>
      <c r="N553" s="56">
        <v>0</v>
      </c>
      <c r="O553" s="44">
        <f t="shared" si="70"/>
        <v>0</v>
      </c>
      <c r="P553" s="44"/>
      <c r="Q553" s="44"/>
      <c r="R553" s="44"/>
      <c r="S553" s="44">
        <f t="shared" si="76"/>
        <v>0</v>
      </c>
      <c r="T553" s="44">
        <f t="shared" si="71"/>
        <v>0</v>
      </c>
      <c r="U553">
        <v>0</v>
      </c>
      <c r="V553" s="43">
        <v>0</v>
      </c>
      <c r="W553" s="44">
        <f t="shared" si="72"/>
        <v>0</v>
      </c>
      <c r="X553" s="44">
        <f t="shared" si="73"/>
        <v>0</v>
      </c>
      <c r="Y553" s="44">
        <f t="shared" si="74"/>
        <v>0</v>
      </c>
      <c r="Z553" s="84"/>
      <c r="AA553" s="78"/>
      <c r="AB553" s="78"/>
      <c r="AC553" s="78"/>
      <c r="AD553" s="78"/>
      <c r="AE553" s="78"/>
    </row>
    <row r="554" spans="1:31" ht="12.75">
      <c r="A554"/>
      <c r="B554"/>
      <c r="C554"/>
      <c r="D554"/>
      <c r="E554"/>
      <c r="F554"/>
      <c r="G554"/>
      <c r="H554"/>
      <c r="I554"/>
      <c r="J554"/>
      <c r="K554" s="100">
        <f t="shared" si="75"/>
        <v>0</v>
      </c>
      <c r="L554" s="95"/>
      <c r="M554" s="90">
        <f t="shared" si="69"/>
        <v>0</v>
      </c>
      <c r="N554" s="56">
        <v>0</v>
      </c>
      <c r="O554" s="44">
        <f t="shared" si="70"/>
        <v>0</v>
      </c>
      <c r="P554" s="44"/>
      <c r="Q554" s="44"/>
      <c r="R554" s="44"/>
      <c r="S554" s="44">
        <f t="shared" si="76"/>
        <v>0</v>
      </c>
      <c r="T554" s="44">
        <f t="shared" si="71"/>
        <v>0</v>
      </c>
      <c r="U554">
        <v>0</v>
      </c>
      <c r="V554" s="43">
        <v>0</v>
      </c>
      <c r="W554" s="44">
        <f t="shared" si="72"/>
        <v>0</v>
      </c>
      <c r="X554" s="44">
        <f t="shared" si="73"/>
        <v>0</v>
      </c>
      <c r="Y554" s="44">
        <f t="shared" si="74"/>
        <v>0</v>
      </c>
      <c r="Z554" s="84"/>
      <c r="AA554" s="78"/>
      <c r="AB554" s="78"/>
      <c r="AC554" s="78"/>
      <c r="AD554" s="78"/>
      <c r="AE554" s="78"/>
    </row>
    <row r="555" spans="1:31" ht="12.75">
      <c r="A555"/>
      <c r="B555"/>
      <c r="C555"/>
      <c r="D555"/>
      <c r="E555"/>
      <c r="F555"/>
      <c r="G555"/>
      <c r="H555"/>
      <c r="I555"/>
      <c r="J555"/>
      <c r="K555" s="100">
        <f t="shared" si="75"/>
        <v>0</v>
      </c>
      <c r="L555" s="95"/>
      <c r="M555" s="90">
        <f t="shared" si="69"/>
        <v>0</v>
      </c>
      <c r="N555" s="56">
        <v>0</v>
      </c>
      <c r="O555" s="44">
        <f t="shared" si="70"/>
        <v>0</v>
      </c>
      <c r="P555" s="44"/>
      <c r="Q555" s="44"/>
      <c r="R555" s="44"/>
      <c r="S555" s="44">
        <f t="shared" si="76"/>
        <v>0</v>
      </c>
      <c r="T555" s="44">
        <f t="shared" si="71"/>
        <v>0</v>
      </c>
      <c r="U555">
        <v>0</v>
      </c>
      <c r="V555" s="43">
        <v>0</v>
      </c>
      <c r="W555" s="44">
        <f t="shared" si="72"/>
        <v>0</v>
      </c>
      <c r="X555" s="44">
        <f t="shared" si="73"/>
        <v>0</v>
      </c>
      <c r="Y555" s="44">
        <f t="shared" si="74"/>
        <v>0</v>
      </c>
      <c r="Z555" s="84"/>
      <c r="AA555" s="78"/>
      <c r="AB555" s="78"/>
      <c r="AC555" s="78"/>
      <c r="AD555" s="78"/>
      <c r="AE555" s="78"/>
    </row>
    <row r="556" spans="1:31" ht="12.75">
      <c r="A556"/>
      <c r="B556"/>
      <c r="C556"/>
      <c r="D556"/>
      <c r="E556"/>
      <c r="F556"/>
      <c r="G556"/>
      <c r="H556"/>
      <c r="I556"/>
      <c r="J556"/>
      <c r="K556" s="100">
        <f t="shared" si="75"/>
        <v>0</v>
      </c>
      <c r="L556" s="95"/>
      <c r="M556" s="90">
        <f t="shared" si="69"/>
        <v>0</v>
      </c>
      <c r="N556" s="56">
        <v>0</v>
      </c>
      <c r="O556" s="44">
        <f t="shared" si="70"/>
        <v>0</v>
      </c>
      <c r="P556" s="44"/>
      <c r="Q556" s="44"/>
      <c r="R556" s="44"/>
      <c r="S556" s="44">
        <f t="shared" si="76"/>
        <v>0</v>
      </c>
      <c r="T556" s="44">
        <f t="shared" si="71"/>
        <v>0</v>
      </c>
      <c r="U556">
        <v>0</v>
      </c>
      <c r="V556" s="43">
        <v>0</v>
      </c>
      <c r="W556" s="44">
        <f t="shared" si="72"/>
        <v>0</v>
      </c>
      <c r="X556" s="44">
        <f t="shared" si="73"/>
        <v>0</v>
      </c>
      <c r="Y556" s="44">
        <f t="shared" si="74"/>
        <v>0</v>
      </c>
      <c r="Z556" s="84"/>
      <c r="AA556" s="78"/>
      <c r="AB556" s="78"/>
      <c r="AC556" s="78"/>
      <c r="AD556" s="78"/>
      <c r="AE556" s="78"/>
    </row>
    <row r="557" spans="1:31" ht="12.75">
      <c r="A557"/>
      <c r="B557"/>
      <c r="C557"/>
      <c r="D557"/>
      <c r="E557"/>
      <c r="F557"/>
      <c r="G557"/>
      <c r="H557"/>
      <c r="I557"/>
      <c r="J557"/>
      <c r="K557" s="100">
        <f t="shared" si="75"/>
        <v>0</v>
      </c>
      <c r="L557" s="95"/>
      <c r="M557" s="90">
        <f t="shared" si="69"/>
        <v>0</v>
      </c>
      <c r="N557" s="56">
        <v>0</v>
      </c>
      <c r="O557" s="44">
        <f t="shared" si="70"/>
        <v>0</v>
      </c>
      <c r="P557" s="44"/>
      <c r="Q557" s="44"/>
      <c r="R557" s="44"/>
      <c r="S557" s="44">
        <f t="shared" si="76"/>
        <v>0</v>
      </c>
      <c r="T557" s="44">
        <f t="shared" si="71"/>
        <v>0</v>
      </c>
      <c r="U557">
        <v>0</v>
      </c>
      <c r="V557" s="43">
        <v>0</v>
      </c>
      <c r="W557" s="44">
        <f t="shared" si="72"/>
        <v>0</v>
      </c>
      <c r="X557" s="44">
        <f t="shared" si="73"/>
        <v>0</v>
      </c>
      <c r="Y557" s="44">
        <f t="shared" si="74"/>
        <v>0</v>
      </c>
      <c r="Z557" s="84"/>
      <c r="AA557" s="78"/>
      <c r="AB557" s="78"/>
      <c r="AC557" s="78"/>
      <c r="AD557" s="78"/>
      <c r="AE557" s="78"/>
    </row>
    <row r="558" spans="1:31" ht="12.75">
      <c r="A558"/>
      <c r="B558"/>
      <c r="C558"/>
      <c r="D558"/>
      <c r="E558"/>
      <c r="F558"/>
      <c r="G558"/>
      <c r="H558"/>
      <c r="I558"/>
      <c r="J558"/>
      <c r="K558" s="100">
        <f t="shared" si="75"/>
        <v>0</v>
      </c>
      <c r="L558" s="95"/>
      <c r="M558" s="90">
        <f t="shared" si="69"/>
        <v>0</v>
      </c>
      <c r="N558" s="56">
        <v>0</v>
      </c>
      <c r="O558" s="44">
        <f t="shared" si="70"/>
        <v>0</v>
      </c>
      <c r="P558" s="44"/>
      <c r="Q558" s="44"/>
      <c r="R558" s="44"/>
      <c r="S558" s="44">
        <f t="shared" si="76"/>
        <v>0</v>
      </c>
      <c r="T558" s="44">
        <f t="shared" si="71"/>
        <v>0</v>
      </c>
      <c r="U558">
        <v>0</v>
      </c>
      <c r="V558" s="43">
        <v>0</v>
      </c>
      <c r="W558" s="44">
        <f t="shared" si="72"/>
        <v>0</v>
      </c>
      <c r="X558" s="44">
        <f t="shared" si="73"/>
        <v>0</v>
      </c>
      <c r="Y558" s="44">
        <f t="shared" si="74"/>
        <v>0</v>
      </c>
      <c r="Z558" s="84"/>
      <c r="AA558" s="78"/>
      <c r="AB558" s="78"/>
      <c r="AC558" s="78"/>
      <c r="AD558" s="78"/>
      <c r="AE558" s="78"/>
    </row>
    <row r="559" spans="1:31" ht="12.75">
      <c r="A559"/>
      <c r="B559"/>
      <c r="C559"/>
      <c r="D559"/>
      <c r="E559"/>
      <c r="F559"/>
      <c r="G559"/>
      <c r="H559"/>
      <c r="I559"/>
      <c r="J559"/>
      <c r="K559" s="100">
        <f t="shared" si="75"/>
        <v>0</v>
      </c>
      <c r="L559" s="95"/>
      <c r="M559" s="90">
        <f t="shared" si="69"/>
        <v>0</v>
      </c>
      <c r="N559" s="56">
        <v>0</v>
      </c>
      <c r="O559" s="44">
        <f t="shared" si="70"/>
        <v>0</v>
      </c>
      <c r="P559" s="44"/>
      <c r="Q559" s="44"/>
      <c r="R559" s="44"/>
      <c r="S559" s="44">
        <f t="shared" si="76"/>
        <v>0</v>
      </c>
      <c r="T559" s="44">
        <f t="shared" si="71"/>
        <v>0</v>
      </c>
      <c r="U559">
        <v>0</v>
      </c>
      <c r="V559" s="43">
        <v>0</v>
      </c>
      <c r="W559" s="44">
        <f t="shared" si="72"/>
        <v>0</v>
      </c>
      <c r="X559" s="44">
        <f t="shared" si="73"/>
        <v>0</v>
      </c>
      <c r="Y559" s="44">
        <f t="shared" si="74"/>
        <v>0</v>
      </c>
      <c r="Z559" s="84"/>
      <c r="AA559" s="78"/>
      <c r="AB559" s="78"/>
      <c r="AC559" s="78"/>
      <c r="AD559" s="78"/>
      <c r="AE559" s="78"/>
    </row>
    <row r="560" spans="1:31" ht="12.75">
      <c r="A560"/>
      <c r="B560"/>
      <c r="C560"/>
      <c r="D560"/>
      <c r="E560"/>
      <c r="F560"/>
      <c r="G560"/>
      <c r="H560"/>
      <c r="I560"/>
      <c r="J560"/>
      <c r="K560" s="100">
        <f t="shared" si="75"/>
        <v>0</v>
      </c>
      <c r="L560" s="95"/>
      <c r="M560" s="90">
        <f t="shared" si="69"/>
        <v>0</v>
      </c>
      <c r="N560" s="56">
        <v>0</v>
      </c>
      <c r="O560" s="44">
        <f t="shared" si="70"/>
        <v>0</v>
      </c>
      <c r="P560" s="44"/>
      <c r="Q560" s="44"/>
      <c r="R560" s="44"/>
      <c r="S560" s="44">
        <f t="shared" si="76"/>
        <v>0</v>
      </c>
      <c r="T560" s="44">
        <f t="shared" si="71"/>
        <v>0</v>
      </c>
      <c r="U560">
        <v>0</v>
      </c>
      <c r="V560" s="43">
        <v>0</v>
      </c>
      <c r="W560" s="44">
        <f t="shared" si="72"/>
        <v>0</v>
      </c>
      <c r="X560" s="44">
        <f t="shared" si="73"/>
        <v>0</v>
      </c>
      <c r="Y560" s="44">
        <f t="shared" si="74"/>
        <v>0</v>
      </c>
      <c r="Z560" s="84"/>
      <c r="AA560" s="78"/>
      <c r="AB560" s="78"/>
      <c r="AC560" s="78"/>
      <c r="AD560" s="78"/>
      <c r="AE560" s="78"/>
    </row>
    <row r="561" spans="1:31" ht="12.75">
      <c r="A561"/>
      <c r="B561"/>
      <c r="C561"/>
      <c r="D561"/>
      <c r="E561"/>
      <c r="F561"/>
      <c r="G561"/>
      <c r="H561"/>
      <c r="I561"/>
      <c r="J561"/>
      <c r="K561" s="100">
        <f t="shared" si="75"/>
        <v>0</v>
      </c>
      <c r="L561" s="95"/>
      <c r="M561" s="90">
        <f t="shared" si="69"/>
        <v>0</v>
      </c>
      <c r="N561" s="56">
        <v>0</v>
      </c>
      <c r="O561" s="44">
        <f t="shared" si="70"/>
        <v>0</v>
      </c>
      <c r="P561" s="44"/>
      <c r="Q561" s="44"/>
      <c r="R561" s="44"/>
      <c r="S561" s="44">
        <f t="shared" si="76"/>
        <v>0</v>
      </c>
      <c r="T561" s="44">
        <f t="shared" si="71"/>
        <v>0</v>
      </c>
      <c r="U561">
        <v>0</v>
      </c>
      <c r="V561" s="43">
        <v>0</v>
      </c>
      <c r="W561" s="44">
        <f t="shared" si="72"/>
        <v>0</v>
      </c>
      <c r="X561" s="44">
        <f t="shared" si="73"/>
        <v>0</v>
      </c>
      <c r="Y561" s="44">
        <f t="shared" si="74"/>
        <v>0</v>
      </c>
      <c r="Z561" s="84"/>
      <c r="AA561" s="78"/>
      <c r="AB561" s="78"/>
      <c r="AC561" s="78"/>
      <c r="AD561" s="78"/>
      <c r="AE561" s="78"/>
    </row>
    <row r="562" spans="1:31" ht="12.75">
      <c r="A562"/>
      <c r="B562"/>
      <c r="C562"/>
      <c r="D562"/>
      <c r="E562"/>
      <c r="F562"/>
      <c r="G562"/>
      <c r="H562"/>
      <c r="I562"/>
      <c r="J562"/>
      <c r="K562" s="100">
        <f t="shared" si="75"/>
        <v>0</v>
      </c>
      <c r="L562" s="95"/>
      <c r="M562" s="90">
        <f t="shared" si="69"/>
        <v>0</v>
      </c>
      <c r="N562" s="56">
        <v>0</v>
      </c>
      <c r="O562" s="44">
        <f t="shared" si="70"/>
        <v>0</v>
      </c>
      <c r="P562" s="44"/>
      <c r="Q562" s="44"/>
      <c r="R562" s="44"/>
      <c r="S562" s="44">
        <f t="shared" si="76"/>
        <v>0</v>
      </c>
      <c r="T562" s="44">
        <f t="shared" si="71"/>
        <v>0</v>
      </c>
      <c r="U562">
        <v>0</v>
      </c>
      <c r="V562" s="43">
        <v>0</v>
      </c>
      <c r="W562" s="44">
        <f t="shared" si="72"/>
        <v>0</v>
      </c>
      <c r="X562" s="44">
        <f t="shared" si="73"/>
        <v>0</v>
      </c>
      <c r="Y562" s="44">
        <f t="shared" si="74"/>
        <v>0</v>
      </c>
      <c r="Z562" s="84"/>
      <c r="AA562" s="78"/>
      <c r="AB562" s="78"/>
      <c r="AC562" s="78"/>
      <c r="AD562" s="78"/>
      <c r="AE562" s="78"/>
    </row>
    <row r="563" spans="1:31" ht="12.75">
      <c r="A563"/>
      <c r="B563"/>
      <c r="C563"/>
      <c r="D563"/>
      <c r="E563"/>
      <c r="F563"/>
      <c r="G563"/>
      <c r="H563"/>
      <c r="I563"/>
      <c r="J563"/>
      <c r="K563" s="100">
        <f t="shared" si="75"/>
        <v>0</v>
      </c>
      <c r="L563" s="95"/>
      <c r="M563" s="90">
        <f t="shared" si="69"/>
        <v>0</v>
      </c>
      <c r="N563" s="56">
        <v>0</v>
      </c>
      <c r="O563" s="44">
        <f t="shared" si="70"/>
        <v>0</v>
      </c>
      <c r="P563" s="44"/>
      <c r="Q563" s="44"/>
      <c r="R563" s="44"/>
      <c r="S563" s="44">
        <f t="shared" si="76"/>
        <v>0</v>
      </c>
      <c r="T563" s="44">
        <f t="shared" si="71"/>
        <v>0</v>
      </c>
      <c r="U563">
        <v>0</v>
      </c>
      <c r="V563" s="43">
        <v>0</v>
      </c>
      <c r="W563" s="44">
        <f t="shared" si="72"/>
        <v>0</v>
      </c>
      <c r="X563" s="44">
        <f t="shared" si="73"/>
        <v>0</v>
      </c>
      <c r="Y563" s="44">
        <f t="shared" si="74"/>
        <v>0</v>
      </c>
      <c r="Z563" s="84"/>
      <c r="AA563" s="78"/>
      <c r="AB563" s="78"/>
      <c r="AC563" s="78"/>
      <c r="AD563" s="78"/>
      <c r="AE563" s="78"/>
    </row>
    <row r="564" spans="1:31" ht="12.75">
      <c r="A564"/>
      <c r="B564"/>
      <c r="C564"/>
      <c r="D564"/>
      <c r="E564"/>
      <c r="F564"/>
      <c r="G564"/>
      <c r="H564"/>
      <c r="I564"/>
      <c r="J564"/>
      <c r="K564" s="100">
        <f t="shared" si="75"/>
        <v>0</v>
      </c>
      <c r="L564" s="95"/>
      <c r="M564" s="90">
        <f t="shared" si="69"/>
        <v>0</v>
      </c>
      <c r="N564" s="56">
        <v>0</v>
      </c>
      <c r="O564" s="44">
        <f t="shared" si="70"/>
        <v>0</v>
      </c>
      <c r="P564" s="44"/>
      <c r="Q564" s="44"/>
      <c r="R564" s="44"/>
      <c r="S564" s="44">
        <f t="shared" si="76"/>
        <v>0</v>
      </c>
      <c r="T564" s="44">
        <f t="shared" si="71"/>
        <v>0</v>
      </c>
      <c r="U564">
        <v>0</v>
      </c>
      <c r="V564" s="43">
        <v>0</v>
      </c>
      <c r="W564" s="44">
        <f t="shared" si="72"/>
        <v>0</v>
      </c>
      <c r="X564" s="44">
        <f t="shared" si="73"/>
        <v>0</v>
      </c>
      <c r="Y564" s="44">
        <f t="shared" si="74"/>
        <v>0</v>
      </c>
      <c r="Z564" s="84"/>
      <c r="AA564" s="78"/>
      <c r="AB564" s="78"/>
      <c r="AC564" s="78"/>
      <c r="AD564" s="78"/>
      <c r="AE564" s="78"/>
    </row>
    <row r="565" spans="1:31" ht="12.75">
      <c r="A565"/>
      <c r="B565"/>
      <c r="C565"/>
      <c r="D565"/>
      <c r="E565"/>
      <c r="F565"/>
      <c r="G565"/>
      <c r="H565"/>
      <c r="I565"/>
      <c r="J565"/>
      <c r="K565" s="100">
        <f t="shared" si="75"/>
        <v>0</v>
      </c>
      <c r="L565" s="95"/>
      <c r="M565" s="90">
        <f t="shared" si="69"/>
        <v>0</v>
      </c>
      <c r="N565" s="56">
        <v>0</v>
      </c>
      <c r="O565" s="44">
        <f t="shared" si="70"/>
        <v>0</v>
      </c>
      <c r="P565" s="44"/>
      <c r="Q565" s="44"/>
      <c r="R565" s="44"/>
      <c r="S565" s="44">
        <f t="shared" si="76"/>
        <v>0</v>
      </c>
      <c r="T565" s="44">
        <f t="shared" si="71"/>
        <v>0</v>
      </c>
      <c r="U565">
        <v>0</v>
      </c>
      <c r="V565" s="43">
        <v>0</v>
      </c>
      <c r="W565" s="44">
        <f t="shared" si="72"/>
        <v>0</v>
      </c>
      <c r="X565" s="44">
        <f t="shared" si="73"/>
        <v>0</v>
      </c>
      <c r="Y565" s="44">
        <f t="shared" si="74"/>
        <v>0</v>
      </c>
      <c r="Z565" s="84"/>
      <c r="AA565" s="78"/>
      <c r="AB565" s="78"/>
      <c r="AC565" s="78"/>
      <c r="AD565" s="78"/>
      <c r="AE565" s="78"/>
    </row>
    <row r="566" spans="1:31" ht="12.75">
      <c r="A566"/>
      <c r="B566"/>
      <c r="C566"/>
      <c r="D566"/>
      <c r="E566"/>
      <c r="F566"/>
      <c r="G566"/>
      <c r="H566"/>
      <c r="I566"/>
      <c r="J566"/>
      <c r="K566" s="100">
        <f t="shared" si="75"/>
        <v>0</v>
      </c>
      <c r="L566" s="95"/>
      <c r="M566" s="90">
        <f t="shared" si="69"/>
        <v>0</v>
      </c>
      <c r="N566" s="56">
        <v>0</v>
      </c>
      <c r="O566" s="44">
        <f t="shared" si="70"/>
        <v>0</v>
      </c>
      <c r="P566" s="44"/>
      <c r="Q566" s="44"/>
      <c r="R566" s="44"/>
      <c r="S566" s="44">
        <f t="shared" si="76"/>
        <v>0</v>
      </c>
      <c r="T566" s="44">
        <f t="shared" si="71"/>
        <v>0</v>
      </c>
      <c r="U566">
        <v>0</v>
      </c>
      <c r="V566" s="43">
        <v>0</v>
      </c>
      <c r="W566" s="44">
        <f t="shared" si="72"/>
        <v>0</v>
      </c>
      <c r="X566" s="44">
        <f t="shared" si="73"/>
        <v>0</v>
      </c>
      <c r="Y566" s="44">
        <f t="shared" si="74"/>
        <v>0</v>
      </c>
      <c r="Z566" s="84"/>
      <c r="AA566" s="78"/>
      <c r="AB566" s="78"/>
      <c r="AC566" s="78"/>
      <c r="AD566" s="78"/>
      <c r="AE566" s="78"/>
    </row>
    <row r="567" spans="1:31" ht="12.75">
      <c r="A567"/>
      <c r="B567"/>
      <c r="C567"/>
      <c r="D567"/>
      <c r="E567"/>
      <c r="F567"/>
      <c r="G567"/>
      <c r="H567"/>
      <c r="I567"/>
      <c r="J567"/>
      <c r="K567" s="100">
        <f t="shared" si="75"/>
        <v>0</v>
      </c>
      <c r="L567" s="95"/>
      <c r="M567" s="90">
        <f t="shared" si="69"/>
        <v>0</v>
      </c>
      <c r="N567" s="56">
        <v>0</v>
      </c>
      <c r="O567" s="44">
        <f t="shared" si="70"/>
        <v>0</v>
      </c>
      <c r="P567" s="44"/>
      <c r="Q567" s="44"/>
      <c r="R567" s="44"/>
      <c r="S567" s="44">
        <f t="shared" si="76"/>
        <v>0</v>
      </c>
      <c r="T567" s="44">
        <f t="shared" si="71"/>
        <v>0</v>
      </c>
      <c r="U567">
        <v>0</v>
      </c>
      <c r="V567" s="43">
        <v>0</v>
      </c>
      <c r="W567" s="44">
        <f t="shared" si="72"/>
        <v>0</v>
      </c>
      <c r="X567" s="44">
        <f t="shared" si="73"/>
        <v>0</v>
      </c>
      <c r="Y567" s="44">
        <f t="shared" si="74"/>
        <v>0</v>
      </c>
      <c r="Z567" s="84"/>
      <c r="AA567" s="78"/>
      <c r="AB567" s="78"/>
      <c r="AC567" s="78"/>
      <c r="AD567" s="78"/>
      <c r="AE567" s="78"/>
    </row>
    <row r="568" spans="1:31" ht="12.75">
      <c r="A568"/>
      <c r="B568"/>
      <c r="C568"/>
      <c r="D568"/>
      <c r="E568"/>
      <c r="F568"/>
      <c r="G568"/>
      <c r="H568"/>
      <c r="I568"/>
      <c r="J568"/>
      <c r="K568" s="100">
        <f t="shared" si="75"/>
        <v>0</v>
      </c>
      <c r="L568" s="95"/>
      <c r="M568" s="90">
        <f t="shared" si="69"/>
        <v>0</v>
      </c>
      <c r="N568" s="56">
        <v>0</v>
      </c>
      <c r="O568" s="44">
        <f t="shared" si="70"/>
        <v>0</v>
      </c>
      <c r="P568" s="44"/>
      <c r="Q568" s="44"/>
      <c r="R568" s="44"/>
      <c r="S568" s="44">
        <f t="shared" si="76"/>
        <v>0</v>
      </c>
      <c r="T568" s="44">
        <f t="shared" si="71"/>
        <v>0</v>
      </c>
      <c r="U568">
        <v>0</v>
      </c>
      <c r="V568" s="43">
        <v>0</v>
      </c>
      <c r="W568" s="44">
        <f t="shared" si="72"/>
        <v>0</v>
      </c>
      <c r="X568" s="44">
        <f t="shared" si="73"/>
        <v>0</v>
      </c>
      <c r="Y568" s="44">
        <f t="shared" si="74"/>
        <v>0</v>
      </c>
      <c r="Z568" s="84"/>
      <c r="AA568" s="78"/>
      <c r="AB568" s="78"/>
      <c r="AC568" s="78"/>
      <c r="AD568" s="78"/>
      <c r="AE568" s="78"/>
    </row>
    <row r="569" spans="1:31" ht="12.75">
      <c r="A569"/>
      <c r="B569"/>
      <c r="C569"/>
      <c r="D569"/>
      <c r="E569"/>
      <c r="F569"/>
      <c r="G569"/>
      <c r="H569"/>
      <c r="I569"/>
      <c r="J569"/>
      <c r="K569" s="100">
        <f t="shared" si="75"/>
        <v>0</v>
      </c>
      <c r="L569" s="95"/>
      <c r="M569" s="90">
        <f t="shared" si="69"/>
        <v>0</v>
      </c>
      <c r="N569" s="56">
        <v>0</v>
      </c>
      <c r="O569" s="44">
        <f t="shared" si="70"/>
        <v>0</v>
      </c>
      <c r="P569" s="44"/>
      <c r="Q569" s="44"/>
      <c r="R569" s="44"/>
      <c r="S569" s="44">
        <f t="shared" si="76"/>
        <v>0</v>
      </c>
      <c r="T569" s="44">
        <f t="shared" si="71"/>
        <v>0</v>
      </c>
      <c r="U569">
        <v>0</v>
      </c>
      <c r="V569" s="43">
        <v>0</v>
      </c>
      <c r="W569" s="44">
        <f t="shared" si="72"/>
        <v>0</v>
      </c>
      <c r="X569" s="44">
        <f t="shared" si="73"/>
        <v>0</v>
      </c>
      <c r="Y569" s="44">
        <f t="shared" si="74"/>
        <v>0</v>
      </c>
      <c r="Z569" s="84"/>
      <c r="AA569" s="78"/>
      <c r="AB569" s="78"/>
      <c r="AC569" s="78"/>
      <c r="AD569" s="78"/>
      <c r="AE569" s="78"/>
    </row>
    <row r="570" spans="1:31" ht="12.75">
      <c r="A570"/>
      <c r="B570"/>
      <c r="C570"/>
      <c r="D570"/>
      <c r="E570"/>
      <c r="F570"/>
      <c r="G570"/>
      <c r="H570"/>
      <c r="I570"/>
      <c r="J570"/>
      <c r="K570" s="100">
        <f t="shared" si="75"/>
        <v>0</v>
      </c>
      <c r="L570" s="95"/>
      <c r="M570" s="90">
        <f t="shared" si="69"/>
        <v>0</v>
      </c>
      <c r="N570" s="56">
        <v>0</v>
      </c>
      <c r="O570" s="44">
        <f t="shared" si="70"/>
        <v>0</v>
      </c>
      <c r="P570" s="44"/>
      <c r="Q570" s="44"/>
      <c r="R570" s="44"/>
      <c r="S570" s="44">
        <f t="shared" si="76"/>
        <v>0</v>
      </c>
      <c r="T570" s="44">
        <f t="shared" si="71"/>
        <v>0</v>
      </c>
      <c r="U570">
        <v>0</v>
      </c>
      <c r="V570" s="43">
        <v>0</v>
      </c>
      <c r="W570" s="44">
        <f t="shared" si="72"/>
        <v>0</v>
      </c>
      <c r="X570" s="44">
        <f t="shared" si="73"/>
        <v>0</v>
      </c>
      <c r="Y570" s="44">
        <f t="shared" si="74"/>
        <v>0</v>
      </c>
      <c r="Z570" s="84"/>
      <c r="AA570" s="78"/>
      <c r="AB570" s="78"/>
      <c r="AC570" s="78"/>
      <c r="AD570" s="78"/>
      <c r="AE570" s="78"/>
    </row>
    <row r="571" spans="1:31" ht="12.75">
      <c r="A571"/>
      <c r="B571"/>
      <c r="C571"/>
      <c r="D571"/>
      <c r="E571"/>
      <c r="F571"/>
      <c r="G571"/>
      <c r="H571"/>
      <c r="I571"/>
      <c r="J571"/>
      <c r="K571" s="100">
        <f t="shared" si="75"/>
        <v>0</v>
      </c>
      <c r="L571" s="95"/>
      <c r="M571" s="90">
        <f t="shared" si="69"/>
        <v>0</v>
      </c>
      <c r="N571" s="56">
        <v>0</v>
      </c>
      <c r="O571" s="44">
        <f t="shared" si="70"/>
        <v>0</v>
      </c>
      <c r="P571" s="44"/>
      <c r="Q571" s="44"/>
      <c r="R571" s="44"/>
      <c r="S571" s="44">
        <f t="shared" si="76"/>
        <v>0</v>
      </c>
      <c r="T571" s="44">
        <f t="shared" si="71"/>
        <v>0</v>
      </c>
      <c r="U571">
        <v>0</v>
      </c>
      <c r="V571" s="43">
        <v>0</v>
      </c>
      <c r="W571" s="44">
        <f t="shared" si="72"/>
        <v>0</v>
      </c>
      <c r="X571" s="44">
        <f t="shared" si="73"/>
        <v>0</v>
      </c>
      <c r="Y571" s="44">
        <f t="shared" si="74"/>
        <v>0</v>
      </c>
      <c r="Z571" s="84"/>
      <c r="AA571" s="78"/>
      <c r="AB571" s="78"/>
      <c r="AC571" s="78"/>
      <c r="AD571" s="78"/>
      <c r="AE571" s="78"/>
    </row>
    <row r="572" spans="1:31" ht="12.75">
      <c r="A572"/>
      <c r="B572"/>
      <c r="C572"/>
      <c r="D572"/>
      <c r="E572"/>
      <c r="F572"/>
      <c r="G572"/>
      <c r="H572"/>
      <c r="I572"/>
      <c r="J572"/>
      <c r="K572" s="100">
        <f t="shared" si="75"/>
        <v>0</v>
      </c>
      <c r="L572" s="95"/>
      <c r="M572" s="90">
        <f t="shared" si="69"/>
        <v>0</v>
      </c>
      <c r="N572" s="56">
        <v>0</v>
      </c>
      <c r="O572" s="44">
        <f t="shared" si="70"/>
        <v>0</v>
      </c>
      <c r="P572" s="44"/>
      <c r="Q572" s="44"/>
      <c r="R572" s="44"/>
      <c r="S572" s="44">
        <f t="shared" si="76"/>
        <v>0</v>
      </c>
      <c r="T572" s="44">
        <f t="shared" si="71"/>
        <v>0</v>
      </c>
      <c r="U572">
        <v>0</v>
      </c>
      <c r="V572" s="43">
        <v>0</v>
      </c>
      <c r="W572" s="44">
        <f t="shared" si="72"/>
        <v>0</v>
      </c>
      <c r="X572" s="44">
        <f t="shared" si="73"/>
        <v>0</v>
      </c>
      <c r="Y572" s="44">
        <f t="shared" si="74"/>
        <v>0</v>
      </c>
      <c r="Z572" s="84"/>
      <c r="AA572" s="78"/>
      <c r="AB572" s="78"/>
      <c r="AC572" s="78"/>
      <c r="AD572" s="78"/>
      <c r="AE572" s="78"/>
    </row>
    <row r="573" spans="1:31" ht="12.75">
      <c r="A573"/>
      <c r="B573"/>
      <c r="C573"/>
      <c r="D573"/>
      <c r="E573"/>
      <c r="F573"/>
      <c r="G573"/>
      <c r="H573"/>
      <c r="I573"/>
      <c r="J573"/>
      <c r="K573" s="100">
        <f t="shared" si="75"/>
        <v>0</v>
      </c>
      <c r="L573" s="95"/>
      <c r="M573" s="90">
        <f t="shared" si="69"/>
        <v>0</v>
      </c>
      <c r="N573" s="56">
        <v>0</v>
      </c>
      <c r="O573" s="44">
        <f t="shared" si="70"/>
        <v>0</v>
      </c>
      <c r="P573" s="44"/>
      <c r="Q573" s="44"/>
      <c r="R573" s="44"/>
      <c r="S573" s="44">
        <f t="shared" si="76"/>
        <v>0</v>
      </c>
      <c r="T573" s="44">
        <f t="shared" si="71"/>
        <v>0</v>
      </c>
      <c r="U573">
        <v>0</v>
      </c>
      <c r="V573" s="43">
        <v>0</v>
      </c>
      <c r="W573" s="44">
        <f t="shared" si="72"/>
        <v>0</v>
      </c>
      <c r="X573" s="44">
        <f t="shared" si="73"/>
        <v>0</v>
      </c>
      <c r="Y573" s="44">
        <f t="shared" si="74"/>
        <v>0</v>
      </c>
      <c r="Z573" s="84"/>
      <c r="AA573" s="78"/>
      <c r="AB573" s="78"/>
      <c r="AC573" s="78"/>
      <c r="AD573" s="78"/>
      <c r="AE573" s="78"/>
    </row>
    <row r="574" spans="1:31" ht="12.75">
      <c r="A574"/>
      <c r="B574"/>
      <c r="C574"/>
      <c r="D574"/>
      <c r="E574"/>
      <c r="F574"/>
      <c r="G574"/>
      <c r="H574"/>
      <c r="I574"/>
      <c r="J574"/>
      <c r="K574" s="100">
        <f t="shared" si="75"/>
        <v>0</v>
      </c>
      <c r="L574" s="95"/>
      <c r="M574" s="90">
        <f t="shared" si="69"/>
        <v>0</v>
      </c>
      <c r="N574" s="56">
        <v>0</v>
      </c>
      <c r="O574" s="44">
        <f t="shared" si="70"/>
        <v>0</v>
      </c>
      <c r="P574" s="44"/>
      <c r="Q574" s="44"/>
      <c r="R574" s="44"/>
      <c r="S574" s="44">
        <f t="shared" si="76"/>
        <v>0</v>
      </c>
      <c r="T574" s="44">
        <f t="shared" si="71"/>
        <v>0</v>
      </c>
      <c r="U574">
        <v>0</v>
      </c>
      <c r="V574" s="43">
        <v>0</v>
      </c>
      <c r="W574" s="44">
        <f t="shared" si="72"/>
        <v>0</v>
      </c>
      <c r="X574" s="44">
        <f t="shared" si="73"/>
        <v>0</v>
      </c>
      <c r="Y574" s="44">
        <f t="shared" si="74"/>
        <v>0</v>
      </c>
      <c r="Z574" s="84"/>
      <c r="AA574" s="78"/>
      <c r="AB574" s="78"/>
      <c r="AC574" s="78"/>
      <c r="AD574" s="78"/>
      <c r="AE574" s="78"/>
    </row>
    <row r="575" spans="1:31" ht="12.75">
      <c r="A575"/>
      <c r="B575"/>
      <c r="C575"/>
      <c r="D575"/>
      <c r="E575"/>
      <c r="F575"/>
      <c r="G575"/>
      <c r="H575"/>
      <c r="I575"/>
      <c r="J575"/>
      <c r="K575" s="100">
        <f t="shared" si="75"/>
        <v>0</v>
      </c>
      <c r="L575" s="95"/>
      <c r="M575" s="90">
        <f t="shared" si="69"/>
        <v>0</v>
      </c>
      <c r="N575" s="56">
        <v>0</v>
      </c>
      <c r="O575" s="44">
        <f t="shared" si="70"/>
        <v>0</v>
      </c>
      <c r="P575" s="44"/>
      <c r="Q575" s="44"/>
      <c r="R575" s="44"/>
      <c r="S575" s="44">
        <f t="shared" si="76"/>
        <v>0</v>
      </c>
      <c r="T575" s="44">
        <f t="shared" si="71"/>
        <v>0</v>
      </c>
      <c r="U575">
        <v>0</v>
      </c>
      <c r="V575" s="43">
        <v>0</v>
      </c>
      <c r="W575" s="44">
        <f t="shared" si="72"/>
        <v>0</v>
      </c>
      <c r="X575" s="44">
        <f t="shared" si="73"/>
        <v>0</v>
      </c>
      <c r="Y575" s="44">
        <f t="shared" si="74"/>
        <v>0</v>
      </c>
      <c r="Z575" s="84"/>
      <c r="AA575" s="78"/>
      <c r="AB575" s="78"/>
      <c r="AC575" s="78"/>
      <c r="AD575" s="78"/>
      <c r="AE575" s="78"/>
    </row>
    <row r="576" spans="1:31" ht="12.75">
      <c r="A576"/>
      <c r="B576"/>
      <c r="C576"/>
      <c r="D576"/>
      <c r="E576"/>
      <c r="F576"/>
      <c r="G576"/>
      <c r="H576"/>
      <c r="I576"/>
      <c r="J576"/>
      <c r="K576" s="100">
        <f t="shared" si="75"/>
        <v>0</v>
      </c>
      <c r="L576" s="95"/>
      <c r="M576" s="90">
        <f t="shared" si="69"/>
        <v>0</v>
      </c>
      <c r="N576" s="56">
        <v>0</v>
      </c>
      <c r="O576" s="44">
        <f t="shared" si="70"/>
        <v>0</v>
      </c>
      <c r="P576" s="44"/>
      <c r="Q576" s="44"/>
      <c r="R576" s="44"/>
      <c r="S576" s="44">
        <f t="shared" si="76"/>
        <v>0</v>
      </c>
      <c r="T576" s="44">
        <f t="shared" si="71"/>
        <v>0</v>
      </c>
      <c r="U576">
        <v>0</v>
      </c>
      <c r="V576" s="43">
        <v>0</v>
      </c>
      <c r="W576" s="44">
        <f t="shared" si="72"/>
        <v>0</v>
      </c>
      <c r="X576" s="44">
        <f t="shared" si="73"/>
        <v>0</v>
      </c>
      <c r="Y576" s="44">
        <f t="shared" si="74"/>
        <v>0</v>
      </c>
      <c r="Z576" s="84"/>
      <c r="AA576" s="78"/>
      <c r="AB576" s="78"/>
      <c r="AC576" s="78"/>
      <c r="AD576" s="78"/>
      <c r="AE576" s="78"/>
    </row>
    <row r="577" spans="1:31" ht="12.75">
      <c r="A577"/>
      <c r="B577"/>
      <c r="C577"/>
      <c r="D577"/>
      <c r="E577"/>
      <c r="F577"/>
      <c r="G577"/>
      <c r="H577"/>
      <c r="I577"/>
      <c r="J577"/>
      <c r="K577" s="100">
        <f t="shared" si="75"/>
        <v>0</v>
      </c>
      <c r="L577" s="95"/>
      <c r="M577" s="90">
        <f t="shared" si="69"/>
        <v>0</v>
      </c>
      <c r="N577" s="56">
        <v>0</v>
      </c>
      <c r="O577" s="44">
        <f t="shared" si="70"/>
        <v>0</v>
      </c>
      <c r="P577" s="44"/>
      <c r="Q577" s="44"/>
      <c r="R577" s="44"/>
      <c r="S577" s="44">
        <f t="shared" si="76"/>
        <v>0</v>
      </c>
      <c r="T577" s="44">
        <f t="shared" si="71"/>
        <v>0</v>
      </c>
      <c r="U577">
        <v>0</v>
      </c>
      <c r="V577" s="43">
        <v>0</v>
      </c>
      <c r="W577" s="44">
        <f t="shared" si="72"/>
        <v>0</v>
      </c>
      <c r="X577" s="44">
        <f t="shared" si="73"/>
        <v>0</v>
      </c>
      <c r="Y577" s="44">
        <f t="shared" si="74"/>
        <v>0</v>
      </c>
      <c r="Z577" s="84"/>
      <c r="AA577" s="78"/>
      <c r="AB577" s="78"/>
      <c r="AC577" s="78"/>
      <c r="AD577" s="78"/>
      <c r="AE577" s="78"/>
    </row>
    <row r="578" spans="1:31" ht="12.75">
      <c r="A578"/>
      <c r="B578"/>
      <c r="C578"/>
      <c r="D578"/>
      <c r="E578"/>
      <c r="F578"/>
      <c r="G578"/>
      <c r="H578"/>
      <c r="I578"/>
      <c r="J578"/>
      <c r="K578" s="100">
        <f t="shared" si="75"/>
        <v>0</v>
      </c>
      <c r="L578" s="95"/>
      <c r="M578" s="90">
        <f t="shared" si="69"/>
        <v>0</v>
      </c>
      <c r="N578" s="56">
        <v>0</v>
      </c>
      <c r="O578" s="44">
        <f t="shared" si="70"/>
        <v>0</v>
      </c>
      <c r="P578" s="44"/>
      <c r="Q578" s="44"/>
      <c r="R578" s="44"/>
      <c r="S578" s="44">
        <f t="shared" si="76"/>
        <v>0</v>
      </c>
      <c r="T578" s="44">
        <f t="shared" si="71"/>
        <v>0</v>
      </c>
      <c r="U578">
        <v>0</v>
      </c>
      <c r="V578" s="43">
        <v>0</v>
      </c>
      <c r="W578" s="44">
        <f t="shared" si="72"/>
        <v>0</v>
      </c>
      <c r="X578" s="44">
        <f t="shared" si="73"/>
        <v>0</v>
      </c>
      <c r="Y578" s="44">
        <f t="shared" si="74"/>
        <v>0</v>
      </c>
      <c r="Z578" s="84"/>
      <c r="AA578" s="78"/>
      <c r="AB578" s="78"/>
      <c r="AC578" s="78"/>
      <c r="AD578" s="78"/>
      <c r="AE578" s="78"/>
    </row>
    <row r="579" spans="1:31" ht="12.75">
      <c r="A579"/>
      <c r="B579"/>
      <c r="C579"/>
      <c r="D579"/>
      <c r="E579"/>
      <c r="F579"/>
      <c r="G579"/>
      <c r="H579"/>
      <c r="I579"/>
      <c r="J579"/>
      <c r="K579" s="100">
        <f t="shared" si="75"/>
        <v>0</v>
      </c>
      <c r="L579" s="95"/>
      <c r="M579" s="90">
        <f t="shared" si="69"/>
        <v>0</v>
      </c>
      <c r="N579" s="56">
        <v>0</v>
      </c>
      <c r="O579" s="44">
        <f t="shared" si="70"/>
        <v>0</v>
      </c>
      <c r="P579" s="44"/>
      <c r="Q579" s="44"/>
      <c r="R579" s="44"/>
      <c r="S579" s="44">
        <f t="shared" si="76"/>
        <v>0</v>
      </c>
      <c r="T579" s="44">
        <f t="shared" si="71"/>
        <v>0</v>
      </c>
      <c r="U579">
        <v>0</v>
      </c>
      <c r="V579" s="43">
        <v>0</v>
      </c>
      <c r="W579" s="44">
        <f t="shared" si="72"/>
        <v>0</v>
      </c>
      <c r="X579" s="44">
        <f t="shared" si="73"/>
        <v>0</v>
      </c>
      <c r="Y579" s="44">
        <f t="shared" si="74"/>
        <v>0</v>
      </c>
      <c r="Z579" s="84"/>
      <c r="AA579" s="78"/>
      <c r="AB579" s="78"/>
      <c r="AC579" s="78"/>
      <c r="AD579" s="78"/>
      <c r="AE579" s="78"/>
    </row>
    <row r="580" spans="1:31" ht="12.75">
      <c r="A580"/>
      <c r="B580"/>
      <c r="C580"/>
      <c r="D580"/>
      <c r="E580"/>
      <c r="F580"/>
      <c r="G580"/>
      <c r="H580"/>
      <c r="I580"/>
      <c r="J580"/>
      <c r="K580" s="100">
        <f t="shared" si="75"/>
        <v>0</v>
      </c>
      <c r="L580" s="95"/>
      <c r="M580" s="90">
        <f t="shared" si="69"/>
        <v>0</v>
      </c>
      <c r="N580" s="56">
        <v>0</v>
      </c>
      <c r="O580" s="44">
        <f t="shared" si="70"/>
        <v>0</v>
      </c>
      <c r="P580" s="44"/>
      <c r="Q580" s="44"/>
      <c r="R580" s="44"/>
      <c r="S580" s="44">
        <f t="shared" si="76"/>
        <v>0</v>
      </c>
      <c r="T580" s="44">
        <f t="shared" si="71"/>
        <v>0</v>
      </c>
      <c r="U580">
        <v>0</v>
      </c>
      <c r="V580" s="43">
        <v>0</v>
      </c>
      <c r="W580" s="44">
        <f t="shared" si="72"/>
        <v>0</v>
      </c>
      <c r="X580" s="44">
        <f t="shared" si="73"/>
        <v>0</v>
      </c>
      <c r="Y580" s="44">
        <f t="shared" si="74"/>
        <v>0</v>
      </c>
      <c r="Z580" s="84"/>
      <c r="AA580" s="78"/>
      <c r="AB580" s="78"/>
      <c r="AC580" s="78"/>
      <c r="AD580" s="78"/>
      <c r="AE580" s="78"/>
    </row>
    <row r="581" spans="1:31" ht="12.75">
      <c r="A581"/>
      <c r="B581"/>
      <c r="C581"/>
      <c r="D581"/>
      <c r="E581"/>
      <c r="F581"/>
      <c r="G581"/>
      <c r="H581"/>
      <c r="I581"/>
      <c r="J581"/>
      <c r="K581" s="100">
        <f t="shared" si="75"/>
        <v>0</v>
      </c>
      <c r="L581" s="95"/>
      <c r="M581" s="90">
        <f t="shared" si="69"/>
        <v>0</v>
      </c>
      <c r="N581" s="56">
        <v>0</v>
      </c>
      <c r="O581" s="44">
        <f t="shared" si="70"/>
        <v>0</v>
      </c>
      <c r="P581" s="44"/>
      <c r="Q581" s="44"/>
      <c r="R581" s="44"/>
      <c r="S581" s="44">
        <f t="shared" si="76"/>
        <v>0</v>
      </c>
      <c r="T581" s="44">
        <f t="shared" si="71"/>
        <v>0</v>
      </c>
      <c r="U581">
        <v>0</v>
      </c>
      <c r="V581" s="43">
        <v>0</v>
      </c>
      <c r="W581" s="44">
        <f t="shared" si="72"/>
        <v>0</v>
      </c>
      <c r="X581" s="44">
        <f t="shared" si="73"/>
        <v>0</v>
      </c>
      <c r="Y581" s="44">
        <f t="shared" si="74"/>
        <v>0</v>
      </c>
      <c r="Z581" s="84"/>
      <c r="AA581" s="78"/>
      <c r="AB581" s="78"/>
      <c r="AC581" s="78"/>
      <c r="AD581" s="78"/>
      <c r="AE581" s="78"/>
    </row>
    <row r="582" spans="1:31" ht="12.75">
      <c r="A582"/>
      <c r="B582"/>
      <c r="C582"/>
      <c r="D582"/>
      <c r="E582"/>
      <c r="F582"/>
      <c r="G582"/>
      <c r="H582"/>
      <c r="I582"/>
      <c r="J582"/>
      <c r="K582" s="100">
        <f t="shared" si="75"/>
        <v>0</v>
      </c>
      <c r="L582" s="95"/>
      <c r="M582" s="90">
        <f t="shared" si="69"/>
        <v>0</v>
      </c>
      <c r="N582" s="56">
        <v>0</v>
      </c>
      <c r="O582" s="44">
        <f t="shared" si="70"/>
        <v>0</v>
      </c>
      <c r="P582" s="44"/>
      <c r="Q582" s="44"/>
      <c r="R582" s="44"/>
      <c r="S582" s="44">
        <f t="shared" si="76"/>
        <v>0</v>
      </c>
      <c r="T582" s="44">
        <f t="shared" si="71"/>
        <v>0</v>
      </c>
      <c r="U582">
        <v>0</v>
      </c>
      <c r="V582" s="43">
        <v>0</v>
      </c>
      <c r="W582" s="44">
        <f t="shared" si="72"/>
        <v>0</v>
      </c>
      <c r="X582" s="44">
        <f t="shared" si="73"/>
        <v>0</v>
      </c>
      <c r="Y582" s="44">
        <f t="shared" si="74"/>
        <v>0</v>
      </c>
      <c r="Z582" s="84"/>
      <c r="AA582" s="78"/>
      <c r="AB582" s="78"/>
      <c r="AC582" s="78"/>
      <c r="AD582" s="78"/>
      <c r="AE582" s="78"/>
    </row>
    <row r="583" spans="1:31" ht="12.75">
      <c r="A583"/>
      <c r="B583"/>
      <c r="C583"/>
      <c r="D583"/>
      <c r="E583"/>
      <c r="F583"/>
      <c r="G583"/>
      <c r="H583"/>
      <c r="I583"/>
      <c r="J583"/>
      <c r="K583" s="100">
        <f t="shared" si="75"/>
        <v>0</v>
      </c>
      <c r="L583" s="95"/>
      <c r="M583" s="90">
        <f t="shared" si="69"/>
        <v>0</v>
      </c>
      <c r="N583" s="56">
        <v>0</v>
      </c>
      <c r="O583" s="44">
        <f t="shared" si="70"/>
        <v>0</v>
      </c>
      <c r="P583" s="44"/>
      <c r="Q583" s="44"/>
      <c r="R583" s="44"/>
      <c r="S583" s="44">
        <f t="shared" si="76"/>
        <v>0</v>
      </c>
      <c r="T583" s="44">
        <f t="shared" si="71"/>
        <v>0</v>
      </c>
      <c r="U583">
        <v>0</v>
      </c>
      <c r="V583" s="43">
        <v>0</v>
      </c>
      <c r="W583" s="44">
        <f t="shared" si="72"/>
        <v>0</v>
      </c>
      <c r="X583" s="44">
        <f t="shared" si="73"/>
        <v>0</v>
      </c>
      <c r="Y583" s="44">
        <f t="shared" si="74"/>
        <v>0</v>
      </c>
      <c r="Z583" s="84"/>
      <c r="AA583" s="78"/>
      <c r="AB583" s="78"/>
      <c r="AC583" s="78"/>
      <c r="AD583" s="78"/>
      <c r="AE583" s="78"/>
    </row>
    <row r="584" spans="1:31" ht="12.75">
      <c r="A584"/>
      <c r="B584"/>
      <c r="C584"/>
      <c r="D584"/>
      <c r="E584"/>
      <c r="F584"/>
      <c r="G584"/>
      <c r="H584"/>
      <c r="I584"/>
      <c r="J584"/>
      <c r="K584" s="100">
        <f t="shared" si="75"/>
        <v>0</v>
      </c>
      <c r="L584" s="95"/>
      <c r="M584" s="90">
        <f t="shared" ref="M584:M647" si="77">ROUND(K584*L584,2)</f>
        <v>0</v>
      </c>
      <c r="N584" s="56">
        <v>0</v>
      </c>
      <c r="O584" s="44">
        <f t="shared" ref="O584:O647" si="78">+M584-(M584*N584)</f>
        <v>0</v>
      </c>
      <c r="P584" s="44"/>
      <c r="Q584" s="44"/>
      <c r="R584" s="44"/>
      <c r="S584" s="44">
        <f t="shared" si="76"/>
        <v>0</v>
      </c>
      <c r="T584" s="44">
        <f t="shared" ref="T584:T647" si="79">+O584+P584+Q584+R584</f>
        <v>0</v>
      </c>
      <c r="U584">
        <v>0</v>
      </c>
      <c r="V584" s="43">
        <v>0</v>
      </c>
      <c r="W584" s="44">
        <f t="shared" ref="W584:W647" si="80">+O584-U584-V584-Z584</f>
        <v>0</v>
      </c>
      <c r="X584" s="44">
        <f t="shared" ref="X584:X647" si="81">(+O584-U584-Z584)*$X$1</f>
        <v>0</v>
      </c>
      <c r="Y584" s="44">
        <f t="shared" ref="Y584:Y647" si="82">+W584-X584</f>
        <v>0</v>
      </c>
      <c r="Z584" s="84"/>
      <c r="AA584" s="78"/>
      <c r="AB584" s="78"/>
      <c r="AC584" s="78"/>
      <c r="AD584" s="78"/>
      <c r="AE584" s="78"/>
    </row>
    <row r="585" spans="1:31" ht="12.75">
      <c r="A585"/>
      <c r="B585"/>
      <c r="C585"/>
      <c r="D585"/>
      <c r="E585"/>
      <c r="F585"/>
      <c r="G585"/>
      <c r="H585"/>
      <c r="I585"/>
      <c r="J585"/>
      <c r="K585" s="100">
        <f t="shared" si="75"/>
        <v>0</v>
      </c>
      <c r="L585" s="95"/>
      <c r="M585" s="90">
        <f t="shared" si="77"/>
        <v>0</v>
      </c>
      <c r="N585" s="56">
        <v>0</v>
      </c>
      <c r="O585" s="44">
        <f t="shared" si="78"/>
        <v>0</v>
      </c>
      <c r="P585" s="44"/>
      <c r="Q585" s="44"/>
      <c r="R585" s="44"/>
      <c r="S585" s="44">
        <f t="shared" si="76"/>
        <v>0</v>
      </c>
      <c r="T585" s="44">
        <f t="shared" si="79"/>
        <v>0</v>
      </c>
      <c r="U585">
        <v>0</v>
      </c>
      <c r="V585" s="43">
        <v>0</v>
      </c>
      <c r="W585" s="44">
        <f t="shared" si="80"/>
        <v>0</v>
      </c>
      <c r="X585" s="44">
        <f t="shared" si="81"/>
        <v>0</v>
      </c>
      <c r="Y585" s="44">
        <f t="shared" si="82"/>
        <v>0</v>
      </c>
      <c r="Z585" s="84"/>
      <c r="AA585" s="78"/>
      <c r="AB585" s="78"/>
      <c r="AC585" s="78"/>
      <c r="AD585" s="78"/>
      <c r="AE585" s="78"/>
    </row>
    <row r="586" spans="1:31" ht="12.75">
      <c r="A586"/>
      <c r="B586"/>
      <c r="C586"/>
      <c r="D586"/>
      <c r="E586"/>
      <c r="F586"/>
      <c r="G586"/>
      <c r="H586"/>
      <c r="I586"/>
      <c r="J586"/>
      <c r="K586" s="100">
        <f t="shared" si="75"/>
        <v>0</v>
      </c>
      <c r="L586" s="95"/>
      <c r="M586" s="90">
        <f t="shared" si="77"/>
        <v>0</v>
      </c>
      <c r="N586" s="56">
        <v>0</v>
      </c>
      <c r="O586" s="44">
        <f t="shared" si="78"/>
        <v>0</v>
      </c>
      <c r="P586" s="44"/>
      <c r="Q586" s="44"/>
      <c r="R586" s="44"/>
      <c r="S586" s="44">
        <f t="shared" si="76"/>
        <v>0</v>
      </c>
      <c r="T586" s="44">
        <f t="shared" si="79"/>
        <v>0</v>
      </c>
      <c r="U586">
        <v>0</v>
      </c>
      <c r="V586" s="43">
        <v>0</v>
      </c>
      <c r="W586" s="44">
        <f t="shared" si="80"/>
        <v>0</v>
      </c>
      <c r="X586" s="44">
        <f t="shared" si="81"/>
        <v>0</v>
      </c>
      <c r="Y586" s="44">
        <f t="shared" si="82"/>
        <v>0</v>
      </c>
      <c r="Z586" s="84"/>
      <c r="AA586" s="78"/>
      <c r="AB586" s="78"/>
      <c r="AC586" s="78"/>
      <c r="AD586" s="78"/>
      <c r="AE586" s="78"/>
    </row>
    <row r="587" spans="1:31" ht="12.75">
      <c r="A587"/>
      <c r="B587"/>
      <c r="C587"/>
      <c r="D587"/>
      <c r="E587"/>
      <c r="F587"/>
      <c r="G587"/>
      <c r="H587"/>
      <c r="I587"/>
      <c r="J587"/>
      <c r="K587" s="100">
        <f t="shared" si="75"/>
        <v>0</v>
      </c>
      <c r="L587" s="95"/>
      <c r="M587" s="90">
        <f t="shared" si="77"/>
        <v>0</v>
      </c>
      <c r="N587" s="56">
        <v>0</v>
      </c>
      <c r="O587" s="44">
        <f t="shared" si="78"/>
        <v>0</v>
      </c>
      <c r="P587" s="44"/>
      <c r="Q587" s="44"/>
      <c r="R587" s="44"/>
      <c r="S587" s="44">
        <f t="shared" si="76"/>
        <v>0</v>
      </c>
      <c r="T587" s="44">
        <f t="shared" si="79"/>
        <v>0</v>
      </c>
      <c r="U587">
        <v>0</v>
      </c>
      <c r="V587" s="43">
        <v>0</v>
      </c>
      <c r="W587" s="44">
        <f t="shared" si="80"/>
        <v>0</v>
      </c>
      <c r="X587" s="44">
        <f t="shared" si="81"/>
        <v>0</v>
      </c>
      <c r="Y587" s="44">
        <f t="shared" si="82"/>
        <v>0</v>
      </c>
      <c r="Z587" s="84"/>
      <c r="AA587" s="78"/>
      <c r="AB587" s="78"/>
      <c r="AC587" s="78"/>
      <c r="AD587" s="78"/>
      <c r="AE587" s="78"/>
    </row>
    <row r="588" spans="1:31" ht="12.75">
      <c r="A588"/>
      <c r="B588"/>
      <c r="C588"/>
      <c r="D588"/>
      <c r="E588"/>
      <c r="F588"/>
      <c r="G588"/>
      <c r="H588"/>
      <c r="I588"/>
      <c r="J588"/>
      <c r="K588" s="100">
        <f t="shared" si="75"/>
        <v>0</v>
      </c>
      <c r="L588" s="95"/>
      <c r="M588" s="90">
        <f t="shared" si="77"/>
        <v>0</v>
      </c>
      <c r="N588" s="56">
        <v>0</v>
      </c>
      <c r="O588" s="44">
        <f t="shared" si="78"/>
        <v>0</v>
      </c>
      <c r="P588" s="44"/>
      <c r="Q588" s="44"/>
      <c r="R588" s="44"/>
      <c r="S588" s="44">
        <f t="shared" si="76"/>
        <v>0</v>
      </c>
      <c r="T588" s="44">
        <f t="shared" si="79"/>
        <v>0</v>
      </c>
      <c r="U588">
        <v>0</v>
      </c>
      <c r="V588" s="43">
        <v>0</v>
      </c>
      <c r="W588" s="44">
        <f t="shared" si="80"/>
        <v>0</v>
      </c>
      <c r="X588" s="44">
        <f t="shared" si="81"/>
        <v>0</v>
      </c>
      <c r="Y588" s="44">
        <f t="shared" si="82"/>
        <v>0</v>
      </c>
      <c r="Z588" s="84"/>
      <c r="AA588" s="78"/>
      <c r="AB588" s="78"/>
      <c r="AC588" s="78"/>
      <c r="AD588" s="78"/>
      <c r="AE588" s="78"/>
    </row>
    <row r="589" spans="1:31" ht="12.75">
      <c r="A589"/>
      <c r="B589"/>
      <c r="C589"/>
      <c r="D589"/>
      <c r="E589"/>
      <c r="F589"/>
      <c r="G589"/>
      <c r="H589"/>
      <c r="I589"/>
      <c r="J589"/>
      <c r="K589" s="100">
        <f t="shared" si="75"/>
        <v>0</v>
      </c>
      <c r="L589" s="95"/>
      <c r="M589" s="90">
        <f t="shared" si="77"/>
        <v>0</v>
      </c>
      <c r="N589" s="56">
        <v>0</v>
      </c>
      <c r="O589" s="44">
        <f t="shared" si="78"/>
        <v>0</v>
      </c>
      <c r="P589" s="44"/>
      <c r="Q589" s="44"/>
      <c r="R589" s="44"/>
      <c r="S589" s="44">
        <f t="shared" si="76"/>
        <v>0</v>
      </c>
      <c r="T589" s="44">
        <f t="shared" si="79"/>
        <v>0</v>
      </c>
      <c r="U589">
        <v>0</v>
      </c>
      <c r="V589" s="43">
        <v>0</v>
      </c>
      <c r="W589" s="44">
        <f t="shared" si="80"/>
        <v>0</v>
      </c>
      <c r="X589" s="44">
        <f t="shared" si="81"/>
        <v>0</v>
      </c>
      <c r="Y589" s="44">
        <f t="shared" si="82"/>
        <v>0</v>
      </c>
      <c r="Z589" s="84"/>
      <c r="AA589" s="78"/>
      <c r="AB589" s="78"/>
      <c r="AC589" s="78"/>
      <c r="AD589" s="78"/>
      <c r="AE589" s="78"/>
    </row>
    <row r="590" spans="1:31" ht="12.75">
      <c r="A590"/>
      <c r="B590"/>
      <c r="C590"/>
      <c r="D590"/>
      <c r="E590"/>
      <c r="F590"/>
      <c r="G590"/>
      <c r="H590"/>
      <c r="I590"/>
      <c r="J590"/>
      <c r="K590" s="100">
        <f t="shared" si="75"/>
        <v>0</v>
      </c>
      <c r="L590" s="95"/>
      <c r="M590" s="90">
        <f t="shared" si="77"/>
        <v>0</v>
      </c>
      <c r="N590" s="56">
        <v>0</v>
      </c>
      <c r="O590" s="44">
        <f t="shared" si="78"/>
        <v>0</v>
      </c>
      <c r="P590" s="44"/>
      <c r="Q590" s="44"/>
      <c r="R590" s="44"/>
      <c r="S590" s="44">
        <f t="shared" si="76"/>
        <v>0</v>
      </c>
      <c r="T590" s="44">
        <f t="shared" si="79"/>
        <v>0</v>
      </c>
      <c r="U590">
        <v>0</v>
      </c>
      <c r="V590" s="43">
        <v>0</v>
      </c>
      <c r="W590" s="44">
        <f t="shared" si="80"/>
        <v>0</v>
      </c>
      <c r="X590" s="44">
        <f t="shared" si="81"/>
        <v>0</v>
      </c>
      <c r="Y590" s="44">
        <f t="shared" si="82"/>
        <v>0</v>
      </c>
      <c r="Z590" s="84"/>
      <c r="AA590" s="78"/>
      <c r="AB590" s="78"/>
      <c r="AC590" s="78"/>
      <c r="AD590" s="78"/>
      <c r="AE590" s="78"/>
    </row>
    <row r="591" spans="1:31" ht="12.75">
      <c r="A591"/>
      <c r="B591"/>
      <c r="C591"/>
      <c r="D591"/>
      <c r="E591"/>
      <c r="F591"/>
      <c r="G591"/>
      <c r="H591"/>
      <c r="I591"/>
      <c r="J591"/>
      <c r="K591" s="100">
        <f t="shared" si="75"/>
        <v>0</v>
      </c>
      <c r="L591" s="95"/>
      <c r="M591" s="90">
        <f t="shared" si="77"/>
        <v>0</v>
      </c>
      <c r="N591" s="56">
        <v>0</v>
      </c>
      <c r="O591" s="44">
        <f t="shared" si="78"/>
        <v>0</v>
      </c>
      <c r="P591" s="44"/>
      <c r="Q591" s="44"/>
      <c r="R591" s="44"/>
      <c r="S591" s="44">
        <f t="shared" si="76"/>
        <v>0</v>
      </c>
      <c r="T591" s="44">
        <f t="shared" si="79"/>
        <v>0</v>
      </c>
      <c r="U591">
        <v>0</v>
      </c>
      <c r="V591" s="43">
        <v>0</v>
      </c>
      <c r="W591" s="44">
        <f t="shared" si="80"/>
        <v>0</v>
      </c>
      <c r="X591" s="44">
        <f t="shared" si="81"/>
        <v>0</v>
      </c>
      <c r="Y591" s="44">
        <f t="shared" si="82"/>
        <v>0</v>
      </c>
      <c r="Z591" s="84"/>
      <c r="AA591" s="78"/>
      <c r="AB591" s="78"/>
      <c r="AC591" s="78"/>
      <c r="AD591" s="78"/>
      <c r="AE591" s="78"/>
    </row>
    <row r="592" spans="1:31" ht="12.75">
      <c r="A592"/>
      <c r="B592"/>
      <c r="C592"/>
      <c r="D592"/>
      <c r="E592"/>
      <c r="F592"/>
      <c r="G592"/>
      <c r="H592"/>
      <c r="I592"/>
      <c r="J592"/>
      <c r="K592" s="100">
        <f t="shared" si="75"/>
        <v>0</v>
      </c>
      <c r="L592" s="95"/>
      <c r="M592" s="90">
        <f t="shared" si="77"/>
        <v>0</v>
      </c>
      <c r="N592" s="56">
        <v>0</v>
      </c>
      <c r="O592" s="44">
        <f t="shared" si="78"/>
        <v>0</v>
      </c>
      <c r="P592" s="44"/>
      <c r="Q592" s="44"/>
      <c r="R592" s="44"/>
      <c r="S592" s="44">
        <f t="shared" si="76"/>
        <v>0</v>
      </c>
      <c r="T592" s="44">
        <f t="shared" si="79"/>
        <v>0</v>
      </c>
      <c r="U592">
        <v>0</v>
      </c>
      <c r="V592" s="43">
        <v>0</v>
      </c>
      <c r="W592" s="44">
        <f t="shared" si="80"/>
        <v>0</v>
      </c>
      <c r="X592" s="44">
        <f t="shared" si="81"/>
        <v>0</v>
      </c>
      <c r="Y592" s="44">
        <f t="shared" si="82"/>
        <v>0</v>
      </c>
      <c r="Z592" s="84"/>
      <c r="AA592" s="78"/>
      <c r="AB592" s="78"/>
      <c r="AC592" s="78"/>
      <c r="AD592" s="78"/>
      <c r="AE592" s="78"/>
    </row>
    <row r="593" spans="1:31" ht="12.75">
      <c r="A593"/>
      <c r="B593"/>
      <c r="C593"/>
      <c r="D593"/>
      <c r="E593"/>
      <c r="F593"/>
      <c r="G593"/>
      <c r="H593"/>
      <c r="I593"/>
      <c r="J593"/>
      <c r="K593" s="100">
        <f t="shared" si="75"/>
        <v>0</v>
      </c>
      <c r="L593" s="95"/>
      <c r="M593" s="90">
        <f t="shared" si="77"/>
        <v>0</v>
      </c>
      <c r="N593" s="56">
        <v>0</v>
      </c>
      <c r="O593" s="44">
        <f t="shared" si="78"/>
        <v>0</v>
      </c>
      <c r="P593" s="44"/>
      <c r="Q593" s="44"/>
      <c r="R593" s="44"/>
      <c r="S593" s="44">
        <f t="shared" si="76"/>
        <v>0</v>
      </c>
      <c r="T593" s="44">
        <f t="shared" si="79"/>
        <v>0</v>
      </c>
      <c r="U593">
        <v>0</v>
      </c>
      <c r="V593" s="43">
        <v>0</v>
      </c>
      <c r="W593" s="44">
        <f t="shared" si="80"/>
        <v>0</v>
      </c>
      <c r="X593" s="44">
        <f t="shared" si="81"/>
        <v>0</v>
      </c>
      <c r="Y593" s="44">
        <f t="shared" si="82"/>
        <v>0</v>
      </c>
      <c r="Z593" s="84"/>
      <c r="AA593" s="78"/>
      <c r="AB593" s="78"/>
      <c r="AC593" s="78"/>
      <c r="AD593" s="78"/>
      <c r="AE593" s="78"/>
    </row>
    <row r="594" spans="1:31" ht="12.75">
      <c r="A594"/>
      <c r="B594"/>
      <c r="C594"/>
      <c r="D594"/>
      <c r="E594"/>
      <c r="F594"/>
      <c r="G594"/>
      <c r="H594"/>
      <c r="I594"/>
      <c r="J594"/>
      <c r="K594" s="100">
        <f t="shared" si="75"/>
        <v>0</v>
      </c>
      <c r="L594" s="95"/>
      <c r="M594" s="90">
        <f t="shared" si="77"/>
        <v>0</v>
      </c>
      <c r="N594" s="56">
        <v>0</v>
      </c>
      <c r="O594" s="44">
        <f t="shared" si="78"/>
        <v>0</v>
      </c>
      <c r="P594" s="44"/>
      <c r="Q594" s="44"/>
      <c r="R594" s="44"/>
      <c r="S594" s="44">
        <f t="shared" si="76"/>
        <v>0</v>
      </c>
      <c r="T594" s="44">
        <f t="shared" si="79"/>
        <v>0</v>
      </c>
      <c r="U594">
        <v>0</v>
      </c>
      <c r="V594" s="43">
        <v>0</v>
      </c>
      <c r="W594" s="44">
        <f t="shared" si="80"/>
        <v>0</v>
      </c>
      <c r="X594" s="44">
        <f t="shared" si="81"/>
        <v>0</v>
      </c>
      <c r="Y594" s="44">
        <f t="shared" si="82"/>
        <v>0</v>
      </c>
      <c r="Z594" s="84"/>
      <c r="AA594" s="78"/>
      <c r="AB594" s="78"/>
      <c r="AC594" s="78"/>
      <c r="AD594" s="78"/>
      <c r="AE594" s="78"/>
    </row>
    <row r="595" spans="1:31" ht="12.75">
      <c r="A595"/>
      <c r="B595"/>
      <c r="C595"/>
      <c r="D595"/>
      <c r="E595"/>
      <c r="F595"/>
      <c r="G595"/>
      <c r="H595"/>
      <c r="I595"/>
      <c r="J595"/>
      <c r="K595" s="100">
        <f t="shared" si="75"/>
        <v>0</v>
      </c>
      <c r="L595" s="95"/>
      <c r="M595" s="90">
        <f t="shared" si="77"/>
        <v>0</v>
      </c>
      <c r="N595" s="56">
        <v>0</v>
      </c>
      <c r="O595" s="44">
        <f t="shared" si="78"/>
        <v>0</v>
      </c>
      <c r="P595" s="44"/>
      <c r="Q595" s="44"/>
      <c r="R595" s="44"/>
      <c r="S595" s="44">
        <f t="shared" si="76"/>
        <v>0</v>
      </c>
      <c r="T595" s="44">
        <f t="shared" si="79"/>
        <v>0</v>
      </c>
      <c r="U595">
        <v>0</v>
      </c>
      <c r="V595" s="43">
        <v>0</v>
      </c>
      <c r="W595" s="44">
        <f t="shared" si="80"/>
        <v>0</v>
      </c>
      <c r="X595" s="44">
        <f t="shared" si="81"/>
        <v>0</v>
      </c>
      <c r="Y595" s="44">
        <f t="shared" si="82"/>
        <v>0</v>
      </c>
      <c r="Z595" s="84"/>
      <c r="AA595" s="78"/>
      <c r="AB595" s="78"/>
      <c r="AC595" s="78"/>
      <c r="AD595" s="78"/>
      <c r="AE595" s="78"/>
    </row>
    <row r="596" spans="1:31" ht="12.75">
      <c r="A596"/>
      <c r="B596"/>
      <c r="C596"/>
      <c r="D596"/>
      <c r="E596"/>
      <c r="F596"/>
      <c r="G596"/>
      <c r="H596"/>
      <c r="I596"/>
      <c r="J596"/>
      <c r="K596" s="100">
        <f t="shared" si="75"/>
        <v>0</v>
      </c>
      <c r="L596" s="95"/>
      <c r="M596" s="90">
        <f t="shared" si="77"/>
        <v>0</v>
      </c>
      <c r="N596" s="56">
        <v>0</v>
      </c>
      <c r="O596" s="44">
        <f t="shared" si="78"/>
        <v>0</v>
      </c>
      <c r="P596" s="44"/>
      <c r="Q596" s="44"/>
      <c r="R596" s="44"/>
      <c r="S596" s="44">
        <f t="shared" si="76"/>
        <v>0</v>
      </c>
      <c r="T596" s="44">
        <f t="shared" si="79"/>
        <v>0</v>
      </c>
      <c r="U596">
        <v>0</v>
      </c>
      <c r="V596" s="43">
        <v>0</v>
      </c>
      <c r="W596" s="44">
        <f t="shared" si="80"/>
        <v>0</v>
      </c>
      <c r="X596" s="44">
        <f t="shared" si="81"/>
        <v>0</v>
      </c>
      <c r="Y596" s="44">
        <f t="shared" si="82"/>
        <v>0</v>
      </c>
      <c r="Z596" s="84"/>
      <c r="AA596" s="78"/>
      <c r="AB596" s="78"/>
      <c r="AC596" s="78"/>
      <c r="AD596" s="78"/>
      <c r="AE596" s="78"/>
    </row>
    <row r="597" spans="1:31" ht="12.75">
      <c r="A597"/>
      <c r="B597"/>
      <c r="C597"/>
      <c r="D597"/>
      <c r="E597"/>
      <c r="F597"/>
      <c r="G597"/>
      <c r="H597"/>
      <c r="I597"/>
      <c r="J597"/>
      <c r="K597" s="100">
        <f t="shared" ref="K597:K660" si="83">+I597*J597</f>
        <v>0</v>
      </c>
      <c r="L597" s="95"/>
      <c r="M597" s="90">
        <f t="shared" si="77"/>
        <v>0</v>
      </c>
      <c r="N597" s="56">
        <v>0</v>
      </c>
      <c r="O597" s="44">
        <f t="shared" si="78"/>
        <v>0</v>
      </c>
      <c r="P597" s="44"/>
      <c r="Q597" s="44"/>
      <c r="R597" s="44"/>
      <c r="S597" s="44">
        <f t="shared" ref="S597:S660" si="84">IF(R597="y",+P597*0.01,0)</f>
        <v>0</v>
      </c>
      <c r="T597" s="44">
        <f t="shared" si="79"/>
        <v>0</v>
      </c>
      <c r="U597">
        <v>0</v>
      </c>
      <c r="V597" s="43">
        <v>0</v>
      </c>
      <c r="W597" s="44">
        <f t="shared" si="80"/>
        <v>0</v>
      </c>
      <c r="X597" s="44">
        <f t="shared" si="81"/>
        <v>0</v>
      </c>
      <c r="Y597" s="44">
        <f t="shared" si="82"/>
        <v>0</v>
      </c>
      <c r="Z597" s="84"/>
      <c r="AA597" s="78"/>
      <c r="AB597" s="78"/>
      <c r="AC597" s="78"/>
      <c r="AD597" s="78"/>
      <c r="AE597" s="78"/>
    </row>
    <row r="598" spans="1:31" ht="12.75">
      <c r="A598"/>
      <c r="B598"/>
      <c r="C598"/>
      <c r="D598"/>
      <c r="E598"/>
      <c r="F598"/>
      <c r="G598"/>
      <c r="H598"/>
      <c r="I598"/>
      <c r="J598"/>
      <c r="K598" s="100">
        <f t="shared" si="83"/>
        <v>0</v>
      </c>
      <c r="L598" s="95"/>
      <c r="M598" s="90">
        <f t="shared" si="77"/>
        <v>0</v>
      </c>
      <c r="N598" s="56">
        <v>0</v>
      </c>
      <c r="O598" s="44">
        <f t="shared" si="78"/>
        <v>0</v>
      </c>
      <c r="P598" s="44"/>
      <c r="Q598" s="44"/>
      <c r="R598" s="44"/>
      <c r="S598" s="44">
        <f t="shared" si="84"/>
        <v>0</v>
      </c>
      <c r="T598" s="44">
        <f t="shared" si="79"/>
        <v>0</v>
      </c>
      <c r="U598">
        <v>0</v>
      </c>
      <c r="V598" s="43">
        <v>0</v>
      </c>
      <c r="W598" s="44">
        <f t="shared" si="80"/>
        <v>0</v>
      </c>
      <c r="X598" s="44">
        <f t="shared" si="81"/>
        <v>0</v>
      </c>
      <c r="Y598" s="44">
        <f t="shared" si="82"/>
        <v>0</v>
      </c>
      <c r="Z598" s="84"/>
      <c r="AA598" s="78"/>
      <c r="AB598" s="78"/>
      <c r="AC598" s="78"/>
      <c r="AD598" s="78"/>
      <c r="AE598" s="78"/>
    </row>
    <row r="599" spans="1:31" ht="12.75">
      <c r="A599"/>
      <c r="B599"/>
      <c r="C599"/>
      <c r="D599"/>
      <c r="E599"/>
      <c r="F599"/>
      <c r="G599"/>
      <c r="H599"/>
      <c r="I599"/>
      <c r="J599"/>
      <c r="K599" s="100">
        <f t="shared" si="83"/>
        <v>0</v>
      </c>
      <c r="L599" s="95"/>
      <c r="M599" s="90">
        <f t="shared" si="77"/>
        <v>0</v>
      </c>
      <c r="N599" s="56">
        <v>0</v>
      </c>
      <c r="O599" s="44">
        <f t="shared" si="78"/>
        <v>0</v>
      </c>
      <c r="P599" s="44"/>
      <c r="Q599" s="44"/>
      <c r="R599" s="44"/>
      <c r="S599" s="44">
        <f t="shared" si="84"/>
        <v>0</v>
      </c>
      <c r="T599" s="44">
        <f t="shared" si="79"/>
        <v>0</v>
      </c>
      <c r="U599">
        <v>0</v>
      </c>
      <c r="V599" s="43">
        <v>0</v>
      </c>
      <c r="W599" s="44">
        <f t="shared" si="80"/>
        <v>0</v>
      </c>
      <c r="X599" s="44">
        <f t="shared" si="81"/>
        <v>0</v>
      </c>
      <c r="Y599" s="44">
        <f t="shared" si="82"/>
        <v>0</v>
      </c>
      <c r="Z599" s="84"/>
      <c r="AA599" s="78"/>
      <c r="AB599" s="78"/>
      <c r="AC599" s="78"/>
      <c r="AD599" s="78"/>
      <c r="AE599" s="78"/>
    </row>
    <row r="600" spans="1:31" ht="12.75">
      <c r="A600"/>
      <c r="B600"/>
      <c r="C600"/>
      <c r="D600"/>
      <c r="E600"/>
      <c r="F600"/>
      <c r="G600"/>
      <c r="H600"/>
      <c r="I600"/>
      <c r="J600"/>
      <c r="K600" s="100">
        <f t="shared" si="83"/>
        <v>0</v>
      </c>
      <c r="L600" s="95"/>
      <c r="M600" s="90">
        <f t="shared" si="77"/>
        <v>0</v>
      </c>
      <c r="N600" s="56">
        <v>0</v>
      </c>
      <c r="O600" s="44">
        <f t="shared" si="78"/>
        <v>0</v>
      </c>
      <c r="P600" s="44"/>
      <c r="Q600" s="44"/>
      <c r="R600" s="44"/>
      <c r="S600" s="44">
        <f t="shared" si="84"/>
        <v>0</v>
      </c>
      <c r="T600" s="44">
        <f t="shared" si="79"/>
        <v>0</v>
      </c>
      <c r="U600">
        <v>0</v>
      </c>
      <c r="V600" s="43">
        <v>0</v>
      </c>
      <c r="W600" s="44">
        <f t="shared" si="80"/>
        <v>0</v>
      </c>
      <c r="X600" s="44">
        <f t="shared" si="81"/>
        <v>0</v>
      </c>
      <c r="Y600" s="44">
        <f t="shared" si="82"/>
        <v>0</v>
      </c>
      <c r="Z600" s="84"/>
      <c r="AA600" s="78"/>
      <c r="AB600" s="78"/>
      <c r="AC600" s="78"/>
      <c r="AD600" s="78"/>
      <c r="AE600" s="78"/>
    </row>
    <row r="601" spans="1:31" ht="12.75">
      <c r="A601"/>
      <c r="B601"/>
      <c r="C601"/>
      <c r="D601"/>
      <c r="E601"/>
      <c r="F601"/>
      <c r="G601"/>
      <c r="H601"/>
      <c r="I601"/>
      <c r="J601"/>
      <c r="K601" s="100">
        <f t="shared" si="83"/>
        <v>0</v>
      </c>
      <c r="L601" s="95"/>
      <c r="M601" s="90">
        <f t="shared" si="77"/>
        <v>0</v>
      </c>
      <c r="N601" s="56">
        <v>0</v>
      </c>
      <c r="O601" s="44">
        <f t="shared" si="78"/>
        <v>0</v>
      </c>
      <c r="P601" s="44"/>
      <c r="Q601" s="44"/>
      <c r="R601" s="44"/>
      <c r="S601" s="44">
        <f t="shared" si="84"/>
        <v>0</v>
      </c>
      <c r="T601" s="44">
        <f t="shared" si="79"/>
        <v>0</v>
      </c>
      <c r="U601">
        <v>0</v>
      </c>
      <c r="V601" s="43">
        <v>0</v>
      </c>
      <c r="W601" s="44">
        <f t="shared" si="80"/>
        <v>0</v>
      </c>
      <c r="X601" s="44">
        <f t="shared" si="81"/>
        <v>0</v>
      </c>
      <c r="Y601" s="44">
        <f t="shared" si="82"/>
        <v>0</v>
      </c>
      <c r="Z601" s="84"/>
      <c r="AA601" s="78"/>
      <c r="AB601" s="78"/>
      <c r="AC601" s="78"/>
      <c r="AD601" s="78"/>
      <c r="AE601" s="78"/>
    </row>
    <row r="602" spans="1:31" ht="12.75">
      <c r="A602"/>
      <c r="B602"/>
      <c r="C602"/>
      <c r="D602"/>
      <c r="E602"/>
      <c r="F602"/>
      <c r="G602"/>
      <c r="H602"/>
      <c r="I602"/>
      <c r="J602"/>
      <c r="K602" s="100">
        <f t="shared" si="83"/>
        <v>0</v>
      </c>
      <c r="L602" s="95"/>
      <c r="M602" s="90">
        <f t="shared" si="77"/>
        <v>0</v>
      </c>
      <c r="N602" s="56">
        <v>0</v>
      </c>
      <c r="O602" s="44">
        <f t="shared" si="78"/>
        <v>0</v>
      </c>
      <c r="P602" s="44"/>
      <c r="Q602" s="44"/>
      <c r="R602" s="44"/>
      <c r="S602" s="44">
        <f t="shared" si="84"/>
        <v>0</v>
      </c>
      <c r="T602" s="44">
        <f t="shared" si="79"/>
        <v>0</v>
      </c>
      <c r="U602">
        <v>0</v>
      </c>
      <c r="V602" s="43">
        <v>0</v>
      </c>
      <c r="W602" s="44">
        <f t="shared" si="80"/>
        <v>0</v>
      </c>
      <c r="X602" s="44">
        <f t="shared" si="81"/>
        <v>0</v>
      </c>
      <c r="Y602" s="44">
        <f t="shared" si="82"/>
        <v>0</v>
      </c>
      <c r="Z602" s="84"/>
      <c r="AA602" s="78"/>
      <c r="AB602" s="78"/>
      <c r="AC602" s="78"/>
      <c r="AD602" s="78"/>
      <c r="AE602" s="78"/>
    </row>
    <row r="603" spans="1:31" ht="12.75">
      <c r="A603"/>
      <c r="B603"/>
      <c r="C603"/>
      <c r="D603"/>
      <c r="E603"/>
      <c r="F603"/>
      <c r="G603"/>
      <c r="H603"/>
      <c r="I603"/>
      <c r="J603"/>
      <c r="K603" s="100">
        <f t="shared" si="83"/>
        <v>0</v>
      </c>
      <c r="L603" s="95"/>
      <c r="M603" s="90">
        <f t="shared" si="77"/>
        <v>0</v>
      </c>
      <c r="N603" s="56">
        <v>0</v>
      </c>
      <c r="O603" s="44">
        <f t="shared" si="78"/>
        <v>0</v>
      </c>
      <c r="P603" s="44"/>
      <c r="Q603" s="44"/>
      <c r="R603" s="44"/>
      <c r="S603" s="44">
        <f t="shared" si="84"/>
        <v>0</v>
      </c>
      <c r="T603" s="44">
        <f t="shared" si="79"/>
        <v>0</v>
      </c>
      <c r="U603">
        <v>0</v>
      </c>
      <c r="V603" s="43">
        <v>0</v>
      </c>
      <c r="W603" s="44">
        <f t="shared" si="80"/>
        <v>0</v>
      </c>
      <c r="X603" s="44">
        <f t="shared" si="81"/>
        <v>0</v>
      </c>
      <c r="Y603" s="44">
        <f t="shared" si="82"/>
        <v>0</v>
      </c>
      <c r="Z603" s="84"/>
      <c r="AA603" s="78"/>
      <c r="AB603" s="78"/>
      <c r="AC603" s="78"/>
      <c r="AD603" s="78"/>
      <c r="AE603" s="78"/>
    </row>
    <row r="604" spans="1:31" ht="12.75">
      <c r="A604"/>
      <c r="B604"/>
      <c r="C604"/>
      <c r="D604"/>
      <c r="E604"/>
      <c r="F604"/>
      <c r="G604"/>
      <c r="H604"/>
      <c r="I604"/>
      <c r="J604"/>
      <c r="K604" s="100">
        <f t="shared" si="83"/>
        <v>0</v>
      </c>
      <c r="L604" s="95"/>
      <c r="M604" s="90">
        <f t="shared" si="77"/>
        <v>0</v>
      </c>
      <c r="N604" s="56">
        <v>0</v>
      </c>
      <c r="O604" s="44">
        <f t="shared" si="78"/>
        <v>0</v>
      </c>
      <c r="P604" s="44"/>
      <c r="Q604" s="44"/>
      <c r="R604" s="44"/>
      <c r="S604" s="44">
        <f t="shared" si="84"/>
        <v>0</v>
      </c>
      <c r="T604" s="44">
        <f t="shared" si="79"/>
        <v>0</v>
      </c>
      <c r="U604">
        <v>0</v>
      </c>
      <c r="V604" s="43">
        <v>0</v>
      </c>
      <c r="W604" s="44">
        <f t="shared" si="80"/>
        <v>0</v>
      </c>
      <c r="X604" s="44">
        <f t="shared" si="81"/>
        <v>0</v>
      </c>
      <c r="Y604" s="44">
        <f t="shared" si="82"/>
        <v>0</v>
      </c>
      <c r="Z604" s="84"/>
      <c r="AA604" s="78"/>
      <c r="AB604" s="78"/>
      <c r="AC604" s="78"/>
      <c r="AD604" s="78"/>
      <c r="AE604" s="78"/>
    </row>
    <row r="605" spans="1:31" ht="12.75">
      <c r="A605"/>
      <c r="B605"/>
      <c r="C605"/>
      <c r="D605"/>
      <c r="E605"/>
      <c r="F605"/>
      <c r="G605"/>
      <c r="H605"/>
      <c r="I605"/>
      <c r="J605"/>
      <c r="K605" s="100">
        <f t="shared" si="83"/>
        <v>0</v>
      </c>
      <c r="L605" s="95"/>
      <c r="M605" s="90">
        <f t="shared" si="77"/>
        <v>0</v>
      </c>
      <c r="N605" s="56">
        <v>0</v>
      </c>
      <c r="O605" s="44">
        <f t="shared" si="78"/>
        <v>0</v>
      </c>
      <c r="P605" s="44"/>
      <c r="Q605" s="44"/>
      <c r="R605" s="44"/>
      <c r="S605" s="44">
        <f t="shared" si="84"/>
        <v>0</v>
      </c>
      <c r="T605" s="44">
        <f t="shared" si="79"/>
        <v>0</v>
      </c>
      <c r="U605">
        <v>0</v>
      </c>
      <c r="V605" s="43">
        <v>0</v>
      </c>
      <c r="W605" s="44">
        <f t="shared" si="80"/>
        <v>0</v>
      </c>
      <c r="X605" s="44">
        <f t="shared" si="81"/>
        <v>0</v>
      </c>
      <c r="Y605" s="44">
        <f t="shared" si="82"/>
        <v>0</v>
      </c>
      <c r="Z605" s="84"/>
      <c r="AA605" s="78"/>
      <c r="AB605" s="78"/>
      <c r="AC605" s="78"/>
      <c r="AD605" s="78"/>
      <c r="AE605" s="78"/>
    </row>
    <row r="606" spans="1:31" ht="12.75">
      <c r="A606"/>
      <c r="B606"/>
      <c r="C606"/>
      <c r="D606"/>
      <c r="E606"/>
      <c r="F606"/>
      <c r="G606"/>
      <c r="H606"/>
      <c r="I606"/>
      <c r="J606"/>
      <c r="K606" s="100">
        <f t="shared" si="83"/>
        <v>0</v>
      </c>
      <c r="L606" s="95"/>
      <c r="M606" s="90">
        <f t="shared" si="77"/>
        <v>0</v>
      </c>
      <c r="N606" s="56">
        <v>0</v>
      </c>
      <c r="O606" s="44">
        <f t="shared" si="78"/>
        <v>0</v>
      </c>
      <c r="P606" s="44"/>
      <c r="Q606" s="44"/>
      <c r="R606" s="44"/>
      <c r="S606" s="44">
        <f t="shared" si="84"/>
        <v>0</v>
      </c>
      <c r="T606" s="44">
        <f t="shared" si="79"/>
        <v>0</v>
      </c>
      <c r="U606">
        <v>0</v>
      </c>
      <c r="V606" s="43">
        <v>0</v>
      </c>
      <c r="W606" s="44">
        <f t="shared" si="80"/>
        <v>0</v>
      </c>
      <c r="X606" s="44">
        <f t="shared" si="81"/>
        <v>0</v>
      </c>
      <c r="Y606" s="44">
        <f t="shared" si="82"/>
        <v>0</v>
      </c>
      <c r="Z606" s="84"/>
      <c r="AA606" s="78"/>
      <c r="AB606" s="78"/>
      <c r="AC606" s="78"/>
      <c r="AD606" s="78"/>
      <c r="AE606" s="78"/>
    </row>
    <row r="607" spans="1:31" ht="12.75">
      <c r="A607"/>
      <c r="B607"/>
      <c r="C607"/>
      <c r="D607"/>
      <c r="E607"/>
      <c r="F607"/>
      <c r="G607"/>
      <c r="H607"/>
      <c r="I607"/>
      <c r="J607"/>
      <c r="K607" s="100">
        <f t="shared" si="83"/>
        <v>0</v>
      </c>
      <c r="L607" s="95"/>
      <c r="M607" s="90">
        <f t="shared" si="77"/>
        <v>0</v>
      </c>
      <c r="N607" s="56">
        <v>0</v>
      </c>
      <c r="O607" s="44">
        <f t="shared" si="78"/>
        <v>0</v>
      </c>
      <c r="P607" s="44"/>
      <c r="Q607" s="44"/>
      <c r="R607" s="44"/>
      <c r="S607" s="44">
        <f t="shared" si="84"/>
        <v>0</v>
      </c>
      <c r="T607" s="44">
        <f t="shared" si="79"/>
        <v>0</v>
      </c>
      <c r="U607">
        <v>0</v>
      </c>
      <c r="V607" s="43">
        <v>0</v>
      </c>
      <c r="W607" s="44">
        <f t="shared" si="80"/>
        <v>0</v>
      </c>
      <c r="X607" s="44">
        <f t="shared" si="81"/>
        <v>0</v>
      </c>
      <c r="Y607" s="44">
        <f t="shared" si="82"/>
        <v>0</v>
      </c>
      <c r="Z607" s="84"/>
      <c r="AA607" s="78"/>
      <c r="AB607" s="78"/>
      <c r="AC607" s="78"/>
      <c r="AD607" s="78"/>
      <c r="AE607" s="78"/>
    </row>
    <row r="608" spans="1:31" ht="12.75">
      <c r="A608"/>
      <c r="B608"/>
      <c r="C608"/>
      <c r="D608"/>
      <c r="E608"/>
      <c r="F608"/>
      <c r="G608"/>
      <c r="H608"/>
      <c r="I608"/>
      <c r="J608"/>
      <c r="K608" s="100">
        <f t="shared" si="83"/>
        <v>0</v>
      </c>
      <c r="L608" s="95"/>
      <c r="M608" s="90">
        <f t="shared" si="77"/>
        <v>0</v>
      </c>
      <c r="N608" s="56">
        <v>0</v>
      </c>
      <c r="O608" s="44">
        <f t="shared" si="78"/>
        <v>0</v>
      </c>
      <c r="P608" s="44"/>
      <c r="Q608" s="44"/>
      <c r="R608" s="44"/>
      <c r="S608" s="44">
        <f t="shared" si="84"/>
        <v>0</v>
      </c>
      <c r="T608" s="44">
        <f t="shared" si="79"/>
        <v>0</v>
      </c>
      <c r="U608">
        <v>0</v>
      </c>
      <c r="V608" s="43">
        <v>0</v>
      </c>
      <c r="W608" s="44">
        <f t="shared" si="80"/>
        <v>0</v>
      </c>
      <c r="X608" s="44">
        <f t="shared" si="81"/>
        <v>0</v>
      </c>
      <c r="Y608" s="44">
        <f t="shared" si="82"/>
        <v>0</v>
      </c>
      <c r="Z608" s="84"/>
      <c r="AA608" s="78"/>
      <c r="AB608" s="78"/>
      <c r="AC608" s="78"/>
      <c r="AD608" s="78"/>
      <c r="AE608" s="78"/>
    </row>
    <row r="609" spans="1:31" ht="12.75">
      <c r="A609"/>
      <c r="B609"/>
      <c r="C609"/>
      <c r="D609"/>
      <c r="E609"/>
      <c r="F609"/>
      <c r="G609"/>
      <c r="H609"/>
      <c r="I609"/>
      <c r="J609"/>
      <c r="K609" s="100">
        <f t="shared" si="83"/>
        <v>0</v>
      </c>
      <c r="L609" s="95"/>
      <c r="M609" s="90">
        <f t="shared" si="77"/>
        <v>0</v>
      </c>
      <c r="N609" s="56">
        <v>0</v>
      </c>
      <c r="O609" s="44">
        <f t="shared" si="78"/>
        <v>0</v>
      </c>
      <c r="P609" s="44"/>
      <c r="Q609" s="44"/>
      <c r="R609" s="44"/>
      <c r="S609" s="44">
        <f t="shared" si="84"/>
        <v>0</v>
      </c>
      <c r="T609" s="44">
        <f t="shared" si="79"/>
        <v>0</v>
      </c>
      <c r="U609">
        <v>0</v>
      </c>
      <c r="V609" s="43">
        <v>0</v>
      </c>
      <c r="W609" s="44">
        <f t="shared" si="80"/>
        <v>0</v>
      </c>
      <c r="X609" s="44">
        <f t="shared" si="81"/>
        <v>0</v>
      </c>
      <c r="Y609" s="44">
        <f t="shared" si="82"/>
        <v>0</v>
      </c>
      <c r="Z609" s="84"/>
      <c r="AA609" s="78"/>
      <c r="AB609" s="78"/>
      <c r="AC609" s="78"/>
      <c r="AD609" s="78"/>
      <c r="AE609" s="78"/>
    </row>
    <row r="610" spans="1:31" ht="12.75">
      <c r="A610"/>
      <c r="B610"/>
      <c r="C610"/>
      <c r="D610"/>
      <c r="E610"/>
      <c r="F610"/>
      <c r="G610"/>
      <c r="H610"/>
      <c r="I610"/>
      <c r="J610"/>
      <c r="K610" s="100">
        <f t="shared" si="83"/>
        <v>0</v>
      </c>
      <c r="L610" s="95"/>
      <c r="M610" s="90">
        <f t="shared" si="77"/>
        <v>0</v>
      </c>
      <c r="N610" s="56">
        <v>0</v>
      </c>
      <c r="O610" s="44">
        <f t="shared" si="78"/>
        <v>0</v>
      </c>
      <c r="P610" s="44"/>
      <c r="Q610" s="44"/>
      <c r="R610" s="44"/>
      <c r="S610" s="44">
        <f t="shared" si="84"/>
        <v>0</v>
      </c>
      <c r="T610" s="44">
        <f t="shared" si="79"/>
        <v>0</v>
      </c>
      <c r="U610">
        <v>0</v>
      </c>
      <c r="V610" s="43">
        <v>0</v>
      </c>
      <c r="W610" s="44">
        <f t="shared" si="80"/>
        <v>0</v>
      </c>
      <c r="X610" s="44">
        <f t="shared" si="81"/>
        <v>0</v>
      </c>
      <c r="Y610" s="44">
        <f t="shared" si="82"/>
        <v>0</v>
      </c>
      <c r="Z610" s="84"/>
      <c r="AA610" s="78"/>
      <c r="AB610" s="78"/>
      <c r="AC610" s="78"/>
      <c r="AD610" s="78"/>
      <c r="AE610" s="78"/>
    </row>
    <row r="611" spans="1:31" ht="12.75">
      <c r="A611"/>
      <c r="B611"/>
      <c r="C611"/>
      <c r="D611"/>
      <c r="E611"/>
      <c r="F611"/>
      <c r="G611"/>
      <c r="H611"/>
      <c r="I611"/>
      <c r="J611"/>
      <c r="K611" s="100">
        <f t="shared" si="83"/>
        <v>0</v>
      </c>
      <c r="L611" s="95"/>
      <c r="M611" s="90">
        <f t="shared" si="77"/>
        <v>0</v>
      </c>
      <c r="N611" s="56">
        <v>0</v>
      </c>
      <c r="O611" s="44">
        <f t="shared" si="78"/>
        <v>0</v>
      </c>
      <c r="P611" s="44"/>
      <c r="Q611" s="44"/>
      <c r="R611" s="44"/>
      <c r="S611" s="44">
        <f t="shared" si="84"/>
        <v>0</v>
      </c>
      <c r="T611" s="44">
        <f t="shared" si="79"/>
        <v>0</v>
      </c>
      <c r="U611">
        <v>0</v>
      </c>
      <c r="V611" s="43">
        <v>0</v>
      </c>
      <c r="W611" s="44">
        <f t="shared" si="80"/>
        <v>0</v>
      </c>
      <c r="X611" s="44">
        <f t="shared" si="81"/>
        <v>0</v>
      </c>
      <c r="Y611" s="44">
        <f t="shared" si="82"/>
        <v>0</v>
      </c>
      <c r="Z611" s="84"/>
      <c r="AA611" s="78"/>
      <c r="AB611" s="78"/>
      <c r="AC611" s="78"/>
      <c r="AD611" s="78"/>
      <c r="AE611" s="78"/>
    </row>
    <row r="612" spans="1:31" ht="12.75">
      <c r="A612"/>
      <c r="B612"/>
      <c r="C612"/>
      <c r="D612"/>
      <c r="E612"/>
      <c r="F612"/>
      <c r="G612"/>
      <c r="H612"/>
      <c r="I612"/>
      <c r="J612"/>
      <c r="K612" s="100">
        <f t="shared" si="83"/>
        <v>0</v>
      </c>
      <c r="L612" s="95"/>
      <c r="M612" s="90">
        <f t="shared" si="77"/>
        <v>0</v>
      </c>
      <c r="N612" s="56">
        <v>0</v>
      </c>
      <c r="O612" s="44">
        <f t="shared" si="78"/>
        <v>0</v>
      </c>
      <c r="P612" s="44"/>
      <c r="Q612" s="44"/>
      <c r="R612" s="44"/>
      <c r="S612" s="44">
        <f t="shared" si="84"/>
        <v>0</v>
      </c>
      <c r="T612" s="44">
        <f t="shared" si="79"/>
        <v>0</v>
      </c>
      <c r="U612">
        <v>0</v>
      </c>
      <c r="V612" s="43">
        <v>0</v>
      </c>
      <c r="W612" s="44">
        <f t="shared" si="80"/>
        <v>0</v>
      </c>
      <c r="X612" s="44">
        <f t="shared" si="81"/>
        <v>0</v>
      </c>
      <c r="Y612" s="44">
        <f t="shared" si="82"/>
        <v>0</v>
      </c>
      <c r="Z612" s="84"/>
      <c r="AA612" s="78"/>
      <c r="AB612" s="78"/>
      <c r="AC612" s="78"/>
      <c r="AD612" s="78"/>
      <c r="AE612" s="78"/>
    </row>
    <row r="613" spans="1:31" ht="12.75">
      <c r="A613"/>
      <c r="B613"/>
      <c r="C613"/>
      <c r="D613"/>
      <c r="E613"/>
      <c r="F613"/>
      <c r="G613"/>
      <c r="H613"/>
      <c r="I613"/>
      <c r="J613"/>
      <c r="K613" s="100">
        <f t="shared" si="83"/>
        <v>0</v>
      </c>
      <c r="L613" s="95"/>
      <c r="M613" s="90">
        <f t="shared" si="77"/>
        <v>0</v>
      </c>
      <c r="N613" s="56">
        <v>0</v>
      </c>
      <c r="O613" s="44">
        <f t="shared" si="78"/>
        <v>0</v>
      </c>
      <c r="P613" s="44"/>
      <c r="Q613" s="44"/>
      <c r="R613" s="44"/>
      <c r="S613" s="44">
        <f t="shared" si="84"/>
        <v>0</v>
      </c>
      <c r="T613" s="44">
        <f t="shared" si="79"/>
        <v>0</v>
      </c>
      <c r="U613">
        <v>0</v>
      </c>
      <c r="V613" s="43">
        <v>0</v>
      </c>
      <c r="W613" s="44">
        <f t="shared" si="80"/>
        <v>0</v>
      </c>
      <c r="X613" s="44">
        <f t="shared" si="81"/>
        <v>0</v>
      </c>
      <c r="Y613" s="44">
        <f t="shared" si="82"/>
        <v>0</v>
      </c>
      <c r="Z613" s="84"/>
      <c r="AA613" s="78"/>
      <c r="AB613" s="78"/>
      <c r="AC613" s="78"/>
      <c r="AD613" s="78"/>
      <c r="AE613" s="78"/>
    </row>
    <row r="614" spans="1:31" ht="12.75">
      <c r="A614"/>
      <c r="B614"/>
      <c r="C614"/>
      <c r="D614"/>
      <c r="E614"/>
      <c r="F614"/>
      <c r="G614"/>
      <c r="H614"/>
      <c r="I614"/>
      <c r="J614"/>
      <c r="K614" s="100">
        <f t="shared" si="83"/>
        <v>0</v>
      </c>
      <c r="L614" s="95"/>
      <c r="M614" s="90">
        <f t="shared" si="77"/>
        <v>0</v>
      </c>
      <c r="N614" s="56">
        <v>0</v>
      </c>
      <c r="O614" s="44">
        <f t="shared" si="78"/>
        <v>0</v>
      </c>
      <c r="P614" s="44"/>
      <c r="Q614" s="44"/>
      <c r="R614" s="44"/>
      <c r="S614" s="44">
        <f t="shared" si="84"/>
        <v>0</v>
      </c>
      <c r="T614" s="44">
        <f t="shared" si="79"/>
        <v>0</v>
      </c>
      <c r="U614">
        <v>0</v>
      </c>
      <c r="V614" s="43">
        <v>0</v>
      </c>
      <c r="W614" s="44">
        <f t="shared" si="80"/>
        <v>0</v>
      </c>
      <c r="X614" s="44">
        <f t="shared" si="81"/>
        <v>0</v>
      </c>
      <c r="Y614" s="44">
        <f t="shared" si="82"/>
        <v>0</v>
      </c>
      <c r="Z614" s="84"/>
      <c r="AA614" s="78"/>
      <c r="AB614" s="78"/>
      <c r="AC614" s="78"/>
      <c r="AD614" s="78"/>
      <c r="AE614" s="78"/>
    </row>
    <row r="615" spans="1:31" ht="12.75">
      <c r="A615"/>
      <c r="B615"/>
      <c r="C615"/>
      <c r="D615"/>
      <c r="E615"/>
      <c r="F615"/>
      <c r="G615"/>
      <c r="H615"/>
      <c r="I615"/>
      <c r="J615"/>
      <c r="K615" s="100">
        <f t="shared" si="83"/>
        <v>0</v>
      </c>
      <c r="L615" s="95"/>
      <c r="M615" s="90">
        <f t="shared" si="77"/>
        <v>0</v>
      </c>
      <c r="N615" s="56">
        <v>0</v>
      </c>
      <c r="O615" s="44">
        <f t="shared" si="78"/>
        <v>0</v>
      </c>
      <c r="P615" s="44"/>
      <c r="Q615" s="44"/>
      <c r="R615" s="44"/>
      <c r="S615" s="44">
        <f t="shared" si="84"/>
        <v>0</v>
      </c>
      <c r="T615" s="44">
        <f t="shared" si="79"/>
        <v>0</v>
      </c>
      <c r="U615">
        <v>0</v>
      </c>
      <c r="V615" s="43">
        <v>0</v>
      </c>
      <c r="W615" s="44">
        <f t="shared" si="80"/>
        <v>0</v>
      </c>
      <c r="X615" s="44">
        <f t="shared" si="81"/>
        <v>0</v>
      </c>
      <c r="Y615" s="44">
        <f t="shared" si="82"/>
        <v>0</v>
      </c>
      <c r="Z615" s="84"/>
      <c r="AA615" s="78"/>
      <c r="AB615" s="78"/>
      <c r="AC615" s="78"/>
      <c r="AD615" s="78"/>
      <c r="AE615" s="78"/>
    </row>
    <row r="616" spans="1:31" ht="12.75">
      <c r="A616"/>
      <c r="B616"/>
      <c r="C616"/>
      <c r="D616"/>
      <c r="E616"/>
      <c r="F616"/>
      <c r="G616"/>
      <c r="H616"/>
      <c r="I616"/>
      <c r="J616"/>
      <c r="K616" s="100">
        <f t="shared" si="83"/>
        <v>0</v>
      </c>
      <c r="L616" s="95"/>
      <c r="M616" s="90">
        <f t="shared" si="77"/>
        <v>0</v>
      </c>
      <c r="N616" s="56">
        <v>0</v>
      </c>
      <c r="O616" s="44">
        <f t="shared" si="78"/>
        <v>0</v>
      </c>
      <c r="P616" s="44"/>
      <c r="Q616" s="44"/>
      <c r="R616" s="44"/>
      <c r="S616" s="44">
        <f t="shared" si="84"/>
        <v>0</v>
      </c>
      <c r="T616" s="44">
        <f t="shared" si="79"/>
        <v>0</v>
      </c>
      <c r="U616">
        <v>0</v>
      </c>
      <c r="V616" s="43">
        <v>0</v>
      </c>
      <c r="W616" s="44">
        <f t="shared" si="80"/>
        <v>0</v>
      </c>
      <c r="X616" s="44">
        <f t="shared" si="81"/>
        <v>0</v>
      </c>
      <c r="Y616" s="44">
        <f t="shared" si="82"/>
        <v>0</v>
      </c>
      <c r="Z616" s="84"/>
      <c r="AA616" s="78"/>
      <c r="AB616" s="78"/>
      <c r="AC616" s="78"/>
      <c r="AD616" s="78"/>
      <c r="AE616" s="78"/>
    </row>
    <row r="617" spans="1:31" ht="12.75">
      <c r="A617"/>
      <c r="B617"/>
      <c r="C617"/>
      <c r="D617"/>
      <c r="E617"/>
      <c r="F617"/>
      <c r="G617"/>
      <c r="H617"/>
      <c r="I617"/>
      <c r="J617"/>
      <c r="K617" s="100">
        <f t="shared" si="83"/>
        <v>0</v>
      </c>
      <c r="L617" s="95"/>
      <c r="M617" s="90">
        <f t="shared" si="77"/>
        <v>0</v>
      </c>
      <c r="N617" s="56">
        <v>0</v>
      </c>
      <c r="O617" s="44">
        <f t="shared" si="78"/>
        <v>0</v>
      </c>
      <c r="P617" s="44"/>
      <c r="Q617" s="44"/>
      <c r="R617" s="44"/>
      <c r="S617" s="44">
        <f t="shared" si="84"/>
        <v>0</v>
      </c>
      <c r="T617" s="44">
        <f t="shared" si="79"/>
        <v>0</v>
      </c>
      <c r="U617">
        <v>0</v>
      </c>
      <c r="V617" s="43">
        <v>0</v>
      </c>
      <c r="W617" s="44">
        <f t="shared" si="80"/>
        <v>0</v>
      </c>
      <c r="X617" s="44">
        <f t="shared" si="81"/>
        <v>0</v>
      </c>
      <c r="Y617" s="44">
        <f t="shared" si="82"/>
        <v>0</v>
      </c>
      <c r="Z617" s="84"/>
      <c r="AA617" s="78"/>
      <c r="AB617" s="78"/>
      <c r="AC617" s="78"/>
      <c r="AD617" s="78"/>
      <c r="AE617" s="78"/>
    </row>
    <row r="618" spans="1:31" ht="12.75">
      <c r="A618"/>
      <c r="B618"/>
      <c r="C618"/>
      <c r="D618"/>
      <c r="E618"/>
      <c r="F618"/>
      <c r="G618"/>
      <c r="H618"/>
      <c r="I618"/>
      <c r="J618"/>
      <c r="K618" s="100">
        <f t="shared" si="83"/>
        <v>0</v>
      </c>
      <c r="L618" s="95"/>
      <c r="M618" s="90">
        <f t="shared" si="77"/>
        <v>0</v>
      </c>
      <c r="N618" s="56">
        <v>0</v>
      </c>
      <c r="O618" s="44">
        <f t="shared" si="78"/>
        <v>0</v>
      </c>
      <c r="P618" s="44"/>
      <c r="Q618" s="44"/>
      <c r="R618" s="44"/>
      <c r="S618" s="44">
        <f t="shared" si="84"/>
        <v>0</v>
      </c>
      <c r="T618" s="44">
        <f t="shared" si="79"/>
        <v>0</v>
      </c>
      <c r="U618">
        <v>0</v>
      </c>
      <c r="V618" s="43">
        <v>0</v>
      </c>
      <c r="W618" s="44">
        <f t="shared" si="80"/>
        <v>0</v>
      </c>
      <c r="X618" s="44">
        <f t="shared" si="81"/>
        <v>0</v>
      </c>
      <c r="Y618" s="44">
        <f t="shared" si="82"/>
        <v>0</v>
      </c>
      <c r="Z618" s="84"/>
      <c r="AA618" s="78"/>
      <c r="AB618" s="78"/>
      <c r="AC618" s="78"/>
      <c r="AD618" s="78"/>
      <c r="AE618" s="78"/>
    </row>
    <row r="619" spans="1:31" ht="12.75">
      <c r="A619"/>
      <c r="B619"/>
      <c r="C619"/>
      <c r="D619"/>
      <c r="E619"/>
      <c r="F619"/>
      <c r="G619"/>
      <c r="H619"/>
      <c r="I619"/>
      <c r="J619"/>
      <c r="K619" s="100">
        <f t="shared" si="83"/>
        <v>0</v>
      </c>
      <c r="L619" s="95"/>
      <c r="M619" s="90">
        <f t="shared" si="77"/>
        <v>0</v>
      </c>
      <c r="N619" s="56">
        <v>0</v>
      </c>
      <c r="O619" s="44">
        <f t="shared" si="78"/>
        <v>0</v>
      </c>
      <c r="P619" s="44"/>
      <c r="Q619" s="44"/>
      <c r="R619" s="44"/>
      <c r="S619" s="44">
        <f t="shared" si="84"/>
        <v>0</v>
      </c>
      <c r="T619" s="44">
        <f t="shared" si="79"/>
        <v>0</v>
      </c>
      <c r="U619">
        <v>0</v>
      </c>
      <c r="V619" s="43">
        <v>0</v>
      </c>
      <c r="W619" s="44">
        <f t="shared" si="80"/>
        <v>0</v>
      </c>
      <c r="X619" s="44">
        <f t="shared" si="81"/>
        <v>0</v>
      </c>
      <c r="Y619" s="44">
        <f t="shared" si="82"/>
        <v>0</v>
      </c>
      <c r="Z619" s="84"/>
      <c r="AA619" s="78"/>
      <c r="AB619" s="78"/>
      <c r="AC619" s="78"/>
      <c r="AD619" s="78"/>
      <c r="AE619" s="78"/>
    </row>
    <row r="620" spans="1:31" ht="12.75">
      <c r="A620"/>
      <c r="B620"/>
      <c r="C620"/>
      <c r="D620"/>
      <c r="E620"/>
      <c r="F620"/>
      <c r="G620"/>
      <c r="H620"/>
      <c r="I620"/>
      <c r="J620"/>
      <c r="K620" s="100">
        <f t="shared" si="83"/>
        <v>0</v>
      </c>
      <c r="L620" s="95"/>
      <c r="M620" s="90">
        <f t="shared" si="77"/>
        <v>0</v>
      </c>
      <c r="N620" s="56">
        <v>0</v>
      </c>
      <c r="O620" s="44">
        <f t="shared" si="78"/>
        <v>0</v>
      </c>
      <c r="P620" s="44"/>
      <c r="Q620" s="44"/>
      <c r="R620" s="44"/>
      <c r="S620" s="44">
        <f t="shared" si="84"/>
        <v>0</v>
      </c>
      <c r="T620" s="44">
        <f t="shared" si="79"/>
        <v>0</v>
      </c>
      <c r="U620">
        <v>0</v>
      </c>
      <c r="V620" s="43">
        <v>0</v>
      </c>
      <c r="W620" s="44">
        <f t="shared" si="80"/>
        <v>0</v>
      </c>
      <c r="X620" s="44">
        <f t="shared" si="81"/>
        <v>0</v>
      </c>
      <c r="Y620" s="44">
        <f t="shared" si="82"/>
        <v>0</v>
      </c>
      <c r="Z620" s="84"/>
      <c r="AA620" s="78"/>
      <c r="AB620" s="78"/>
      <c r="AC620" s="78"/>
      <c r="AD620" s="78"/>
      <c r="AE620" s="78"/>
    </row>
    <row r="621" spans="1:31" ht="12.75">
      <c r="A621"/>
      <c r="B621"/>
      <c r="C621"/>
      <c r="D621"/>
      <c r="E621"/>
      <c r="F621"/>
      <c r="G621"/>
      <c r="H621"/>
      <c r="I621"/>
      <c r="J621"/>
      <c r="K621" s="100">
        <f t="shared" si="83"/>
        <v>0</v>
      </c>
      <c r="L621" s="95"/>
      <c r="M621" s="90">
        <f t="shared" si="77"/>
        <v>0</v>
      </c>
      <c r="N621" s="56">
        <v>0</v>
      </c>
      <c r="O621" s="44">
        <f t="shared" si="78"/>
        <v>0</v>
      </c>
      <c r="P621" s="44"/>
      <c r="Q621" s="44"/>
      <c r="R621" s="44"/>
      <c r="S621" s="44">
        <f t="shared" si="84"/>
        <v>0</v>
      </c>
      <c r="T621" s="44">
        <f t="shared" si="79"/>
        <v>0</v>
      </c>
      <c r="U621">
        <v>0</v>
      </c>
      <c r="V621" s="43">
        <v>0</v>
      </c>
      <c r="W621" s="44">
        <f t="shared" si="80"/>
        <v>0</v>
      </c>
      <c r="X621" s="44">
        <f t="shared" si="81"/>
        <v>0</v>
      </c>
      <c r="Y621" s="44">
        <f t="shared" si="82"/>
        <v>0</v>
      </c>
      <c r="Z621" s="84"/>
      <c r="AA621" s="78"/>
      <c r="AB621" s="78"/>
      <c r="AC621" s="78"/>
      <c r="AD621" s="78"/>
      <c r="AE621" s="78"/>
    </row>
    <row r="622" spans="1:31" ht="12.75">
      <c r="A622"/>
      <c r="B622"/>
      <c r="C622"/>
      <c r="D622"/>
      <c r="E622"/>
      <c r="F622"/>
      <c r="G622"/>
      <c r="H622"/>
      <c r="I622"/>
      <c r="J622"/>
      <c r="K622" s="100">
        <f t="shared" si="83"/>
        <v>0</v>
      </c>
      <c r="L622" s="95"/>
      <c r="M622" s="90">
        <f t="shared" si="77"/>
        <v>0</v>
      </c>
      <c r="N622" s="56">
        <v>0</v>
      </c>
      <c r="O622" s="44">
        <f t="shared" si="78"/>
        <v>0</v>
      </c>
      <c r="P622" s="44"/>
      <c r="Q622" s="44"/>
      <c r="R622" s="44"/>
      <c r="S622" s="44">
        <f t="shared" si="84"/>
        <v>0</v>
      </c>
      <c r="T622" s="44">
        <f t="shared" si="79"/>
        <v>0</v>
      </c>
      <c r="U622">
        <v>0</v>
      </c>
      <c r="V622" s="43">
        <v>0</v>
      </c>
      <c r="W622" s="44">
        <f t="shared" si="80"/>
        <v>0</v>
      </c>
      <c r="X622" s="44">
        <f t="shared" si="81"/>
        <v>0</v>
      </c>
      <c r="Y622" s="44">
        <f t="shared" si="82"/>
        <v>0</v>
      </c>
      <c r="Z622" s="84"/>
      <c r="AA622" s="78"/>
      <c r="AB622" s="78"/>
      <c r="AC622" s="78"/>
      <c r="AD622" s="78"/>
      <c r="AE622" s="78"/>
    </row>
    <row r="623" spans="1:31" ht="12.75">
      <c r="A623"/>
      <c r="B623"/>
      <c r="C623"/>
      <c r="D623"/>
      <c r="E623"/>
      <c r="F623"/>
      <c r="G623"/>
      <c r="H623"/>
      <c r="I623"/>
      <c r="J623"/>
      <c r="K623" s="100">
        <f t="shared" si="83"/>
        <v>0</v>
      </c>
      <c r="L623" s="95"/>
      <c r="M623" s="90">
        <f t="shared" si="77"/>
        <v>0</v>
      </c>
      <c r="N623" s="56">
        <v>0</v>
      </c>
      <c r="O623" s="44">
        <f t="shared" si="78"/>
        <v>0</v>
      </c>
      <c r="P623" s="44"/>
      <c r="Q623" s="44"/>
      <c r="R623" s="44"/>
      <c r="S623" s="44">
        <f t="shared" si="84"/>
        <v>0</v>
      </c>
      <c r="T623" s="44">
        <f t="shared" si="79"/>
        <v>0</v>
      </c>
      <c r="U623">
        <v>0</v>
      </c>
      <c r="V623" s="43">
        <v>0</v>
      </c>
      <c r="W623" s="44">
        <f t="shared" si="80"/>
        <v>0</v>
      </c>
      <c r="X623" s="44">
        <f t="shared" si="81"/>
        <v>0</v>
      </c>
      <c r="Y623" s="44">
        <f t="shared" si="82"/>
        <v>0</v>
      </c>
      <c r="Z623" s="84"/>
      <c r="AA623" s="78"/>
      <c r="AB623" s="78"/>
      <c r="AC623" s="78"/>
      <c r="AD623" s="78"/>
      <c r="AE623" s="78"/>
    </row>
    <row r="624" spans="1:31" ht="12.75">
      <c r="A624"/>
      <c r="B624"/>
      <c r="C624"/>
      <c r="D624"/>
      <c r="E624"/>
      <c r="F624"/>
      <c r="G624"/>
      <c r="H624"/>
      <c r="I624"/>
      <c r="J624"/>
      <c r="K624" s="100">
        <f t="shared" si="83"/>
        <v>0</v>
      </c>
      <c r="L624" s="95"/>
      <c r="M624" s="90">
        <f t="shared" si="77"/>
        <v>0</v>
      </c>
      <c r="N624" s="56">
        <v>0</v>
      </c>
      <c r="O624" s="44">
        <f t="shared" si="78"/>
        <v>0</v>
      </c>
      <c r="P624" s="44"/>
      <c r="Q624" s="44"/>
      <c r="R624" s="44"/>
      <c r="S624" s="44">
        <f t="shared" si="84"/>
        <v>0</v>
      </c>
      <c r="T624" s="44">
        <f t="shared" si="79"/>
        <v>0</v>
      </c>
      <c r="U624">
        <v>0</v>
      </c>
      <c r="V624" s="43">
        <v>0</v>
      </c>
      <c r="W624" s="44">
        <f t="shared" si="80"/>
        <v>0</v>
      </c>
      <c r="X624" s="44">
        <f t="shared" si="81"/>
        <v>0</v>
      </c>
      <c r="Y624" s="44">
        <f t="shared" si="82"/>
        <v>0</v>
      </c>
      <c r="Z624" s="84"/>
      <c r="AA624" s="78"/>
      <c r="AB624" s="78"/>
      <c r="AC624" s="78"/>
      <c r="AD624" s="78"/>
      <c r="AE624" s="78"/>
    </row>
    <row r="625" spans="1:31" ht="12.75">
      <c r="A625"/>
      <c r="B625"/>
      <c r="C625"/>
      <c r="D625"/>
      <c r="E625"/>
      <c r="F625"/>
      <c r="G625"/>
      <c r="H625"/>
      <c r="I625"/>
      <c r="J625"/>
      <c r="K625" s="100">
        <f t="shared" si="83"/>
        <v>0</v>
      </c>
      <c r="L625" s="95"/>
      <c r="M625" s="90">
        <f t="shared" si="77"/>
        <v>0</v>
      </c>
      <c r="N625" s="56">
        <v>0</v>
      </c>
      <c r="O625" s="44">
        <f t="shared" si="78"/>
        <v>0</v>
      </c>
      <c r="P625" s="44"/>
      <c r="Q625" s="44"/>
      <c r="R625" s="44"/>
      <c r="S625" s="44">
        <f t="shared" si="84"/>
        <v>0</v>
      </c>
      <c r="T625" s="44">
        <f t="shared" si="79"/>
        <v>0</v>
      </c>
      <c r="U625">
        <v>0</v>
      </c>
      <c r="V625" s="43">
        <v>0</v>
      </c>
      <c r="W625" s="44">
        <f t="shared" si="80"/>
        <v>0</v>
      </c>
      <c r="X625" s="44">
        <f t="shared" si="81"/>
        <v>0</v>
      </c>
      <c r="Y625" s="44">
        <f t="shared" si="82"/>
        <v>0</v>
      </c>
      <c r="Z625" s="84"/>
      <c r="AA625" s="78"/>
      <c r="AB625" s="78"/>
      <c r="AC625" s="78"/>
      <c r="AD625" s="78"/>
      <c r="AE625" s="78"/>
    </row>
    <row r="626" spans="1:31" ht="12.75">
      <c r="A626"/>
      <c r="B626"/>
      <c r="C626"/>
      <c r="D626"/>
      <c r="E626"/>
      <c r="F626"/>
      <c r="G626"/>
      <c r="H626"/>
      <c r="I626"/>
      <c r="J626"/>
      <c r="K626" s="100">
        <f t="shared" si="83"/>
        <v>0</v>
      </c>
      <c r="L626" s="95"/>
      <c r="M626" s="90">
        <f t="shared" si="77"/>
        <v>0</v>
      </c>
      <c r="N626" s="56">
        <v>0</v>
      </c>
      <c r="O626" s="44">
        <f t="shared" si="78"/>
        <v>0</v>
      </c>
      <c r="P626" s="44"/>
      <c r="Q626" s="44"/>
      <c r="R626" s="44"/>
      <c r="S626" s="44">
        <f t="shared" si="84"/>
        <v>0</v>
      </c>
      <c r="T626" s="44">
        <f t="shared" si="79"/>
        <v>0</v>
      </c>
      <c r="U626">
        <v>0</v>
      </c>
      <c r="V626" s="43">
        <v>0</v>
      </c>
      <c r="W626" s="44">
        <f t="shared" si="80"/>
        <v>0</v>
      </c>
      <c r="X626" s="44">
        <f t="shared" si="81"/>
        <v>0</v>
      </c>
      <c r="Y626" s="44">
        <f t="shared" si="82"/>
        <v>0</v>
      </c>
      <c r="Z626" s="84"/>
      <c r="AA626" s="78"/>
      <c r="AB626" s="78"/>
      <c r="AC626" s="78"/>
      <c r="AD626" s="78"/>
      <c r="AE626" s="78"/>
    </row>
    <row r="627" spans="1:31" ht="12.75">
      <c r="A627"/>
      <c r="B627"/>
      <c r="C627"/>
      <c r="D627"/>
      <c r="E627"/>
      <c r="F627"/>
      <c r="G627"/>
      <c r="H627"/>
      <c r="I627"/>
      <c r="J627"/>
      <c r="K627" s="100">
        <f t="shared" si="83"/>
        <v>0</v>
      </c>
      <c r="L627" s="95"/>
      <c r="M627" s="90">
        <f t="shared" si="77"/>
        <v>0</v>
      </c>
      <c r="N627" s="56">
        <v>0</v>
      </c>
      <c r="O627" s="44">
        <f t="shared" si="78"/>
        <v>0</v>
      </c>
      <c r="P627" s="44"/>
      <c r="Q627" s="44"/>
      <c r="R627" s="44"/>
      <c r="S627" s="44">
        <f t="shared" si="84"/>
        <v>0</v>
      </c>
      <c r="T627" s="44">
        <f t="shared" si="79"/>
        <v>0</v>
      </c>
      <c r="U627">
        <v>0</v>
      </c>
      <c r="V627" s="43">
        <v>0</v>
      </c>
      <c r="W627" s="44">
        <f t="shared" si="80"/>
        <v>0</v>
      </c>
      <c r="X627" s="44">
        <f t="shared" si="81"/>
        <v>0</v>
      </c>
      <c r="Y627" s="44">
        <f t="shared" si="82"/>
        <v>0</v>
      </c>
      <c r="Z627" s="84"/>
      <c r="AA627" s="78"/>
      <c r="AB627" s="78"/>
      <c r="AC627" s="78"/>
      <c r="AD627" s="78"/>
      <c r="AE627" s="78"/>
    </row>
    <row r="628" spans="1:31" ht="12.75">
      <c r="A628"/>
      <c r="B628"/>
      <c r="C628"/>
      <c r="D628"/>
      <c r="E628"/>
      <c r="F628"/>
      <c r="G628"/>
      <c r="H628"/>
      <c r="I628"/>
      <c r="J628"/>
      <c r="K628" s="100">
        <f t="shared" si="83"/>
        <v>0</v>
      </c>
      <c r="L628" s="95"/>
      <c r="M628" s="90">
        <f t="shared" si="77"/>
        <v>0</v>
      </c>
      <c r="N628" s="56">
        <v>0</v>
      </c>
      <c r="O628" s="44">
        <f t="shared" si="78"/>
        <v>0</v>
      </c>
      <c r="P628" s="44"/>
      <c r="Q628" s="44"/>
      <c r="R628" s="44"/>
      <c r="S628" s="44">
        <f t="shared" si="84"/>
        <v>0</v>
      </c>
      <c r="T628" s="44">
        <f t="shared" si="79"/>
        <v>0</v>
      </c>
      <c r="U628">
        <v>0</v>
      </c>
      <c r="V628" s="43">
        <v>0</v>
      </c>
      <c r="W628" s="44">
        <f t="shared" si="80"/>
        <v>0</v>
      </c>
      <c r="X628" s="44">
        <f t="shared" si="81"/>
        <v>0</v>
      </c>
      <c r="Y628" s="44">
        <f t="shared" si="82"/>
        <v>0</v>
      </c>
      <c r="Z628" s="84"/>
      <c r="AA628" s="78"/>
      <c r="AB628" s="78"/>
      <c r="AC628" s="78"/>
      <c r="AD628" s="78"/>
      <c r="AE628" s="78"/>
    </row>
    <row r="629" spans="1:31" ht="12.75">
      <c r="A629"/>
      <c r="B629"/>
      <c r="C629"/>
      <c r="D629"/>
      <c r="E629"/>
      <c r="F629"/>
      <c r="G629"/>
      <c r="H629"/>
      <c r="I629"/>
      <c r="J629"/>
      <c r="K629" s="100">
        <f t="shared" si="83"/>
        <v>0</v>
      </c>
      <c r="L629" s="95"/>
      <c r="M629" s="90">
        <f t="shared" si="77"/>
        <v>0</v>
      </c>
      <c r="N629" s="56">
        <v>0</v>
      </c>
      <c r="O629" s="44">
        <f t="shared" si="78"/>
        <v>0</v>
      </c>
      <c r="P629" s="44"/>
      <c r="Q629" s="44"/>
      <c r="R629" s="44"/>
      <c r="S629" s="44">
        <f t="shared" si="84"/>
        <v>0</v>
      </c>
      <c r="T629" s="44">
        <f t="shared" si="79"/>
        <v>0</v>
      </c>
      <c r="U629">
        <v>0</v>
      </c>
      <c r="V629" s="43">
        <v>0</v>
      </c>
      <c r="W629" s="44">
        <f t="shared" si="80"/>
        <v>0</v>
      </c>
      <c r="X629" s="44">
        <f t="shared" si="81"/>
        <v>0</v>
      </c>
      <c r="Y629" s="44">
        <f t="shared" si="82"/>
        <v>0</v>
      </c>
      <c r="Z629" s="84"/>
      <c r="AA629" s="78"/>
      <c r="AB629" s="78"/>
      <c r="AC629" s="78"/>
      <c r="AD629" s="78"/>
      <c r="AE629" s="78"/>
    </row>
    <row r="630" spans="1:31" ht="12.75">
      <c r="A630"/>
      <c r="B630"/>
      <c r="C630"/>
      <c r="D630"/>
      <c r="E630"/>
      <c r="F630"/>
      <c r="G630"/>
      <c r="H630"/>
      <c r="I630"/>
      <c r="J630"/>
      <c r="K630" s="100">
        <f t="shared" si="83"/>
        <v>0</v>
      </c>
      <c r="L630" s="95"/>
      <c r="M630" s="90">
        <f t="shared" si="77"/>
        <v>0</v>
      </c>
      <c r="N630" s="56">
        <v>0</v>
      </c>
      <c r="O630" s="44">
        <f t="shared" si="78"/>
        <v>0</v>
      </c>
      <c r="P630" s="44"/>
      <c r="Q630" s="44"/>
      <c r="R630" s="44"/>
      <c r="S630" s="44">
        <f t="shared" si="84"/>
        <v>0</v>
      </c>
      <c r="T630" s="44">
        <f t="shared" si="79"/>
        <v>0</v>
      </c>
      <c r="U630">
        <v>0</v>
      </c>
      <c r="V630" s="43">
        <v>0</v>
      </c>
      <c r="W630" s="44">
        <f t="shared" si="80"/>
        <v>0</v>
      </c>
      <c r="X630" s="44">
        <f t="shared" si="81"/>
        <v>0</v>
      </c>
      <c r="Y630" s="44">
        <f t="shared" si="82"/>
        <v>0</v>
      </c>
      <c r="Z630" s="84"/>
      <c r="AA630" s="78"/>
      <c r="AB630" s="78"/>
      <c r="AC630" s="78"/>
      <c r="AD630" s="78"/>
      <c r="AE630" s="78"/>
    </row>
    <row r="631" spans="1:31" ht="12.75">
      <c r="A631"/>
      <c r="B631"/>
      <c r="C631"/>
      <c r="D631"/>
      <c r="E631"/>
      <c r="F631"/>
      <c r="G631"/>
      <c r="H631"/>
      <c r="I631"/>
      <c r="J631"/>
      <c r="K631" s="100">
        <f t="shared" si="83"/>
        <v>0</v>
      </c>
      <c r="L631" s="95"/>
      <c r="M631" s="90">
        <f t="shared" si="77"/>
        <v>0</v>
      </c>
      <c r="N631" s="56">
        <v>0</v>
      </c>
      <c r="O631" s="44">
        <f t="shared" si="78"/>
        <v>0</v>
      </c>
      <c r="P631" s="44"/>
      <c r="Q631" s="44"/>
      <c r="R631" s="44"/>
      <c r="S631" s="44">
        <f t="shared" si="84"/>
        <v>0</v>
      </c>
      <c r="T631" s="44">
        <f t="shared" si="79"/>
        <v>0</v>
      </c>
      <c r="U631">
        <v>0</v>
      </c>
      <c r="V631" s="43">
        <v>0</v>
      </c>
      <c r="W631" s="44">
        <f t="shared" si="80"/>
        <v>0</v>
      </c>
      <c r="X631" s="44">
        <f t="shared" si="81"/>
        <v>0</v>
      </c>
      <c r="Y631" s="44">
        <f t="shared" si="82"/>
        <v>0</v>
      </c>
      <c r="Z631" s="84"/>
      <c r="AA631" s="78"/>
      <c r="AB631" s="78"/>
      <c r="AC631" s="78"/>
      <c r="AD631" s="78"/>
      <c r="AE631" s="78"/>
    </row>
    <row r="632" spans="1:31" ht="12.75">
      <c r="A632"/>
      <c r="B632"/>
      <c r="C632"/>
      <c r="D632"/>
      <c r="E632"/>
      <c r="F632"/>
      <c r="G632"/>
      <c r="H632"/>
      <c r="I632"/>
      <c r="J632"/>
      <c r="K632" s="100">
        <f t="shared" si="83"/>
        <v>0</v>
      </c>
      <c r="L632" s="95"/>
      <c r="M632" s="90">
        <f t="shared" si="77"/>
        <v>0</v>
      </c>
      <c r="N632" s="56">
        <v>0</v>
      </c>
      <c r="O632" s="44">
        <f t="shared" si="78"/>
        <v>0</v>
      </c>
      <c r="P632" s="44"/>
      <c r="Q632" s="44"/>
      <c r="R632" s="44"/>
      <c r="S632" s="44">
        <f t="shared" si="84"/>
        <v>0</v>
      </c>
      <c r="T632" s="44">
        <f t="shared" si="79"/>
        <v>0</v>
      </c>
      <c r="U632">
        <v>0</v>
      </c>
      <c r="V632" s="43">
        <v>0</v>
      </c>
      <c r="W632" s="44">
        <f t="shared" si="80"/>
        <v>0</v>
      </c>
      <c r="X632" s="44">
        <f t="shared" si="81"/>
        <v>0</v>
      </c>
      <c r="Y632" s="44">
        <f t="shared" si="82"/>
        <v>0</v>
      </c>
      <c r="Z632" s="84"/>
      <c r="AA632" s="78"/>
      <c r="AB632" s="78"/>
      <c r="AC632" s="78"/>
      <c r="AD632" s="78"/>
      <c r="AE632" s="78"/>
    </row>
    <row r="633" spans="1:31" ht="12.75">
      <c r="A633"/>
      <c r="B633"/>
      <c r="C633"/>
      <c r="D633"/>
      <c r="E633"/>
      <c r="F633"/>
      <c r="G633"/>
      <c r="H633"/>
      <c r="I633"/>
      <c r="J633"/>
      <c r="K633" s="100">
        <f t="shared" si="83"/>
        <v>0</v>
      </c>
      <c r="L633" s="95"/>
      <c r="M633" s="90">
        <f t="shared" si="77"/>
        <v>0</v>
      </c>
      <c r="N633" s="56">
        <v>0</v>
      </c>
      <c r="O633" s="44">
        <f t="shared" si="78"/>
        <v>0</v>
      </c>
      <c r="P633" s="44"/>
      <c r="Q633" s="44"/>
      <c r="R633" s="44"/>
      <c r="S633" s="44">
        <f t="shared" si="84"/>
        <v>0</v>
      </c>
      <c r="T633" s="44">
        <f t="shared" si="79"/>
        <v>0</v>
      </c>
      <c r="U633">
        <v>0</v>
      </c>
      <c r="V633" s="43">
        <v>0</v>
      </c>
      <c r="W633" s="44">
        <f t="shared" si="80"/>
        <v>0</v>
      </c>
      <c r="X633" s="44">
        <f t="shared" si="81"/>
        <v>0</v>
      </c>
      <c r="Y633" s="44">
        <f t="shared" si="82"/>
        <v>0</v>
      </c>
      <c r="Z633" s="84"/>
      <c r="AA633" s="78"/>
      <c r="AB633" s="78"/>
      <c r="AC633" s="78"/>
      <c r="AD633" s="78"/>
      <c r="AE633" s="78"/>
    </row>
    <row r="634" spans="1:31" ht="12.75">
      <c r="A634"/>
      <c r="B634"/>
      <c r="C634"/>
      <c r="D634"/>
      <c r="E634"/>
      <c r="F634"/>
      <c r="G634"/>
      <c r="H634"/>
      <c r="I634"/>
      <c r="J634"/>
      <c r="K634" s="100">
        <f t="shared" si="83"/>
        <v>0</v>
      </c>
      <c r="L634" s="95"/>
      <c r="M634" s="90">
        <f t="shared" si="77"/>
        <v>0</v>
      </c>
      <c r="N634" s="56">
        <v>0</v>
      </c>
      <c r="O634" s="44">
        <f t="shared" si="78"/>
        <v>0</v>
      </c>
      <c r="P634" s="44"/>
      <c r="Q634" s="44"/>
      <c r="R634" s="44"/>
      <c r="S634" s="44">
        <f t="shared" si="84"/>
        <v>0</v>
      </c>
      <c r="T634" s="44">
        <f t="shared" si="79"/>
        <v>0</v>
      </c>
      <c r="U634">
        <v>0</v>
      </c>
      <c r="V634" s="43">
        <v>0</v>
      </c>
      <c r="W634" s="44">
        <f t="shared" si="80"/>
        <v>0</v>
      </c>
      <c r="X634" s="44">
        <f t="shared" si="81"/>
        <v>0</v>
      </c>
      <c r="Y634" s="44">
        <f t="shared" si="82"/>
        <v>0</v>
      </c>
      <c r="Z634" s="84"/>
      <c r="AA634" s="78"/>
      <c r="AB634" s="78"/>
      <c r="AC634" s="78"/>
      <c r="AD634" s="78"/>
      <c r="AE634" s="78"/>
    </row>
    <row r="635" spans="1:31" ht="12.75">
      <c r="A635"/>
      <c r="B635"/>
      <c r="C635"/>
      <c r="D635"/>
      <c r="E635"/>
      <c r="F635"/>
      <c r="G635"/>
      <c r="H635"/>
      <c r="I635"/>
      <c r="J635"/>
      <c r="K635" s="100">
        <f t="shared" si="83"/>
        <v>0</v>
      </c>
      <c r="L635" s="95"/>
      <c r="M635" s="90">
        <f t="shared" si="77"/>
        <v>0</v>
      </c>
      <c r="N635" s="56">
        <v>0</v>
      </c>
      <c r="O635" s="44">
        <f t="shared" si="78"/>
        <v>0</v>
      </c>
      <c r="P635" s="44"/>
      <c r="Q635" s="44"/>
      <c r="R635" s="44"/>
      <c r="S635" s="44">
        <f t="shared" si="84"/>
        <v>0</v>
      </c>
      <c r="T635" s="44">
        <f t="shared" si="79"/>
        <v>0</v>
      </c>
      <c r="U635">
        <v>0</v>
      </c>
      <c r="V635" s="43">
        <v>0</v>
      </c>
      <c r="W635" s="44">
        <f t="shared" si="80"/>
        <v>0</v>
      </c>
      <c r="X635" s="44">
        <f t="shared" si="81"/>
        <v>0</v>
      </c>
      <c r="Y635" s="44">
        <f t="shared" si="82"/>
        <v>0</v>
      </c>
      <c r="Z635" s="84"/>
      <c r="AA635" s="78"/>
      <c r="AB635" s="78"/>
      <c r="AC635" s="78"/>
      <c r="AD635" s="78"/>
      <c r="AE635" s="78"/>
    </row>
    <row r="636" spans="1:31" ht="12.75">
      <c r="A636"/>
      <c r="B636"/>
      <c r="C636"/>
      <c r="D636"/>
      <c r="E636"/>
      <c r="F636"/>
      <c r="G636"/>
      <c r="H636"/>
      <c r="I636"/>
      <c r="J636"/>
      <c r="K636" s="100">
        <f t="shared" si="83"/>
        <v>0</v>
      </c>
      <c r="L636" s="95"/>
      <c r="M636" s="90">
        <f t="shared" si="77"/>
        <v>0</v>
      </c>
      <c r="N636" s="56">
        <v>0</v>
      </c>
      <c r="O636" s="44">
        <f t="shared" si="78"/>
        <v>0</v>
      </c>
      <c r="P636" s="44"/>
      <c r="Q636" s="44"/>
      <c r="R636" s="44"/>
      <c r="S636" s="44">
        <f t="shared" si="84"/>
        <v>0</v>
      </c>
      <c r="T636" s="44">
        <f t="shared" si="79"/>
        <v>0</v>
      </c>
      <c r="U636">
        <v>0</v>
      </c>
      <c r="V636" s="43">
        <v>0</v>
      </c>
      <c r="W636" s="44">
        <f t="shared" si="80"/>
        <v>0</v>
      </c>
      <c r="X636" s="44">
        <f t="shared" si="81"/>
        <v>0</v>
      </c>
      <c r="Y636" s="44">
        <f t="shared" si="82"/>
        <v>0</v>
      </c>
      <c r="Z636" s="84"/>
      <c r="AA636" s="78"/>
      <c r="AB636" s="78"/>
      <c r="AC636" s="78"/>
      <c r="AD636" s="78"/>
      <c r="AE636" s="78"/>
    </row>
    <row r="637" spans="1:31" ht="12.75">
      <c r="A637"/>
      <c r="B637"/>
      <c r="C637"/>
      <c r="D637"/>
      <c r="E637"/>
      <c r="F637"/>
      <c r="G637"/>
      <c r="H637"/>
      <c r="I637"/>
      <c r="J637"/>
      <c r="K637" s="100">
        <f t="shared" si="83"/>
        <v>0</v>
      </c>
      <c r="L637" s="95"/>
      <c r="M637" s="90">
        <f t="shared" si="77"/>
        <v>0</v>
      </c>
      <c r="N637" s="56">
        <v>0</v>
      </c>
      <c r="O637" s="44">
        <f t="shared" si="78"/>
        <v>0</v>
      </c>
      <c r="P637" s="44"/>
      <c r="Q637" s="44"/>
      <c r="R637" s="44"/>
      <c r="S637" s="44">
        <f t="shared" si="84"/>
        <v>0</v>
      </c>
      <c r="T637" s="44">
        <f t="shared" si="79"/>
        <v>0</v>
      </c>
      <c r="U637">
        <v>0</v>
      </c>
      <c r="V637" s="43">
        <v>0</v>
      </c>
      <c r="W637" s="44">
        <f t="shared" si="80"/>
        <v>0</v>
      </c>
      <c r="X637" s="44">
        <f t="shared" si="81"/>
        <v>0</v>
      </c>
      <c r="Y637" s="44">
        <f t="shared" si="82"/>
        <v>0</v>
      </c>
      <c r="Z637" s="84"/>
      <c r="AA637" s="78"/>
      <c r="AB637" s="78"/>
      <c r="AC637" s="78"/>
      <c r="AD637" s="78"/>
      <c r="AE637" s="78"/>
    </row>
    <row r="638" spans="1:31" ht="12.75">
      <c r="A638"/>
      <c r="B638"/>
      <c r="C638"/>
      <c r="D638"/>
      <c r="E638"/>
      <c r="F638"/>
      <c r="G638"/>
      <c r="H638"/>
      <c r="I638"/>
      <c r="J638"/>
      <c r="K638" s="100">
        <f t="shared" si="83"/>
        <v>0</v>
      </c>
      <c r="L638" s="95"/>
      <c r="M638" s="90">
        <f t="shared" si="77"/>
        <v>0</v>
      </c>
      <c r="N638" s="56">
        <v>0</v>
      </c>
      <c r="O638" s="44">
        <f t="shared" si="78"/>
        <v>0</v>
      </c>
      <c r="P638" s="44"/>
      <c r="Q638" s="44"/>
      <c r="R638" s="44"/>
      <c r="S638" s="44">
        <f t="shared" si="84"/>
        <v>0</v>
      </c>
      <c r="T638" s="44">
        <f t="shared" si="79"/>
        <v>0</v>
      </c>
      <c r="U638">
        <v>0</v>
      </c>
      <c r="V638" s="43">
        <v>0</v>
      </c>
      <c r="W638" s="44">
        <f t="shared" si="80"/>
        <v>0</v>
      </c>
      <c r="X638" s="44">
        <f t="shared" si="81"/>
        <v>0</v>
      </c>
      <c r="Y638" s="44">
        <f t="shared" si="82"/>
        <v>0</v>
      </c>
      <c r="Z638" s="84"/>
      <c r="AA638" s="78"/>
      <c r="AB638" s="78"/>
      <c r="AC638" s="78"/>
      <c r="AD638" s="78"/>
      <c r="AE638" s="78"/>
    </row>
    <row r="639" spans="1:31" ht="12.75">
      <c r="A639"/>
      <c r="B639"/>
      <c r="C639"/>
      <c r="D639"/>
      <c r="E639"/>
      <c r="F639"/>
      <c r="G639"/>
      <c r="H639"/>
      <c r="I639"/>
      <c r="J639"/>
      <c r="K639" s="100">
        <f t="shared" si="83"/>
        <v>0</v>
      </c>
      <c r="L639" s="95"/>
      <c r="M639" s="90">
        <f t="shared" si="77"/>
        <v>0</v>
      </c>
      <c r="N639" s="56">
        <v>0</v>
      </c>
      <c r="O639" s="44">
        <f t="shared" si="78"/>
        <v>0</v>
      </c>
      <c r="P639" s="44"/>
      <c r="Q639" s="44"/>
      <c r="R639" s="44"/>
      <c r="S639" s="44">
        <f t="shared" si="84"/>
        <v>0</v>
      </c>
      <c r="T639" s="44">
        <f t="shared" si="79"/>
        <v>0</v>
      </c>
      <c r="U639">
        <v>0</v>
      </c>
      <c r="V639" s="43">
        <v>0</v>
      </c>
      <c r="W639" s="44">
        <f t="shared" si="80"/>
        <v>0</v>
      </c>
      <c r="X639" s="44">
        <f t="shared" si="81"/>
        <v>0</v>
      </c>
      <c r="Y639" s="44">
        <f t="shared" si="82"/>
        <v>0</v>
      </c>
      <c r="Z639" s="84"/>
      <c r="AA639" s="78"/>
      <c r="AB639" s="78"/>
      <c r="AC639" s="78"/>
      <c r="AD639" s="78"/>
      <c r="AE639" s="78"/>
    </row>
    <row r="640" spans="1:31" ht="12.75">
      <c r="A640"/>
      <c r="B640"/>
      <c r="C640"/>
      <c r="D640"/>
      <c r="E640"/>
      <c r="F640"/>
      <c r="G640"/>
      <c r="H640"/>
      <c r="I640"/>
      <c r="J640"/>
      <c r="K640" s="100">
        <f t="shared" si="83"/>
        <v>0</v>
      </c>
      <c r="L640" s="95"/>
      <c r="M640" s="90">
        <f t="shared" si="77"/>
        <v>0</v>
      </c>
      <c r="N640" s="56">
        <v>0</v>
      </c>
      <c r="O640" s="44">
        <f t="shared" si="78"/>
        <v>0</v>
      </c>
      <c r="P640" s="44"/>
      <c r="Q640" s="44"/>
      <c r="R640" s="44"/>
      <c r="S640" s="44">
        <f t="shared" si="84"/>
        <v>0</v>
      </c>
      <c r="T640" s="44">
        <f t="shared" si="79"/>
        <v>0</v>
      </c>
      <c r="U640">
        <v>0</v>
      </c>
      <c r="V640" s="43">
        <v>0</v>
      </c>
      <c r="W640" s="44">
        <f t="shared" si="80"/>
        <v>0</v>
      </c>
      <c r="X640" s="44">
        <f t="shared" si="81"/>
        <v>0</v>
      </c>
      <c r="Y640" s="44">
        <f t="shared" si="82"/>
        <v>0</v>
      </c>
      <c r="Z640" s="84"/>
      <c r="AA640" s="78"/>
      <c r="AB640" s="78"/>
      <c r="AC640" s="78"/>
      <c r="AD640" s="78"/>
      <c r="AE640" s="78"/>
    </row>
    <row r="641" spans="1:31" ht="12.75">
      <c r="A641"/>
      <c r="B641"/>
      <c r="C641"/>
      <c r="D641"/>
      <c r="E641"/>
      <c r="F641"/>
      <c r="G641"/>
      <c r="H641"/>
      <c r="I641"/>
      <c r="J641"/>
      <c r="K641" s="100">
        <f t="shared" si="83"/>
        <v>0</v>
      </c>
      <c r="L641" s="95"/>
      <c r="M641" s="90">
        <f t="shared" si="77"/>
        <v>0</v>
      </c>
      <c r="N641" s="56">
        <v>0</v>
      </c>
      <c r="O641" s="44">
        <f t="shared" si="78"/>
        <v>0</v>
      </c>
      <c r="P641" s="44"/>
      <c r="Q641" s="44"/>
      <c r="R641" s="44"/>
      <c r="S641" s="44">
        <f t="shared" si="84"/>
        <v>0</v>
      </c>
      <c r="T641" s="44">
        <f t="shared" si="79"/>
        <v>0</v>
      </c>
      <c r="U641">
        <v>0</v>
      </c>
      <c r="V641" s="43">
        <v>0</v>
      </c>
      <c r="W641" s="44">
        <f t="shared" si="80"/>
        <v>0</v>
      </c>
      <c r="X641" s="44">
        <f t="shared" si="81"/>
        <v>0</v>
      </c>
      <c r="Y641" s="44">
        <f t="shared" si="82"/>
        <v>0</v>
      </c>
      <c r="Z641" s="84"/>
      <c r="AA641" s="78"/>
      <c r="AB641" s="78"/>
      <c r="AC641" s="78"/>
      <c r="AD641" s="78"/>
      <c r="AE641" s="78"/>
    </row>
    <row r="642" spans="1:31" ht="12.75">
      <c r="A642"/>
      <c r="B642"/>
      <c r="C642"/>
      <c r="D642"/>
      <c r="E642"/>
      <c r="F642"/>
      <c r="G642"/>
      <c r="H642"/>
      <c r="I642"/>
      <c r="J642"/>
      <c r="K642" s="100">
        <f t="shared" si="83"/>
        <v>0</v>
      </c>
      <c r="L642" s="95"/>
      <c r="M642" s="90">
        <f t="shared" si="77"/>
        <v>0</v>
      </c>
      <c r="N642" s="56">
        <v>0</v>
      </c>
      <c r="O642" s="44">
        <f t="shared" si="78"/>
        <v>0</v>
      </c>
      <c r="P642" s="44"/>
      <c r="Q642" s="44"/>
      <c r="R642" s="44"/>
      <c r="S642" s="44">
        <f t="shared" si="84"/>
        <v>0</v>
      </c>
      <c r="T642" s="44">
        <f t="shared" si="79"/>
        <v>0</v>
      </c>
      <c r="U642">
        <v>0</v>
      </c>
      <c r="V642" s="43">
        <v>0</v>
      </c>
      <c r="W642" s="44">
        <f t="shared" si="80"/>
        <v>0</v>
      </c>
      <c r="X642" s="44">
        <f t="shared" si="81"/>
        <v>0</v>
      </c>
      <c r="Y642" s="44">
        <f t="shared" si="82"/>
        <v>0</v>
      </c>
      <c r="Z642" s="84"/>
      <c r="AA642" s="78"/>
      <c r="AB642" s="78"/>
      <c r="AC642" s="78"/>
      <c r="AD642" s="78"/>
      <c r="AE642" s="78"/>
    </row>
    <row r="643" spans="1:31" ht="12.75">
      <c r="A643"/>
      <c r="B643"/>
      <c r="C643"/>
      <c r="D643"/>
      <c r="E643"/>
      <c r="F643"/>
      <c r="G643"/>
      <c r="H643"/>
      <c r="I643"/>
      <c r="J643"/>
      <c r="K643" s="100">
        <f t="shared" si="83"/>
        <v>0</v>
      </c>
      <c r="L643" s="95"/>
      <c r="M643" s="90">
        <f t="shared" si="77"/>
        <v>0</v>
      </c>
      <c r="N643" s="56">
        <v>0</v>
      </c>
      <c r="O643" s="44">
        <f t="shared" si="78"/>
        <v>0</v>
      </c>
      <c r="P643" s="44"/>
      <c r="Q643" s="44"/>
      <c r="R643" s="44"/>
      <c r="S643" s="44">
        <f t="shared" si="84"/>
        <v>0</v>
      </c>
      <c r="T643" s="44">
        <f t="shared" si="79"/>
        <v>0</v>
      </c>
      <c r="U643">
        <v>0</v>
      </c>
      <c r="V643" s="43">
        <v>0</v>
      </c>
      <c r="W643" s="44">
        <f t="shared" si="80"/>
        <v>0</v>
      </c>
      <c r="X643" s="44">
        <f t="shared" si="81"/>
        <v>0</v>
      </c>
      <c r="Y643" s="44">
        <f t="shared" si="82"/>
        <v>0</v>
      </c>
      <c r="Z643" s="84"/>
      <c r="AA643" s="78"/>
      <c r="AB643" s="78"/>
      <c r="AC643" s="78"/>
      <c r="AD643" s="78"/>
      <c r="AE643" s="78"/>
    </row>
    <row r="644" spans="1:31" ht="12.75">
      <c r="A644"/>
      <c r="B644"/>
      <c r="C644"/>
      <c r="D644"/>
      <c r="E644"/>
      <c r="F644"/>
      <c r="G644"/>
      <c r="H644"/>
      <c r="I644"/>
      <c r="J644"/>
      <c r="K644" s="100">
        <f t="shared" si="83"/>
        <v>0</v>
      </c>
      <c r="L644" s="95"/>
      <c r="M644" s="90">
        <f t="shared" si="77"/>
        <v>0</v>
      </c>
      <c r="N644" s="56">
        <v>0</v>
      </c>
      <c r="O644" s="44">
        <f t="shared" si="78"/>
        <v>0</v>
      </c>
      <c r="P644" s="44"/>
      <c r="Q644" s="44"/>
      <c r="R644" s="44"/>
      <c r="S644" s="44">
        <f t="shared" si="84"/>
        <v>0</v>
      </c>
      <c r="T644" s="44">
        <f t="shared" si="79"/>
        <v>0</v>
      </c>
      <c r="U644">
        <v>0</v>
      </c>
      <c r="V644" s="43">
        <v>0</v>
      </c>
      <c r="W644" s="44">
        <f t="shared" si="80"/>
        <v>0</v>
      </c>
      <c r="X644" s="44">
        <f t="shared" si="81"/>
        <v>0</v>
      </c>
      <c r="Y644" s="44">
        <f t="shared" si="82"/>
        <v>0</v>
      </c>
      <c r="Z644" s="84"/>
      <c r="AA644" s="78"/>
      <c r="AB644" s="78"/>
      <c r="AC644" s="78"/>
      <c r="AD644" s="78"/>
      <c r="AE644" s="78"/>
    </row>
    <row r="645" spans="1:31" ht="12.75">
      <c r="A645"/>
      <c r="B645"/>
      <c r="C645"/>
      <c r="D645"/>
      <c r="E645"/>
      <c r="F645"/>
      <c r="G645"/>
      <c r="H645"/>
      <c r="I645"/>
      <c r="J645"/>
      <c r="K645" s="100">
        <f t="shared" si="83"/>
        <v>0</v>
      </c>
      <c r="L645" s="95"/>
      <c r="M645" s="90">
        <f t="shared" si="77"/>
        <v>0</v>
      </c>
      <c r="N645" s="56">
        <v>0</v>
      </c>
      <c r="O645" s="44">
        <f t="shared" si="78"/>
        <v>0</v>
      </c>
      <c r="P645" s="44"/>
      <c r="Q645" s="44"/>
      <c r="R645" s="44"/>
      <c r="S645" s="44">
        <f t="shared" si="84"/>
        <v>0</v>
      </c>
      <c r="T645" s="44">
        <f t="shared" si="79"/>
        <v>0</v>
      </c>
      <c r="U645">
        <v>0</v>
      </c>
      <c r="V645" s="43">
        <v>0</v>
      </c>
      <c r="W645" s="44">
        <f t="shared" si="80"/>
        <v>0</v>
      </c>
      <c r="X645" s="44">
        <f t="shared" si="81"/>
        <v>0</v>
      </c>
      <c r="Y645" s="44">
        <f t="shared" si="82"/>
        <v>0</v>
      </c>
      <c r="Z645" s="84"/>
      <c r="AA645" s="78"/>
      <c r="AB645" s="78"/>
      <c r="AC645" s="78"/>
      <c r="AD645" s="78"/>
      <c r="AE645" s="78"/>
    </row>
    <row r="646" spans="1:31" ht="12.75">
      <c r="A646"/>
      <c r="B646"/>
      <c r="C646"/>
      <c r="D646"/>
      <c r="E646"/>
      <c r="F646"/>
      <c r="G646"/>
      <c r="H646"/>
      <c r="I646"/>
      <c r="J646"/>
      <c r="K646" s="100">
        <f t="shared" si="83"/>
        <v>0</v>
      </c>
      <c r="L646" s="95"/>
      <c r="M646" s="90">
        <f t="shared" si="77"/>
        <v>0</v>
      </c>
      <c r="N646" s="56">
        <v>0</v>
      </c>
      <c r="O646" s="44">
        <f t="shared" si="78"/>
        <v>0</v>
      </c>
      <c r="P646" s="44"/>
      <c r="Q646" s="44"/>
      <c r="R646" s="44"/>
      <c r="S646" s="44">
        <f t="shared" si="84"/>
        <v>0</v>
      </c>
      <c r="T646" s="44">
        <f t="shared" si="79"/>
        <v>0</v>
      </c>
      <c r="U646">
        <v>0</v>
      </c>
      <c r="V646" s="43">
        <v>0</v>
      </c>
      <c r="W646" s="44">
        <f t="shared" si="80"/>
        <v>0</v>
      </c>
      <c r="X646" s="44">
        <f t="shared" si="81"/>
        <v>0</v>
      </c>
      <c r="Y646" s="44">
        <f t="shared" si="82"/>
        <v>0</v>
      </c>
      <c r="Z646" s="84"/>
      <c r="AA646" s="78"/>
      <c r="AB646" s="78"/>
      <c r="AC646" s="78"/>
      <c r="AD646" s="78"/>
      <c r="AE646" s="78"/>
    </row>
    <row r="647" spans="1:31" ht="12.75">
      <c r="A647"/>
      <c r="B647"/>
      <c r="C647"/>
      <c r="D647"/>
      <c r="E647"/>
      <c r="F647"/>
      <c r="G647"/>
      <c r="H647"/>
      <c r="I647"/>
      <c r="J647"/>
      <c r="K647" s="100">
        <f t="shared" si="83"/>
        <v>0</v>
      </c>
      <c r="L647" s="95"/>
      <c r="M647" s="90">
        <f t="shared" si="77"/>
        <v>0</v>
      </c>
      <c r="N647" s="56">
        <v>0</v>
      </c>
      <c r="O647" s="44">
        <f t="shared" si="78"/>
        <v>0</v>
      </c>
      <c r="P647" s="44"/>
      <c r="Q647" s="44"/>
      <c r="R647" s="44"/>
      <c r="S647" s="44">
        <f t="shared" si="84"/>
        <v>0</v>
      </c>
      <c r="T647" s="44">
        <f t="shared" si="79"/>
        <v>0</v>
      </c>
      <c r="U647">
        <v>0</v>
      </c>
      <c r="V647" s="43">
        <v>0</v>
      </c>
      <c r="W647" s="44">
        <f t="shared" si="80"/>
        <v>0</v>
      </c>
      <c r="X647" s="44">
        <f t="shared" si="81"/>
        <v>0</v>
      </c>
      <c r="Y647" s="44">
        <f t="shared" si="82"/>
        <v>0</v>
      </c>
      <c r="Z647" s="84"/>
      <c r="AA647" s="78"/>
      <c r="AB647" s="78"/>
      <c r="AC647" s="78"/>
      <c r="AD647" s="78"/>
      <c r="AE647" s="78"/>
    </row>
    <row r="648" spans="1:31" ht="12.75">
      <c r="A648"/>
      <c r="B648"/>
      <c r="C648"/>
      <c r="D648"/>
      <c r="E648"/>
      <c r="F648"/>
      <c r="G648"/>
      <c r="H648"/>
      <c r="I648"/>
      <c r="J648"/>
      <c r="K648" s="100">
        <f t="shared" si="83"/>
        <v>0</v>
      </c>
      <c r="L648" s="95"/>
      <c r="M648" s="90">
        <f t="shared" ref="M648:M711" si="85">ROUND(K648*L648,2)</f>
        <v>0</v>
      </c>
      <c r="N648" s="56">
        <v>0</v>
      </c>
      <c r="O648" s="44">
        <f t="shared" ref="O648:O711" si="86">+M648-(M648*N648)</f>
        <v>0</v>
      </c>
      <c r="P648" s="44"/>
      <c r="Q648" s="44"/>
      <c r="R648" s="44"/>
      <c r="S648" s="44">
        <f t="shared" si="84"/>
        <v>0</v>
      </c>
      <c r="T648" s="44">
        <f t="shared" ref="T648:T711" si="87">+O648+P648+Q648+R648</f>
        <v>0</v>
      </c>
      <c r="U648">
        <v>0</v>
      </c>
      <c r="V648" s="43">
        <v>0</v>
      </c>
      <c r="W648" s="44">
        <f t="shared" ref="W648:W711" si="88">+O648-U648-V648-Z648</f>
        <v>0</v>
      </c>
      <c r="X648" s="44">
        <f t="shared" ref="X648:X711" si="89">(+O648-U648-Z648)*$X$1</f>
        <v>0</v>
      </c>
      <c r="Y648" s="44">
        <f t="shared" ref="Y648:Y711" si="90">+W648-X648</f>
        <v>0</v>
      </c>
      <c r="Z648" s="84"/>
      <c r="AA648" s="78"/>
      <c r="AB648" s="78"/>
      <c r="AC648" s="78"/>
      <c r="AD648" s="78"/>
      <c r="AE648" s="78"/>
    </row>
    <row r="649" spans="1:31" ht="12.75">
      <c r="A649"/>
      <c r="B649"/>
      <c r="C649"/>
      <c r="D649"/>
      <c r="E649"/>
      <c r="F649"/>
      <c r="G649"/>
      <c r="H649"/>
      <c r="I649"/>
      <c r="J649"/>
      <c r="K649" s="100">
        <f t="shared" si="83"/>
        <v>0</v>
      </c>
      <c r="L649" s="95"/>
      <c r="M649" s="90">
        <f t="shared" si="85"/>
        <v>0</v>
      </c>
      <c r="N649" s="56">
        <v>0</v>
      </c>
      <c r="O649" s="44">
        <f t="shared" si="86"/>
        <v>0</v>
      </c>
      <c r="P649" s="44"/>
      <c r="Q649" s="44"/>
      <c r="R649" s="44"/>
      <c r="S649" s="44">
        <f t="shared" si="84"/>
        <v>0</v>
      </c>
      <c r="T649" s="44">
        <f t="shared" si="87"/>
        <v>0</v>
      </c>
      <c r="U649">
        <v>0</v>
      </c>
      <c r="V649" s="43">
        <v>0</v>
      </c>
      <c r="W649" s="44">
        <f t="shared" si="88"/>
        <v>0</v>
      </c>
      <c r="X649" s="44">
        <f t="shared" si="89"/>
        <v>0</v>
      </c>
      <c r="Y649" s="44">
        <f t="shared" si="90"/>
        <v>0</v>
      </c>
      <c r="Z649" s="84"/>
      <c r="AA649" s="78"/>
      <c r="AB649" s="78"/>
      <c r="AC649" s="78"/>
      <c r="AD649" s="78"/>
      <c r="AE649" s="78"/>
    </row>
    <row r="650" spans="1:31" ht="12.75">
      <c r="A650"/>
      <c r="B650"/>
      <c r="C650"/>
      <c r="D650"/>
      <c r="E650"/>
      <c r="F650"/>
      <c r="G650"/>
      <c r="H650"/>
      <c r="I650"/>
      <c r="J650"/>
      <c r="K650" s="100">
        <f t="shared" si="83"/>
        <v>0</v>
      </c>
      <c r="L650" s="95"/>
      <c r="M650" s="90">
        <f t="shared" si="85"/>
        <v>0</v>
      </c>
      <c r="N650" s="56">
        <v>0</v>
      </c>
      <c r="O650" s="44">
        <f t="shared" si="86"/>
        <v>0</v>
      </c>
      <c r="P650" s="44"/>
      <c r="Q650" s="44"/>
      <c r="R650" s="44"/>
      <c r="S650" s="44">
        <f t="shared" si="84"/>
        <v>0</v>
      </c>
      <c r="T650" s="44">
        <f t="shared" si="87"/>
        <v>0</v>
      </c>
      <c r="U650">
        <v>0</v>
      </c>
      <c r="V650" s="43">
        <v>0</v>
      </c>
      <c r="W650" s="44">
        <f t="shared" si="88"/>
        <v>0</v>
      </c>
      <c r="X650" s="44">
        <f t="shared" si="89"/>
        <v>0</v>
      </c>
      <c r="Y650" s="44">
        <f t="shared" si="90"/>
        <v>0</v>
      </c>
      <c r="Z650" s="84"/>
      <c r="AA650" s="78"/>
      <c r="AB650" s="78"/>
      <c r="AC650" s="78"/>
      <c r="AD650" s="78"/>
      <c r="AE650" s="78"/>
    </row>
    <row r="651" spans="1:31" ht="12.75">
      <c r="A651"/>
      <c r="B651"/>
      <c r="C651"/>
      <c r="D651"/>
      <c r="E651"/>
      <c r="F651"/>
      <c r="G651"/>
      <c r="H651"/>
      <c r="I651"/>
      <c r="J651"/>
      <c r="K651" s="100">
        <f t="shared" si="83"/>
        <v>0</v>
      </c>
      <c r="L651" s="95"/>
      <c r="M651" s="90">
        <f t="shared" si="85"/>
        <v>0</v>
      </c>
      <c r="N651" s="56">
        <v>0</v>
      </c>
      <c r="O651" s="44">
        <f t="shared" si="86"/>
        <v>0</v>
      </c>
      <c r="P651" s="44"/>
      <c r="Q651" s="44"/>
      <c r="R651" s="44"/>
      <c r="S651" s="44">
        <f t="shared" si="84"/>
        <v>0</v>
      </c>
      <c r="T651" s="44">
        <f t="shared" si="87"/>
        <v>0</v>
      </c>
      <c r="U651">
        <v>0</v>
      </c>
      <c r="V651" s="43">
        <v>0</v>
      </c>
      <c r="W651" s="44">
        <f t="shared" si="88"/>
        <v>0</v>
      </c>
      <c r="X651" s="44">
        <f t="shared" si="89"/>
        <v>0</v>
      </c>
      <c r="Y651" s="44">
        <f t="shared" si="90"/>
        <v>0</v>
      </c>
      <c r="Z651" s="84"/>
      <c r="AA651" s="78"/>
      <c r="AB651" s="78"/>
      <c r="AC651" s="78"/>
      <c r="AD651" s="78"/>
      <c r="AE651" s="78"/>
    </row>
    <row r="652" spans="1:31" ht="12.75">
      <c r="A652"/>
      <c r="B652"/>
      <c r="C652"/>
      <c r="D652"/>
      <c r="E652"/>
      <c r="F652"/>
      <c r="G652"/>
      <c r="H652"/>
      <c r="I652"/>
      <c r="J652"/>
      <c r="K652" s="100">
        <f t="shared" si="83"/>
        <v>0</v>
      </c>
      <c r="L652" s="95"/>
      <c r="M652" s="90">
        <f t="shared" si="85"/>
        <v>0</v>
      </c>
      <c r="N652" s="56">
        <v>0</v>
      </c>
      <c r="O652" s="44">
        <f t="shared" si="86"/>
        <v>0</v>
      </c>
      <c r="P652" s="44"/>
      <c r="Q652" s="44"/>
      <c r="R652" s="44"/>
      <c r="S652" s="44">
        <f t="shared" si="84"/>
        <v>0</v>
      </c>
      <c r="T652" s="44">
        <f t="shared" si="87"/>
        <v>0</v>
      </c>
      <c r="U652">
        <v>0</v>
      </c>
      <c r="V652" s="43">
        <v>0</v>
      </c>
      <c r="W652" s="44">
        <f t="shared" si="88"/>
        <v>0</v>
      </c>
      <c r="X652" s="44">
        <f t="shared" si="89"/>
        <v>0</v>
      </c>
      <c r="Y652" s="44">
        <f t="shared" si="90"/>
        <v>0</v>
      </c>
      <c r="Z652" s="84"/>
      <c r="AA652" s="78"/>
      <c r="AB652" s="78"/>
      <c r="AC652" s="78"/>
      <c r="AD652" s="78"/>
      <c r="AE652" s="78"/>
    </row>
    <row r="653" spans="1:31" ht="12.75">
      <c r="A653"/>
      <c r="B653"/>
      <c r="C653"/>
      <c r="D653"/>
      <c r="E653"/>
      <c r="F653"/>
      <c r="G653"/>
      <c r="H653"/>
      <c r="I653"/>
      <c r="J653"/>
      <c r="K653" s="100">
        <f t="shared" si="83"/>
        <v>0</v>
      </c>
      <c r="L653" s="95"/>
      <c r="M653" s="90">
        <f t="shared" si="85"/>
        <v>0</v>
      </c>
      <c r="N653" s="56">
        <v>0</v>
      </c>
      <c r="O653" s="44">
        <f t="shared" si="86"/>
        <v>0</v>
      </c>
      <c r="P653" s="44"/>
      <c r="Q653" s="44"/>
      <c r="R653" s="44"/>
      <c r="S653" s="44">
        <f t="shared" si="84"/>
        <v>0</v>
      </c>
      <c r="T653" s="44">
        <f t="shared" si="87"/>
        <v>0</v>
      </c>
      <c r="U653">
        <v>0</v>
      </c>
      <c r="V653" s="43">
        <v>0</v>
      </c>
      <c r="W653" s="44">
        <f t="shared" si="88"/>
        <v>0</v>
      </c>
      <c r="X653" s="44">
        <f t="shared" si="89"/>
        <v>0</v>
      </c>
      <c r="Y653" s="44">
        <f t="shared" si="90"/>
        <v>0</v>
      </c>
      <c r="Z653" s="84"/>
      <c r="AA653" s="78"/>
      <c r="AB653" s="78"/>
      <c r="AC653" s="78"/>
      <c r="AD653" s="78"/>
      <c r="AE653" s="78"/>
    </row>
    <row r="654" spans="1:31" ht="12.75">
      <c r="A654"/>
      <c r="B654"/>
      <c r="C654"/>
      <c r="D654"/>
      <c r="E654"/>
      <c r="F654"/>
      <c r="G654"/>
      <c r="H654"/>
      <c r="I654"/>
      <c r="J654"/>
      <c r="K654" s="100">
        <f t="shared" si="83"/>
        <v>0</v>
      </c>
      <c r="L654" s="95"/>
      <c r="M654" s="90">
        <f t="shared" si="85"/>
        <v>0</v>
      </c>
      <c r="N654" s="56">
        <v>0</v>
      </c>
      <c r="O654" s="44">
        <f t="shared" si="86"/>
        <v>0</v>
      </c>
      <c r="P654" s="44"/>
      <c r="Q654" s="44"/>
      <c r="R654" s="44"/>
      <c r="S654" s="44">
        <f t="shared" si="84"/>
        <v>0</v>
      </c>
      <c r="T654" s="44">
        <f t="shared" si="87"/>
        <v>0</v>
      </c>
      <c r="U654">
        <v>0</v>
      </c>
      <c r="V654" s="43">
        <v>0</v>
      </c>
      <c r="W654" s="44">
        <f t="shared" si="88"/>
        <v>0</v>
      </c>
      <c r="X654" s="44">
        <f t="shared" si="89"/>
        <v>0</v>
      </c>
      <c r="Y654" s="44">
        <f t="shared" si="90"/>
        <v>0</v>
      </c>
      <c r="Z654" s="84"/>
      <c r="AA654" s="78"/>
      <c r="AB654" s="78"/>
      <c r="AC654" s="78"/>
      <c r="AD654" s="78"/>
      <c r="AE654" s="78"/>
    </row>
    <row r="655" spans="1:31" ht="12.75">
      <c r="A655"/>
      <c r="B655"/>
      <c r="C655"/>
      <c r="D655"/>
      <c r="E655"/>
      <c r="F655"/>
      <c r="G655"/>
      <c r="H655"/>
      <c r="I655"/>
      <c r="J655"/>
      <c r="K655" s="100">
        <f t="shared" si="83"/>
        <v>0</v>
      </c>
      <c r="L655" s="95"/>
      <c r="M655" s="90">
        <f t="shared" si="85"/>
        <v>0</v>
      </c>
      <c r="N655" s="56">
        <v>0</v>
      </c>
      <c r="O655" s="44">
        <f t="shared" si="86"/>
        <v>0</v>
      </c>
      <c r="P655" s="44"/>
      <c r="Q655" s="44"/>
      <c r="R655" s="44"/>
      <c r="S655" s="44">
        <f t="shared" si="84"/>
        <v>0</v>
      </c>
      <c r="T655" s="44">
        <f t="shared" si="87"/>
        <v>0</v>
      </c>
      <c r="U655">
        <v>0</v>
      </c>
      <c r="V655" s="43">
        <v>0</v>
      </c>
      <c r="W655" s="44">
        <f t="shared" si="88"/>
        <v>0</v>
      </c>
      <c r="X655" s="44">
        <f t="shared" si="89"/>
        <v>0</v>
      </c>
      <c r="Y655" s="44">
        <f t="shared" si="90"/>
        <v>0</v>
      </c>
      <c r="Z655" s="84"/>
      <c r="AA655" s="78"/>
      <c r="AB655" s="78"/>
      <c r="AC655" s="78"/>
      <c r="AD655" s="78"/>
      <c r="AE655" s="78"/>
    </row>
    <row r="656" spans="1:31" ht="12.75">
      <c r="A656"/>
      <c r="B656"/>
      <c r="C656"/>
      <c r="D656"/>
      <c r="E656"/>
      <c r="F656"/>
      <c r="G656"/>
      <c r="H656"/>
      <c r="I656"/>
      <c r="J656"/>
      <c r="K656" s="100">
        <f t="shared" si="83"/>
        <v>0</v>
      </c>
      <c r="L656" s="95"/>
      <c r="M656" s="90">
        <f t="shared" si="85"/>
        <v>0</v>
      </c>
      <c r="N656" s="56">
        <v>0</v>
      </c>
      <c r="O656" s="44">
        <f t="shared" si="86"/>
        <v>0</v>
      </c>
      <c r="P656" s="44"/>
      <c r="Q656" s="44"/>
      <c r="R656" s="44"/>
      <c r="S656" s="44">
        <f t="shared" si="84"/>
        <v>0</v>
      </c>
      <c r="T656" s="44">
        <f t="shared" si="87"/>
        <v>0</v>
      </c>
      <c r="U656">
        <v>0</v>
      </c>
      <c r="V656" s="43">
        <v>0</v>
      </c>
      <c r="W656" s="44">
        <f t="shared" si="88"/>
        <v>0</v>
      </c>
      <c r="X656" s="44">
        <f t="shared" si="89"/>
        <v>0</v>
      </c>
      <c r="Y656" s="44">
        <f t="shared" si="90"/>
        <v>0</v>
      </c>
      <c r="Z656" s="84"/>
      <c r="AA656" s="78"/>
      <c r="AB656" s="78"/>
      <c r="AC656" s="78"/>
      <c r="AD656" s="78"/>
      <c r="AE656" s="78"/>
    </row>
    <row r="657" spans="1:31" ht="12.75">
      <c r="A657"/>
      <c r="B657"/>
      <c r="C657"/>
      <c r="D657"/>
      <c r="E657"/>
      <c r="F657"/>
      <c r="G657"/>
      <c r="H657"/>
      <c r="I657"/>
      <c r="J657"/>
      <c r="K657" s="100">
        <f t="shared" si="83"/>
        <v>0</v>
      </c>
      <c r="L657" s="95"/>
      <c r="M657" s="90">
        <f t="shared" si="85"/>
        <v>0</v>
      </c>
      <c r="N657" s="56">
        <v>0</v>
      </c>
      <c r="O657" s="44">
        <f t="shared" si="86"/>
        <v>0</v>
      </c>
      <c r="P657" s="44"/>
      <c r="Q657" s="44"/>
      <c r="R657" s="44"/>
      <c r="S657" s="44">
        <f t="shared" si="84"/>
        <v>0</v>
      </c>
      <c r="T657" s="44">
        <f t="shared" si="87"/>
        <v>0</v>
      </c>
      <c r="U657">
        <v>0</v>
      </c>
      <c r="V657" s="43">
        <v>0</v>
      </c>
      <c r="W657" s="44">
        <f t="shared" si="88"/>
        <v>0</v>
      </c>
      <c r="X657" s="44">
        <f t="shared" si="89"/>
        <v>0</v>
      </c>
      <c r="Y657" s="44">
        <f t="shared" si="90"/>
        <v>0</v>
      </c>
      <c r="Z657" s="84"/>
      <c r="AA657" s="78"/>
      <c r="AB657" s="78"/>
      <c r="AC657" s="78"/>
      <c r="AD657" s="78"/>
      <c r="AE657" s="78"/>
    </row>
    <row r="658" spans="1:31" ht="12.75">
      <c r="A658"/>
      <c r="B658"/>
      <c r="C658"/>
      <c r="D658"/>
      <c r="E658"/>
      <c r="F658"/>
      <c r="G658"/>
      <c r="H658"/>
      <c r="I658"/>
      <c r="J658"/>
      <c r="K658" s="100">
        <f t="shared" si="83"/>
        <v>0</v>
      </c>
      <c r="L658" s="95"/>
      <c r="M658" s="90">
        <f t="shared" si="85"/>
        <v>0</v>
      </c>
      <c r="N658" s="56">
        <v>0</v>
      </c>
      <c r="O658" s="44">
        <f t="shared" si="86"/>
        <v>0</v>
      </c>
      <c r="P658" s="44"/>
      <c r="Q658" s="44"/>
      <c r="R658" s="44"/>
      <c r="S658" s="44">
        <f t="shared" si="84"/>
        <v>0</v>
      </c>
      <c r="T658" s="44">
        <f t="shared" si="87"/>
        <v>0</v>
      </c>
      <c r="U658">
        <v>0</v>
      </c>
      <c r="V658" s="43">
        <v>0</v>
      </c>
      <c r="W658" s="44">
        <f t="shared" si="88"/>
        <v>0</v>
      </c>
      <c r="X658" s="44">
        <f t="shared" si="89"/>
        <v>0</v>
      </c>
      <c r="Y658" s="44">
        <f t="shared" si="90"/>
        <v>0</v>
      </c>
      <c r="Z658" s="84"/>
      <c r="AA658" s="78"/>
      <c r="AB658" s="78"/>
      <c r="AC658" s="78"/>
      <c r="AD658" s="78"/>
      <c r="AE658" s="78"/>
    </row>
    <row r="659" spans="1:31" ht="12.75">
      <c r="A659"/>
      <c r="B659"/>
      <c r="C659"/>
      <c r="D659"/>
      <c r="E659"/>
      <c r="F659"/>
      <c r="G659"/>
      <c r="H659"/>
      <c r="I659"/>
      <c r="J659"/>
      <c r="K659" s="100">
        <f t="shared" si="83"/>
        <v>0</v>
      </c>
      <c r="L659" s="95"/>
      <c r="M659" s="90">
        <f t="shared" si="85"/>
        <v>0</v>
      </c>
      <c r="N659" s="56">
        <v>0</v>
      </c>
      <c r="O659" s="44">
        <f t="shared" si="86"/>
        <v>0</v>
      </c>
      <c r="P659" s="44"/>
      <c r="Q659" s="44"/>
      <c r="R659" s="44"/>
      <c r="S659" s="44">
        <f t="shared" si="84"/>
        <v>0</v>
      </c>
      <c r="T659" s="44">
        <f t="shared" si="87"/>
        <v>0</v>
      </c>
      <c r="U659">
        <v>0</v>
      </c>
      <c r="V659" s="43">
        <v>0</v>
      </c>
      <c r="W659" s="44">
        <f t="shared" si="88"/>
        <v>0</v>
      </c>
      <c r="X659" s="44">
        <f t="shared" si="89"/>
        <v>0</v>
      </c>
      <c r="Y659" s="44">
        <f t="shared" si="90"/>
        <v>0</v>
      </c>
      <c r="Z659" s="84"/>
      <c r="AA659" s="78"/>
      <c r="AB659" s="78"/>
      <c r="AC659" s="78"/>
      <c r="AD659" s="78"/>
      <c r="AE659" s="78"/>
    </row>
    <row r="660" spans="1:31" ht="12.75">
      <c r="A660"/>
      <c r="B660"/>
      <c r="C660"/>
      <c r="D660"/>
      <c r="E660"/>
      <c r="F660"/>
      <c r="G660"/>
      <c r="H660"/>
      <c r="I660"/>
      <c r="J660"/>
      <c r="K660" s="100">
        <f t="shared" si="83"/>
        <v>0</v>
      </c>
      <c r="L660" s="95"/>
      <c r="M660" s="90">
        <f t="shared" si="85"/>
        <v>0</v>
      </c>
      <c r="N660" s="56">
        <v>0</v>
      </c>
      <c r="O660" s="44">
        <f t="shared" si="86"/>
        <v>0</v>
      </c>
      <c r="P660" s="44"/>
      <c r="Q660" s="44"/>
      <c r="R660" s="44"/>
      <c r="S660" s="44">
        <f t="shared" si="84"/>
        <v>0</v>
      </c>
      <c r="T660" s="44">
        <f t="shared" si="87"/>
        <v>0</v>
      </c>
      <c r="U660">
        <v>0</v>
      </c>
      <c r="V660" s="43">
        <v>0</v>
      </c>
      <c r="W660" s="44">
        <f t="shared" si="88"/>
        <v>0</v>
      </c>
      <c r="X660" s="44">
        <f t="shared" si="89"/>
        <v>0</v>
      </c>
      <c r="Y660" s="44">
        <f t="shared" si="90"/>
        <v>0</v>
      </c>
      <c r="Z660" s="84"/>
      <c r="AA660" s="78"/>
      <c r="AB660" s="78"/>
      <c r="AC660" s="78"/>
      <c r="AD660" s="78"/>
      <c r="AE660" s="78"/>
    </row>
    <row r="661" spans="1:31" ht="12.75">
      <c r="A661"/>
      <c r="B661"/>
      <c r="C661"/>
      <c r="D661"/>
      <c r="E661"/>
      <c r="F661"/>
      <c r="G661"/>
      <c r="H661"/>
      <c r="I661"/>
      <c r="J661"/>
      <c r="K661" s="100">
        <f t="shared" ref="K661:K724" si="91">+I661*J661</f>
        <v>0</v>
      </c>
      <c r="L661" s="95"/>
      <c r="M661" s="90">
        <f t="shared" si="85"/>
        <v>0</v>
      </c>
      <c r="N661" s="56">
        <v>0</v>
      </c>
      <c r="O661" s="44">
        <f t="shared" si="86"/>
        <v>0</v>
      </c>
      <c r="P661" s="44"/>
      <c r="Q661" s="44"/>
      <c r="R661" s="44"/>
      <c r="S661" s="44">
        <f t="shared" ref="S661:S724" si="92">IF(R661="y",+P661*0.01,0)</f>
        <v>0</v>
      </c>
      <c r="T661" s="44">
        <f t="shared" si="87"/>
        <v>0</v>
      </c>
      <c r="U661">
        <v>0</v>
      </c>
      <c r="V661" s="43">
        <v>0</v>
      </c>
      <c r="W661" s="44">
        <f t="shared" si="88"/>
        <v>0</v>
      </c>
      <c r="X661" s="44">
        <f t="shared" si="89"/>
        <v>0</v>
      </c>
      <c r="Y661" s="44">
        <f t="shared" si="90"/>
        <v>0</v>
      </c>
      <c r="Z661" s="84"/>
      <c r="AA661" s="78"/>
      <c r="AB661" s="78"/>
      <c r="AC661" s="78"/>
      <c r="AD661" s="78"/>
      <c r="AE661" s="78"/>
    </row>
    <row r="662" spans="1:31" ht="12.75">
      <c r="A662"/>
      <c r="B662"/>
      <c r="C662"/>
      <c r="D662"/>
      <c r="E662"/>
      <c r="F662"/>
      <c r="G662"/>
      <c r="H662"/>
      <c r="I662"/>
      <c r="J662"/>
      <c r="K662" s="100">
        <f t="shared" si="91"/>
        <v>0</v>
      </c>
      <c r="L662" s="95"/>
      <c r="M662" s="90">
        <f t="shared" si="85"/>
        <v>0</v>
      </c>
      <c r="N662" s="56">
        <v>0</v>
      </c>
      <c r="O662" s="44">
        <f t="shared" si="86"/>
        <v>0</v>
      </c>
      <c r="P662" s="44"/>
      <c r="Q662" s="44"/>
      <c r="R662" s="44"/>
      <c r="S662" s="44">
        <f t="shared" si="92"/>
        <v>0</v>
      </c>
      <c r="T662" s="44">
        <f t="shared" si="87"/>
        <v>0</v>
      </c>
      <c r="U662">
        <v>0</v>
      </c>
      <c r="V662" s="43">
        <v>0</v>
      </c>
      <c r="W662" s="44">
        <f t="shared" si="88"/>
        <v>0</v>
      </c>
      <c r="X662" s="44">
        <f t="shared" si="89"/>
        <v>0</v>
      </c>
      <c r="Y662" s="44">
        <f t="shared" si="90"/>
        <v>0</v>
      </c>
      <c r="Z662" s="84"/>
      <c r="AA662" s="78"/>
      <c r="AB662" s="78"/>
      <c r="AC662" s="78"/>
      <c r="AD662" s="78"/>
      <c r="AE662" s="78"/>
    </row>
    <row r="663" spans="1:31" ht="12.75">
      <c r="A663"/>
      <c r="B663"/>
      <c r="C663"/>
      <c r="D663"/>
      <c r="E663"/>
      <c r="F663"/>
      <c r="G663"/>
      <c r="H663"/>
      <c r="I663"/>
      <c r="J663"/>
      <c r="K663" s="100">
        <f t="shared" si="91"/>
        <v>0</v>
      </c>
      <c r="L663" s="95"/>
      <c r="M663" s="90">
        <f t="shared" si="85"/>
        <v>0</v>
      </c>
      <c r="N663" s="56">
        <v>0</v>
      </c>
      <c r="O663" s="44">
        <f t="shared" si="86"/>
        <v>0</v>
      </c>
      <c r="P663" s="44"/>
      <c r="Q663" s="44"/>
      <c r="R663" s="44"/>
      <c r="S663" s="44">
        <f t="shared" si="92"/>
        <v>0</v>
      </c>
      <c r="T663" s="44">
        <f t="shared" si="87"/>
        <v>0</v>
      </c>
      <c r="U663">
        <v>0</v>
      </c>
      <c r="V663" s="43">
        <v>0</v>
      </c>
      <c r="W663" s="44">
        <f t="shared" si="88"/>
        <v>0</v>
      </c>
      <c r="X663" s="44">
        <f t="shared" si="89"/>
        <v>0</v>
      </c>
      <c r="Y663" s="44">
        <f t="shared" si="90"/>
        <v>0</v>
      </c>
      <c r="Z663" s="84"/>
      <c r="AA663" s="78"/>
      <c r="AB663" s="78"/>
      <c r="AC663" s="78"/>
      <c r="AD663" s="78"/>
      <c r="AE663" s="78"/>
    </row>
    <row r="664" spans="1:31" ht="12.75">
      <c r="A664"/>
      <c r="B664"/>
      <c r="C664"/>
      <c r="D664"/>
      <c r="E664"/>
      <c r="F664"/>
      <c r="G664"/>
      <c r="H664"/>
      <c r="I664"/>
      <c r="J664"/>
      <c r="K664" s="100">
        <f t="shared" si="91"/>
        <v>0</v>
      </c>
      <c r="L664" s="95"/>
      <c r="M664" s="90">
        <f t="shared" si="85"/>
        <v>0</v>
      </c>
      <c r="N664" s="56">
        <v>0</v>
      </c>
      <c r="O664" s="44">
        <f t="shared" si="86"/>
        <v>0</v>
      </c>
      <c r="P664" s="44"/>
      <c r="Q664" s="44"/>
      <c r="R664" s="44"/>
      <c r="S664" s="44">
        <f t="shared" si="92"/>
        <v>0</v>
      </c>
      <c r="T664" s="44">
        <f t="shared" si="87"/>
        <v>0</v>
      </c>
      <c r="U664">
        <v>0</v>
      </c>
      <c r="V664" s="43">
        <v>0</v>
      </c>
      <c r="W664" s="44">
        <f t="shared" si="88"/>
        <v>0</v>
      </c>
      <c r="X664" s="44">
        <f t="shared" si="89"/>
        <v>0</v>
      </c>
      <c r="Y664" s="44">
        <f t="shared" si="90"/>
        <v>0</v>
      </c>
      <c r="Z664" s="84"/>
      <c r="AA664" s="78"/>
      <c r="AB664" s="78"/>
      <c r="AC664" s="78"/>
      <c r="AD664" s="78"/>
      <c r="AE664" s="78"/>
    </row>
    <row r="665" spans="1:31" ht="12.75">
      <c r="A665"/>
      <c r="B665"/>
      <c r="C665"/>
      <c r="D665"/>
      <c r="E665"/>
      <c r="F665"/>
      <c r="G665"/>
      <c r="H665"/>
      <c r="I665"/>
      <c r="J665"/>
      <c r="K665" s="100">
        <f t="shared" si="91"/>
        <v>0</v>
      </c>
      <c r="L665" s="95"/>
      <c r="M665" s="90">
        <f t="shared" si="85"/>
        <v>0</v>
      </c>
      <c r="N665" s="56">
        <v>0</v>
      </c>
      <c r="O665" s="44">
        <f t="shared" si="86"/>
        <v>0</v>
      </c>
      <c r="P665" s="44"/>
      <c r="Q665" s="44"/>
      <c r="R665" s="44"/>
      <c r="S665" s="44">
        <f t="shared" si="92"/>
        <v>0</v>
      </c>
      <c r="T665" s="44">
        <f t="shared" si="87"/>
        <v>0</v>
      </c>
      <c r="U665">
        <v>0</v>
      </c>
      <c r="V665" s="43">
        <v>0</v>
      </c>
      <c r="W665" s="44">
        <f t="shared" si="88"/>
        <v>0</v>
      </c>
      <c r="X665" s="44">
        <f t="shared" si="89"/>
        <v>0</v>
      </c>
      <c r="Y665" s="44">
        <f t="shared" si="90"/>
        <v>0</v>
      </c>
      <c r="Z665" s="84"/>
      <c r="AA665" s="78"/>
      <c r="AB665" s="78"/>
      <c r="AC665" s="78"/>
      <c r="AD665" s="78"/>
      <c r="AE665" s="78"/>
    </row>
    <row r="666" spans="1:31" ht="12.75">
      <c r="A666"/>
      <c r="B666"/>
      <c r="C666"/>
      <c r="D666"/>
      <c r="E666"/>
      <c r="F666"/>
      <c r="G666"/>
      <c r="H666"/>
      <c r="I666"/>
      <c r="J666"/>
      <c r="K666" s="100">
        <f t="shared" si="91"/>
        <v>0</v>
      </c>
      <c r="L666" s="95"/>
      <c r="M666" s="90">
        <f t="shared" si="85"/>
        <v>0</v>
      </c>
      <c r="N666" s="56">
        <v>0</v>
      </c>
      <c r="O666" s="44">
        <f t="shared" si="86"/>
        <v>0</v>
      </c>
      <c r="P666" s="44"/>
      <c r="Q666" s="44"/>
      <c r="R666" s="44"/>
      <c r="S666" s="44">
        <f t="shared" si="92"/>
        <v>0</v>
      </c>
      <c r="T666" s="44">
        <f t="shared" si="87"/>
        <v>0</v>
      </c>
      <c r="U666">
        <v>0</v>
      </c>
      <c r="V666" s="43">
        <v>0</v>
      </c>
      <c r="W666" s="44">
        <f t="shared" si="88"/>
        <v>0</v>
      </c>
      <c r="X666" s="44">
        <f t="shared" si="89"/>
        <v>0</v>
      </c>
      <c r="Y666" s="44">
        <f t="shared" si="90"/>
        <v>0</v>
      </c>
      <c r="Z666" s="84"/>
      <c r="AA666" s="78"/>
      <c r="AB666" s="78"/>
      <c r="AC666" s="78"/>
      <c r="AD666" s="78"/>
      <c r="AE666" s="78"/>
    </row>
    <row r="667" spans="1:31" ht="12.75">
      <c r="A667"/>
      <c r="B667"/>
      <c r="C667"/>
      <c r="D667"/>
      <c r="E667"/>
      <c r="F667"/>
      <c r="G667"/>
      <c r="H667"/>
      <c r="I667"/>
      <c r="J667"/>
      <c r="K667" s="100">
        <f t="shared" si="91"/>
        <v>0</v>
      </c>
      <c r="L667" s="95"/>
      <c r="M667" s="90">
        <f t="shared" si="85"/>
        <v>0</v>
      </c>
      <c r="N667" s="56">
        <v>0</v>
      </c>
      <c r="O667" s="44">
        <f t="shared" si="86"/>
        <v>0</v>
      </c>
      <c r="P667" s="44"/>
      <c r="Q667" s="44"/>
      <c r="R667" s="44"/>
      <c r="S667" s="44">
        <f t="shared" si="92"/>
        <v>0</v>
      </c>
      <c r="T667" s="44">
        <f t="shared" si="87"/>
        <v>0</v>
      </c>
      <c r="U667">
        <v>0</v>
      </c>
      <c r="V667" s="43">
        <v>0</v>
      </c>
      <c r="W667" s="44">
        <f t="shared" si="88"/>
        <v>0</v>
      </c>
      <c r="X667" s="44">
        <f t="shared" si="89"/>
        <v>0</v>
      </c>
      <c r="Y667" s="44">
        <f t="shared" si="90"/>
        <v>0</v>
      </c>
      <c r="Z667" s="84"/>
      <c r="AA667" s="78"/>
      <c r="AB667" s="78"/>
      <c r="AC667" s="78"/>
      <c r="AD667" s="78"/>
      <c r="AE667" s="78"/>
    </row>
    <row r="668" spans="1:31" ht="12.75">
      <c r="A668"/>
      <c r="B668"/>
      <c r="C668"/>
      <c r="D668"/>
      <c r="E668"/>
      <c r="F668"/>
      <c r="G668"/>
      <c r="H668"/>
      <c r="I668"/>
      <c r="J668"/>
      <c r="K668" s="100">
        <f t="shared" si="91"/>
        <v>0</v>
      </c>
      <c r="L668" s="95"/>
      <c r="M668" s="90">
        <f t="shared" si="85"/>
        <v>0</v>
      </c>
      <c r="N668" s="56">
        <v>0</v>
      </c>
      <c r="O668" s="44">
        <f t="shared" si="86"/>
        <v>0</v>
      </c>
      <c r="P668" s="44"/>
      <c r="Q668" s="44"/>
      <c r="R668" s="44"/>
      <c r="S668" s="44">
        <f t="shared" si="92"/>
        <v>0</v>
      </c>
      <c r="T668" s="44">
        <f t="shared" si="87"/>
        <v>0</v>
      </c>
      <c r="U668">
        <v>0</v>
      </c>
      <c r="V668" s="43">
        <v>0</v>
      </c>
      <c r="W668" s="44">
        <f t="shared" si="88"/>
        <v>0</v>
      </c>
      <c r="X668" s="44">
        <f t="shared" si="89"/>
        <v>0</v>
      </c>
      <c r="Y668" s="44">
        <f t="shared" si="90"/>
        <v>0</v>
      </c>
      <c r="Z668" s="84"/>
      <c r="AA668" s="78"/>
      <c r="AB668" s="78"/>
      <c r="AC668" s="78"/>
      <c r="AD668" s="78"/>
      <c r="AE668" s="78"/>
    </row>
    <row r="669" spans="1:31" ht="12.75">
      <c r="A669"/>
      <c r="B669"/>
      <c r="C669"/>
      <c r="D669"/>
      <c r="E669"/>
      <c r="F669"/>
      <c r="G669"/>
      <c r="H669"/>
      <c r="I669"/>
      <c r="J669"/>
      <c r="K669" s="100">
        <f t="shared" si="91"/>
        <v>0</v>
      </c>
      <c r="L669" s="95"/>
      <c r="M669" s="90">
        <f t="shared" si="85"/>
        <v>0</v>
      </c>
      <c r="N669" s="56">
        <v>0</v>
      </c>
      <c r="O669" s="44">
        <f t="shared" si="86"/>
        <v>0</v>
      </c>
      <c r="P669" s="44"/>
      <c r="Q669" s="44"/>
      <c r="R669" s="44"/>
      <c r="S669" s="44">
        <f t="shared" si="92"/>
        <v>0</v>
      </c>
      <c r="T669" s="44">
        <f t="shared" si="87"/>
        <v>0</v>
      </c>
      <c r="U669">
        <v>0</v>
      </c>
      <c r="V669" s="43">
        <v>0</v>
      </c>
      <c r="W669" s="44">
        <f t="shared" si="88"/>
        <v>0</v>
      </c>
      <c r="X669" s="44">
        <f t="shared" si="89"/>
        <v>0</v>
      </c>
      <c r="Y669" s="44">
        <f t="shared" si="90"/>
        <v>0</v>
      </c>
      <c r="Z669" s="84"/>
      <c r="AA669" s="78"/>
      <c r="AB669" s="78"/>
      <c r="AC669" s="78"/>
      <c r="AD669" s="78"/>
      <c r="AE669" s="78"/>
    </row>
    <row r="670" spans="1:31" ht="12.75">
      <c r="A670"/>
      <c r="B670"/>
      <c r="C670"/>
      <c r="D670"/>
      <c r="E670"/>
      <c r="F670"/>
      <c r="G670"/>
      <c r="H670"/>
      <c r="I670"/>
      <c r="J670"/>
      <c r="K670" s="100">
        <f t="shared" si="91"/>
        <v>0</v>
      </c>
      <c r="L670" s="95"/>
      <c r="M670" s="90">
        <f t="shared" si="85"/>
        <v>0</v>
      </c>
      <c r="N670" s="56">
        <v>0</v>
      </c>
      <c r="O670" s="44">
        <f t="shared" si="86"/>
        <v>0</v>
      </c>
      <c r="P670" s="44"/>
      <c r="Q670" s="44"/>
      <c r="R670" s="44"/>
      <c r="S670" s="44">
        <f t="shared" si="92"/>
        <v>0</v>
      </c>
      <c r="T670" s="44">
        <f t="shared" si="87"/>
        <v>0</v>
      </c>
      <c r="U670">
        <v>0</v>
      </c>
      <c r="V670" s="43">
        <v>0</v>
      </c>
      <c r="W670" s="44">
        <f t="shared" si="88"/>
        <v>0</v>
      </c>
      <c r="X670" s="44">
        <f t="shared" si="89"/>
        <v>0</v>
      </c>
      <c r="Y670" s="44">
        <f t="shared" si="90"/>
        <v>0</v>
      </c>
      <c r="Z670" s="84"/>
      <c r="AA670" s="78"/>
      <c r="AB670" s="78"/>
      <c r="AC670" s="78"/>
      <c r="AD670" s="78"/>
      <c r="AE670" s="78"/>
    </row>
    <row r="671" spans="1:31" ht="12.75">
      <c r="A671"/>
      <c r="B671"/>
      <c r="C671"/>
      <c r="D671"/>
      <c r="E671"/>
      <c r="F671"/>
      <c r="G671"/>
      <c r="H671"/>
      <c r="I671"/>
      <c r="J671"/>
      <c r="K671" s="100">
        <f t="shared" si="91"/>
        <v>0</v>
      </c>
      <c r="L671" s="95"/>
      <c r="M671" s="90">
        <f t="shared" si="85"/>
        <v>0</v>
      </c>
      <c r="N671" s="56">
        <v>0</v>
      </c>
      <c r="O671" s="44">
        <f t="shared" si="86"/>
        <v>0</v>
      </c>
      <c r="P671" s="44"/>
      <c r="Q671" s="44"/>
      <c r="R671" s="44"/>
      <c r="S671" s="44">
        <f t="shared" si="92"/>
        <v>0</v>
      </c>
      <c r="T671" s="44">
        <f t="shared" si="87"/>
        <v>0</v>
      </c>
      <c r="U671">
        <v>0</v>
      </c>
      <c r="V671" s="43">
        <v>0</v>
      </c>
      <c r="W671" s="44">
        <f t="shared" si="88"/>
        <v>0</v>
      </c>
      <c r="X671" s="44">
        <f t="shared" si="89"/>
        <v>0</v>
      </c>
      <c r="Y671" s="44">
        <f t="shared" si="90"/>
        <v>0</v>
      </c>
      <c r="Z671" s="84"/>
      <c r="AA671" s="78"/>
      <c r="AB671" s="78"/>
      <c r="AC671" s="78"/>
      <c r="AD671" s="78"/>
      <c r="AE671" s="78"/>
    </row>
    <row r="672" spans="1:31" ht="12.75">
      <c r="A672"/>
      <c r="B672"/>
      <c r="C672"/>
      <c r="D672"/>
      <c r="E672"/>
      <c r="F672"/>
      <c r="G672"/>
      <c r="H672"/>
      <c r="I672"/>
      <c r="J672"/>
      <c r="K672" s="100">
        <f t="shared" si="91"/>
        <v>0</v>
      </c>
      <c r="L672" s="95"/>
      <c r="M672" s="90">
        <f t="shared" si="85"/>
        <v>0</v>
      </c>
      <c r="N672" s="56">
        <v>0</v>
      </c>
      <c r="O672" s="44">
        <f t="shared" si="86"/>
        <v>0</v>
      </c>
      <c r="P672" s="44"/>
      <c r="Q672" s="44"/>
      <c r="R672" s="44"/>
      <c r="S672" s="44">
        <f t="shared" si="92"/>
        <v>0</v>
      </c>
      <c r="T672" s="44">
        <f t="shared" si="87"/>
        <v>0</v>
      </c>
      <c r="U672">
        <v>0</v>
      </c>
      <c r="V672" s="43">
        <v>0</v>
      </c>
      <c r="W672" s="44">
        <f t="shared" si="88"/>
        <v>0</v>
      </c>
      <c r="X672" s="44">
        <f t="shared" si="89"/>
        <v>0</v>
      </c>
      <c r="Y672" s="44">
        <f t="shared" si="90"/>
        <v>0</v>
      </c>
      <c r="Z672" s="84"/>
      <c r="AA672" s="78"/>
      <c r="AB672" s="78"/>
      <c r="AC672" s="78"/>
      <c r="AD672" s="78"/>
      <c r="AE672" s="78"/>
    </row>
    <row r="673" spans="1:31" ht="12.75">
      <c r="A673"/>
      <c r="B673"/>
      <c r="C673"/>
      <c r="D673"/>
      <c r="E673"/>
      <c r="F673"/>
      <c r="G673"/>
      <c r="H673"/>
      <c r="I673"/>
      <c r="J673"/>
      <c r="K673" s="100">
        <f t="shared" si="91"/>
        <v>0</v>
      </c>
      <c r="L673" s="95"/>
      <c r="M673" s="90">
        <f t="shared" si="85"/>
        <v>0</v>
      </c>
      <c r="N673" s="56">
        <v>0</v>
      </c>
      <c r="O673" s="44">
        <f t="shared" si="86"/>
        <v>0</v>
      </c>
      <c r="P673" s="44"/>
      <c r="Q673" s="44"/>
      <c r="R673" s="44"/>
      <c r="S673" s="44">
        <f t="shared" si="92"/>
        <v>0</v>
      </c>
      <c r="T673" s="44">
        <f t="shared" si="87"/>
        <v>0</v>
      </c>
      <c r="U673">
        <v>0</v>
      </c>
      <c r="V673" s="43">
        <v>0</v>
      </c>
      <c r="W673" s="44">
        <f t="shared" si="88"/>
        <v>0</v>
      </c>
      <c r="X673" s="44">
        <f t="shared" si="89"/>
        <v>0</v>
      </c>
      <c r="Y673" s="44">
        <f t="shared" si="90"/>
        <v>0</v>
      </c>
      <c r="Z673" s="84"/>
      <c r="AA673" s="78"/>
      <c r="AB673" s="78"/>
      <c r="AC673" s="78"/>
      <c r="AD673" s="78"/>
      <c r="AE673" s="78"/>
    </row>
    <row r="674" spans="1:31" ht="12.75">
      <c r="A674"/>
      <c r="B674"/>
      <c r="C674"/>
      <c r="D674"/>
      <c r="E674"/>
      <c r="F674"/>
      <c r="G674"/>
      <c r="H674"/>
      <c r="I674"/>
      <c r="J674"/>
      <c r="K674" s="100">
        <f t="shared" si="91"/>
        <v>0</v>
      </c>
      <c r="L674" s="95"/>
      <c r="M674" s="90">
        <f t="shared" si="85"/>
        <v>0</v>
      </c>
      <c r="N674" s="56">
        <v>0</v>
      </c>
      <c r="O674" s="44">
        <f t="shared" si="86"/>
        <v>0</v>
      </c>
      <c r="P674" s="44"/>
      <c r="Q674" s="44"/>
      <c r="R674" s="44"/>
      <c r="S674" s="44">
        <f t="shared" si="92"/>
        <v>0</v>
      </c>
      <c r="T674" s="44">
        <f t="shared" si="87"/>
        <v>0</v>
      </c>
      <c r="U674">
        <v>0</v>
      </c>
      <c r="V674" s="43">
        <v>0</v>
      </c>
      <c r="W674" s="44">
        <f t="shared" si="88"/>
        <v>0</v>
      </c>
      <c r="X674" s="44">
        <f t="shared" si="89"/>
        <v>0</v>
      </c>
      <c r="Y674" s="44">
        <f t="shared" si="90"/>
        <v>0</v>
      </c>
      <c r="Z674" s="84"/>
      <c r="AA674" s="78"/>
      <c r="AB674" s="78"/>
      <c r="AC674" s="78"/>
      <c r="AD674" s="78"/>
      <c r="AE674" s="78"/>
    </row>
    <row r="675" spans="1:31" ht="12.75">
      <c r="A675"/>
      <c r="B675"/>
      <c r="C675"/>
      <c r="D675"/>
      <c r="E675"/>
      <c r="F675"/>
      <c r="G675"/>
      <c r="H675"/>
      <c r="I675"/>
      <c r="J675"/>
      <c r="K675" s="100">
        <f t="shared" si="91"/>
        <v>0</v>
      </c>
      <c r="L675" s="95"/>
      <c r="M675" s="90">
        <f t="shared" si="85"/>
        <v>0</v>
      </c>
      <c r="N675" s="56">
        <v>0</v>
      </c>
      <c r="O675" s="44">
        <f t="shared" si="86"/>
        <v>0</v>
      </c>
      <c r="P675" s="44"/>
      <c r="Q675" s="44"/>
      <c r="R675" s="44"/>
      <c r="S675" s="44">
        <f t="shared" si="92"/>
        <v>0</v>
      </c>
      <c r="T675" s="44">
        <f t="shared" si="87"/>
        <v>0</v>
      </c>
      <c r="U675">
        <v>0</v>
      </c>
      <c r="V675" s="43">
        <v>0</v>
      </c>
      <c r="W675" s="44">
        <f t="shared" si="88"/>
        <v>0</v>
      </c>
      <c r="X675" s="44">
        <f t="shared" si="89"/>
        <v>0</v>
      </c>
      <c r="Y675" s="44">
        <f t="shared" si="90"/>
        <v>0</v>
      </c>
      <c r="Z675" s="84"/>
      <c r="AA675" s="78"/>
      <c r="AB675" s="78"/>
      <c r="AC675" s="78"/>
      <c r="AD675" s="78"/>
      <c r="AE675" s="78"/>
    </row>
    <row r="676" spans="1:31" ht="12.75">
      <c r="A676"/>
      <c r="B676"/>
      <c r="C676"/>
      <c r="D676"/>
      <c r="E676"/>
      <c r="F676"/>
      <c r="G676"/>
      <c r="H676"/>
      <c r="I676"/>
      <c r="J676"/>
      <c r="K676" s="100">
        <f t="shared" si="91"/>
        <v>0</v>
      </c>
      <c r="L676" s="95"/>
      <c r="M676" s="90">
        <f t="shared" si="85"/>
        <v>0</v>
      </c>
      <c r="N676" s="56">
        <v>0</v>
      </c>
      <c r="O676" s="44">
        <f t="shared" si="86"/>
        <v>0</v>
      </c>
      <c r="P676" s="44"/>
      <c r="Q676" s="44"/>
      <c r="R676" s="44"/>
      <c r="S676" s="44">
        <f t="shared" si="92"/>
        <v>0</v>
      </c>
      <c r="T676" s="44">
        <f t="shared" si="87"/>
        <v>0</v>
      </c>
      <c r="U676">
        <v>0</v>
      </c>
      <c r="V676" s="43">
        <v>0</v>
      </c>
      <c r="W676" s="44">
        <f t="shared" si="88"/>
        <v>0</v>
      </c>
      <c r="X676" s="44">
        <f t="shared" si="89"/>
        <v>0</v>
      </c>
      <c r="Y676" s="44">
        <f t="shared" si="90"/>
        <v>0</v>
      </c>
      <c r="Z676" s="84"/>
      <c r="AA676" s="78"/>
      <c r="AB676" s="78"/>
      <c r="AC676" s="78"/>
      <c r="AD676" s="78"/>
      <c r="AE676" s="78"/>
    </row>
    <row r="677" spans="1:31" ht="12.75">
      <c r="A677"/>
      <c r="B677"/>
      <c r="C677"/>
      <c r="D677"/>
      <c r="E677"/>
      <c r="F677"/>
      <c r="G677"/>
      <c r="H677"/>
      <c r="I677"/>
      <c r="J677"/>
      <c r="K677" s="100">
        <f t="shared" si="91"/>
        <v>0</v>
      </c>
      <c r="L677" s="95"/>
      <c r="M677" s="90">
        <f t="shared" si="85"/>
        <v>0</v>
      </c>
      <c r="N677" s="56">
        <v>0</v>
      </c>
      <c r="O677" s="44">
        <f t="shared" si="86"/>
        <v>0</v>
      </c>
      <c r="P677" s="44"/>
      <c r="Q677" s="44"/>
      <c r="R677" s="44"/>
      <c r="S677" s="44">
        <f t="shared" si="92"/>
        <v>0</v>
      </c>
      <c r="T677" s="44">
        <f t="shared" si="87"/>
        <v>0</v>
      </c>
      <c r="U677">
        <v>0</v>
      </c>
      <c r="V677" s="43">
        <v>0</v>
      </c>
      <c r="W677" s="44">
        <f t="shared" si="88"/>
        <v>0</v>
      </c>
      <c r="X677" s="44">
        <f t="shared" si="89"/>
        <v>0</v>
      </c>
      <c r="Y677" s="44">
        <f t="shared" si="90"/>
        <v>0</v>
      </c>
      <c r="Z677" s="84"/>
      <c r="AA677" s="78"/>
      <c r="AB677" s="78"/>
      <c r="AC677" s="78"/>
      <c r="AD677" s="78"/>
      <c r="AE677" s="78"/>
    </row>
    <row r="678" spans="1:31" ht="12.75">
      <c r="A678"/>
      <c r="B678"/>
      <c r="C678"/>
      <c r="D678"/>
      <c r="E678"/>
      <c r="F678"/>
      <c r="G678"/>
      <c r="H678"/>
      <c r="I678"/>
      <c r="J678"/>
      <c r="K678" s="100">
        <f t="shared" si="91"/>
        <v>0</v>
      </c>
      <c r="L678" s="95"/>
      <c r="M678" s="90">
        <f t="shared" si="85"/>
        <v>0</v>
      </c>
      <c r="N678" s="56">
        <v>0</v>
      </c>
      <c r="O678" s="44">
        <f t="shared" si="86"/>
        <v>0</v>
      </c>
      <c r="P678" s="44"/>
      <c r="Q678" s="44"/>
      <c r="R678" s="44"/>
      <c r="S678" s="44">
        <f t="shared" si="92"/>
        <v>0</v>
      </c>
      <c r="T678" s="44">
        <f t="shared" si="87"/>
        <v>0</v>
      </c>
      <c r="U678">
        <v>0</v>
      </c>
      <c r="V678" s="43">
        <v>0</v>
      </c>
      <c r="W678" s="44">
        <f t="shared" si="88"/>
        <v>0</v>
      </c>
      <c r="X678" s="44">
        <f t="shared" si="89"/>
        <v>0</v>
      </c>
      <c r="Y678" s="44">
        <f t="shared" si="90"/>
        <v>0</v>
      </c>
      <c r="Z678" s="84"/>
      <c r="AA678" s="78"/>
      <c r="AB678" s="78"/>
      <c r="AC678" s="78"/>
      <c r="AD678" s="78"/>
      <c r="AE678" s="78"/>
    </row>
    <row r="679" spans="1:31" ht="12.75">
      <c r="A679"/>
      <c r="B679"/>
      <c r="C679"/>
      <c r="D679"/>
      <c r="E679"/>
      <c r="F679"/>
      <c r="G679"/>
      <c r="H679"/>
      <c r="I679"/>
      <c r="J679"/>
      <c r="K679" s="100">
        <f t="shared" si="91"/>
        <v>0</v>
      </c>
      <c r="L679" s="95"/>
      <c r="M679" s="90">
        <f t="shared" si="85"/>
        <v>0</v>
      </c>
      <c r="N679" s="56">
        <v>0</v>
      </c>
      <c r="O679" s="44">
        <f t="shared" si="86"/>
        <v>0</v>
      </c>
      <c r="P679" s="44"/>
      <c r="Q679" s="44"/>
      <c r="R679" s="44"/>
      <c r="S679" s="44">
        <f t="shared" si="92"/>
        <v>0</v>
      </c>
      <c r="T679" s="44">
        <f t="shared" si="87"/>
        <v>0</v>
      </c>
      <c r="U679">
        <v>0</v>
      </c>
      <c r="V679" s="43">
        <v>0</v>
      </c>
      <c r="W679" s="44">
        <f t="shared" si="88"/>
        <v>0</v>
      </c>
      <c r="X679" s="44">
        <f t="shared" si="89"/>
        <v>0</v>
      </c>
      <c r="Y679" s="44">
        <f t="shared" si="90"/>
        <v>0</v>
      </c>
      <c r="Z679" s="84"/>
      <c r="AA679" s="78"/>
      <c r="AB679" s="78"/>
      <c r="AC679" s="78"/>
      <c r="AD679" s="78"/>
      <c r="AE679" s="78"/>
    </row>
    <row r="680" spans="1:31" ht="12.75">
      <c r="A680"/>
      <c r="B680"/>
      <c r="C680"/>
      <c r="D680"/>
      <c r="E680"/>
      <c r="F680"/>
      <c r="G680"/>
      <c r="H680"/>
      <c r="I680"/>
      <c r="J680"/>
      <c r="K680" s="100">
        <f t="shared" si="91"/>
        <v>0</v>
      </c>
      <c r="L680" s="95"/>
      <c r="M680" s="90">
        <f t="shared" si="85"/>
        <v>0</v>
      </c>
      <c r="N680" s="56">
        <v>0</v>
      </c>
      <c r="O680" s="44">
        <f t="shared" si="86"/>
        <v>0</v>
      </c>
      <c r="P680" s="44"/>
      <c r="Q680" s="44"/>
      <c r="R680" s="44"/>
      <c r="S680" s="44">
        <f t="shared" si="92"/>
        <v>0</v>
      </c>
      <c r="T680" s="44">
        <f t="shared" si="87"/>
        <v>0</v>
      </c>
      <c r="U680">
        <v>0</v>
      </c>
      <c r="V680" s="43">
        <v>0</v>
      </c>
      <c r="W680" s="44">
        <f t="shared" si="88"/>
        <v>0</v>
      </c>
      <c r="X680" s="44">
        <f t="shared" si="89"/>
        <v>0</v>
      </c>
      <c r="Y680" s="44">
        <f t="shared" si="90"/>
        <v>0</v>
      </c>
      <c r="Z680" s="84"/>
      <c r="AA680" s="78"/>
      <c r="AB680" s="78"/>
      <c r="AC680" s="78"/>
      <c r="AD680" s="78"/>
      <c r="AE680" s="78"/>
    </row>
    <row r="681" spans="1:31" ht="12.75">
      <c r="A681"/>
      <c r="B681"/>
      <c r="C681"/>
      <c r="D681"/>
      <c r="E681"/>
      <c r="F681"/>
      <c r="G681"/>
      <c r="H681"/>
      <c r="I681"/>
      <c r="J681"/>
      <c r="K681" s="100">
        <f t="shared" si="91"/>
        <v>0</v>
      </c>
      <c r="L681" s="95"/>
      <c r="M681" s="90">
        <f t="shared" si="85"/>
        <v>0</v>
      </c>
      <c r="N681" s="56">
        <v>0</v>
      </c>
      <c r="O681" s="44">
        <f t="shared" si="86"/>
        <v>0</v>
      </c>
      <c r="P681" s="44"/>
      <c r="Q681" s="44"/>
      <c r="R681" s="44"/>
      <c r="S681" s="44">
        <f t="shared" si="92"/>
        <v>0</v>
      </c>
      <c r="T681" s="44">
        <f t="shared" si="87"/>
        <v>0</v>
      </c>
      <c r="U681">
        <v>0</v>
      </c>
      <c r="V681" s="43">
        <v>0</v>
      </c>
      <c r="W681" s="44">
        <f t="shared" si="88"/>
        <v>0</v>
      </c>
      <c r="X681" s="44">
        <f t="shared" si="89"/>
        <v>0</v>
      </c>
      <c r="Y681" s="44">
        <f t="shared" si="90"/>
        <v>0</v>
      </c>
      <c r="Z681" s="84"/>
      <c r="AA681" s="78"/>
      <c r="AB681" s="78"/>
      <c r="AC681" s="78"/>
      <c r="AD681" s="78"/>
      <c r="AE681" s="78"/>
    </row>
    <row r="682" spans="1:31" ht="12.75">
      <c r="A682"/>
      <c r="B682"/>
      <c r="C682"/>
      <c r="D682"/>
      <c r="E682"/>
      <c r="F682"/>
      <c r="G682"/>
      <c r="H682"/>
      <c r="I682"/>
      <c r="J682"/>
      <c r="K682" s="100">
        <f t="shared" si="91"/>
        <v>0</v>
      </c>
      <c r="L682" s="95"/>
      <c r="M682" s="90">
        <f t="shared" si="85"/>
        <v>0</v>
      </c>
      <c r="N682" s="56">
        <v>0</v>
      </c>
      <c r="O682" s="44">
        <f t="shared" si="86"/>
        <v>0</v>
      </c>
      <c r="P682" s="44"/>
      <c r="Q682" s="44"/>
      <c r="R682" s="44"/>
      <c r="S682" s="44">
        <f t="shared" si="92"/>
        <v>0</v>
      </c>
      <c r="T682" s="44">
        <f t="shared" si="87"/>
        <v>0</v>
      </c>
      <c r="U682">
        <v>0</v>
      </c>
      <c r="V682" s="43">
        <v>0</v>
      </c>
      <c r="W682" s="44">
        <f t="shared" si="88"/>
        <v>0</v>
      </c>
      <c r="X682" s="44">
        <f t="shared" si="89"/>
        <v>0</v>
      </c>
      <c r="Y682" s="44">
        <f t="shared" si="90"/>
        <v>0</v>
      </c>
      <c r="Z682" s="84"/>
      <c r="AA682" s="78"/>
      <c r="AB682" s="78"/>
      <c r="AC682" s="78"/>
      <c r="AD682" s="78"/>
      <c r="AE682" s="78"/>
    </row>
    <row r="683" spans="1:31" ht="12.75">
      <c r="A683"/>
      <c r="B683"/>
      <c r="C683"/>
      <c r="D683"/>
      <c r="E683"/>
      <c r="F683"/>
      <c r="G683"/>
      <c r="H683"/>
      <c r="I683"/>
      <c r="J683"/>
      <c r="K683" s="100">
        <f t="shared" si="91"/>
        <v>0</v>
      </c>
      <c r="L683" s="95"/>
      <c r="M683" s="90">
        <f t="shared" si="85"/>
        <v>0</v>
      </c>
      <c r="N683" s="56">
        <v>0</v>
      </c>
      <c r="O683" s="44">
        <f t="shared" si="86"/>
        <v>0</v>
      </c>
      <c r="P683" s="44"/>
      <c r="Q683" s="44"/>
      <c r="R683" s="44"/>
      <c r="S683" s="44">
        <f t="shared" si="92"/>
        <v>0</v>
      </c>
      <c r="T683" s="44">
        <f t="shared" si="87"/>
        <v>0</v>
      </c>
      <c r="U683">
        <v>0</v>
      </c>
      <c r="V683" s="43">
        <v>0</v>
      </c>
      <c r="W683" s="44">
        <f t="shared" si="88"/>
        <v>0</v>
      </c>
      <c r="X683" s="44">
        <f t="shared" si="89"/>
        <v>0</v>
      </c>
      <c r="Y683" s="44">
        <f t="shared" si="90"/>
        <v>0</v>
      </c>
      <c r="Z683" s="84"/>
      <c r="AA683" s="78"/>
      <c r="AB683" s="78"/>
      <c r="AC683" s="78"/>
      <c r="AD683" s="78"/>
      <c r="AE683" s="78"/>
    </row>
    <row r="684" spans="1:31" ht="12.75">
      <c r="A684"/>
      <c r="B684"/>
      <c r="C684"/>
      <c r="D684"/>
      <c r="E684"/>
      <c r="F684"/>
      <c r="G684"/>
      <c r="H684"/>
      <c r="I684"/>
      <c r="J684"/>
      <c r="K684" s="100">
        <f t="shared" si="91"/>
        <v>0</v>
      </c>
      <c r="L684" s="95"/>
      <c r="M684" s="90">
        <f t="shared" si="85"/>
        <v>0</v>
      </c>
      <c r="N684" s="56">
        <v>0</v>
      </c>
      <c r="O684" s="44">
        <f t="shared" si="86"/>
        <v>0</v>
      </c>
      <c r="P684" s="44"/>
      <c r="Q684" s="44"/>
      <c r="R684" s="44"/>
      <c r="S684" s="44">
        <f t="shared" si="92"/>
        <v>0</v>
      </c>
      <c r="T684" s="44">
        <f t="shared" si="87"/>
        <v>0</v>
      </c>
      <c r="U684">
        <v>0</v>
      </c>
      <c r="V684" s="43">
        <v>0</v>
      </c>
      <c r="W684" s="44">
        <f t="shared" si="88"/>
        <v>0</v>
      </c>
      <c r="X684" s="44">
        <f t="shared" si="89"/>
        <v>0</v>
      </c>
      <c r="Y684" s="44">
        <f t="shared" si="90"/>
        <v>0</v>
      </c>
      <c r="Z684" s="84"/>
      <c r="AA684" s="78"/>
      <c r="AB684" s="78"/>
      <c r="AC684" s="78"/>
      <c r="AD684" s="78"/>
      <c r="AE684" s="78"/>
    </row>
    <row r="685" spans="1:31" ht="12.75">
      <c r="A685"/>
      <c r="B685"/>
      <c r="C685"/>
      <c r="D685"/>
      <c r="E685"/>
      <c r="F685"/>
      <c r="G685"/>
      <c r="H685"/>
      <c r="I685"/>
      <c r="J685"/>
      <c r="K685" s="100">
        <f t="shared" si="91"/>
        <v>0</v>
      </c>
      <c r="L685" s="95"/>
      <c r="M685" s="90">
        <f t="shared" si="85"/>
        <v>0</v>
      </c>
      <c r="N685" s="56">
        <v>0</v>
      </c>
      <c r="O685" s="44">
        <f t="shared" si="86"/>
        <v>0</v>
      </c>
      <c r="P685" s="44"/>
      <c r="Q685" s="44"/>
      <c r="R685" s="44"/>
      <c r="S685" s="44">
        <f t="shared" si="92"/>
        <v>0</v>
      </c>
      <c r="T685" s="44">
        <f t="shared" si="87"/>
        <v>0</v>
      </c>
      <c r="U685">
        <v>0</v>
      </c>
      <c r="V685" s="43">
        <v>0</v>
      </c>
      <c r="W685" s="44">
        <f t="shared" si="88"/>
        <v>0</v>
      </c>
      <c r="X685" s="44">
        <f t="shared" si="89"/>
        <v>0</v>
      </c>
      <c r="Y685" s="44">
        <f t="shared" si="90"/>
        <v>0</v>
      </c>
      <c r="Z685" s="84"/>
      <c r="AA685" s="78"/>
      <c r="AB685" s="78"/>
      <c r="AC685" s="78"/>
      <c r="AD685" s="78"/>
      <c r="AE685" s="78"/>
    </row>
    <row r="686" spans="1:31" ht="12.75">
      <c r="A686"/>
      <c r="B686"/>
      <c r="C686"/>
      <c r="D686"/>
      <c r="E686"/>
      <c r="F686"/>
      <c r="G686"/>
      <c r="H686"/>
      <c r="I686"/>
      <c r="J686"/>
      <c r="K686" s="100">
        <f t="shared" si="91"/>
        <v>0</v>
      </c>
      <c r="L686" s="95"/>
      <c r="M686" s="90">
        <f t="shared" si="85"/>
        <v>0</v>
      </c>
      <c r="N686" s="56">
        <v>0</v>
      </c>
      <c r="O686" s="44">
        <f t="shared" si="86"/>
        <v>0</v>
      </c>
      <c r="P686" s="44"/>
      <c r="Q686" s="44"/>
      <c r="R686" s="44"/>
      <c r="S686" s="44">
        <f t="shared" si="92"/>
        <v>0</v>
      </c>
      <c r="T686" s="44">
        <f t="shared" si="87"/>
        <v>0</v>
      </c>
      <c r="U686">
        <v>0</v>
      </c>
      <c r="V686" s="43">
        <v>0</v>
      </c>
      <c r="W686" s="44">
        <f t="shared" si="88"/>
        <v>0</v>
      </c>
      <c r="X686" s="44">
        <f t="shared" si="89"/>
        <v>0</v>
      </c>
      <c r="Y686" s="44">
        <f t="shared" si="90"/>
        <v>0</v>
      </c>
      <c r="Z686" s="84"/>
      <c r="AA686" s="78"/>
      <c r="AB686" s="78"/>
      <c r="AC686" s="78"/>
      <c r="AD686" s="78"/>
      <c r="AE686" s="78"/>
    </row>
    <row r="687" spans="1:31" ht="12.75">
      <c r="A687"/>
      <c r="B687"/>
      <c r="C687"/>
      <c r="D687"/>
      <c r="E687"/>
      <c r="F687"/>
      <c r="G687"/>
      <c r="H687"/>
      <c r="I687"/>
      <c r="J687"/>
      <c r="K687" s="100">
        <f t="shared" si="91"/>
        <v>0</v>
      </c>
      <c r="L687" s="95"/>
      <c r="M687" s="90">
        <f t="shared" si="85"/>
        <v>0</v>
      </c>
      <c r="N687" s="56">
        <v>0</v>
      </c>
      <c r="O687" s="44">
        <f t="shared" si="86"/>
        <v>0</v>
      </c>
      <c r="P687" s="44"/>
      <c r="Q687" s="44"/>
      <c r="R687" s="44"/>
      <c r="S687" s="44">
        <f t="shared" si="92"/>
        <v>0</v>
      </c>
      <c r="T687" s="44">
        <f t="shared" si="87"/>
        <v>0</v>
      </c>
      <c r="U687">
        <v>0</v>
      </c>
      <c r="V687" s="43">
        <v>0</v>
      </c>
      <c r="W687" s="44">
        <f t="shared" si="88"/>
        <v>0</v>
      </c>
      <c r="X687" s="44">
        <f t="shared" si="89"/>
        <v>0</v>
      </c>
      <c r="Y687" s="44">
        <f t="shared" si="90"/>
        <v>0</v>
      </c>
      <c r="Z687" s="84"/>
      <c r="AA687" s="78"/>
      <c r="AB687" s="78"/>
      <c r="AC687" s="78"/>
      <c r="AD687" s="78"/>
      <c r="AE687" s="78"/>
    </row>
    <row r="688" spans="1:31" ht="12.75">
      <c r="A688"/>
      <c r="B688"/>
      <c r="C688"/>
      <c r="D688"/>
      <c r="E688"/>
      <c r="F688"/>
      <c r="G688"/>
      <c r="H688"/>
      <c r="I688"/>
      <c r="J688"/>
      <c r="K688" s="100">
        <f t="shared" si="91"/>
        <v>0</v>
      </c>
      <c r="L688" s="95"/>
      <c r="M688" s="90">
        <f t="shared" si="85"/>
        <v>0</v>
      </c>
      <c r="N688" s="56">
        <v>0</v>
      </c>
      <c r="O688" s="44">
        <f t="shared" si="86"/>
        <v>0</v>
      </c>
      <c r="P688" s="44"/>
      <c r="Q688" s="44"/>
      <c r="R688" s="44"/>
      <c r="S688" s="44">
        <f t="shared" si="92"/>
        <v>0</v>
      </c>
      <c r="T688" s="44">
        <f t="shared" si="87"/>
        <v>0</v>
      </c>
      <c r="U688">
        <v>0</v>
      </c>
      <c r="V688" s="43">
        <v>0</v>
      </c>
      <c r="W688" s="44">
        <f t="shared" si="88"/>
        <v>0</v>
      </c>
      <c r="X688" s="44">
        <f t="shared" si="89"/>
        <v>0</v>
      </c>
      <c r="Y688" s="44">
        <f t="shared" si="90"/>
        <v>0</v>
      </c>
      <c r="Z688" s="84"/>
      <c r="AA688" s="78"/>
      <c r="AB688" s="78"/>
      <c r="AC688" s="78"/>
      <c r="AD688" s="78"/>
      <c r="AE688" s="78"/>
    </row>
    <row r="689" spans="1:31" ht="12.75">
      <c r="A689"/>
      <c r="B689"/>
      <c r="C689"/>
      <c r="D689"/>
      <c r="E689"/>
      <c r="F689"/>
      <c r="G689"/>
      <c r="H689"/>
      <c r="I689"/>
      <c r="J689"/>
      <c r="K689" s="100">
        <f t="shared" si="91"/>
        <v>0</v>
      </c>
      <c r="L689" s="95"/>
      <c r="M689" s="90">
        <f t="shared" si="85"/>
        <v>0</v>
      </c>
      <c r="N689" s="56">
        <v>0</v>
      </c>
      <c r="O689" s="44">
        <f t="shared" si="86"/>
        <v>0</v>
      </c>
      <c r="P689" s="44"/>
      <c r="Q689" s="44"/>
      <c r="R689" s="44"/>
      <c r="S689" s="44">
        <f t="shared" si="92"/>
        <v>0</v>
      </c>
      <c r="T689" s="44">
        <f t="shared" si="87"/>
        <v>0</v>
      </c>
      <c r="U689">
        <v>0</v>
      </c>
      <c r="V689" s="43">
        <v>0</v>
      </c>
      <c r="W689" s="44">
        <f t="shared" si="88"/>
        <v>0</v>
      </c>
      <c r="X689" s="44">
        <f t="shared" si="89"/>
        <v>0</v>
      </c>
      <c r="Y689" s="44">
        <f t="shared" si="90"/>
        <v>0</v>
      </c>
      <c r="Z689" s="84"/>
      <c r="AA689" s="78"/>
      <c r="AB689" s="78"/>
      <c r="AC689" s="78"/>
      <c r="AD689" s="78"/>
      <c r="AE689" s="78"/>
    </row>
    <row r="690" spans="1:31" ht="12.75">
      <c r="A690"/>
      <c r="B690"/>
      <c r="C690"/>
      <c r="D690"/>
      <c r="E690"/>
      <c r="F690"/>
      <c r="G690"/>
      <c r="H690"/>
      <c r="I690"/>
      <c r="J690"/>
      <c r="K690" s="100">
        <f t="shared" si="91"/>
        <v>0</v>
      </c>
      <c r="L690" s="95"/>
      <c r="M690" s="90">
        <f t="shared" si="85"/>
        <v>0</v>
      </c>
      <c r="N690" s="56">
        <v>0</v>
      </c>
      <c r="O690" s="44">
        <f t="shared" si="86"/>
        <v>0</v>
      </c>
      <c r="P690" s="44"/>
      <c r="Q690" s="44"/>
      <c r="R690" s="44"/>
      <c r="S690" s="44">
        <f t="shared" si="92"/>
        <v>0</v>
      </c>
      <c r="T690" s="44">
        <f t="shared" si="87"/>
        <v>0</v>
      </c>
      <c r="U690">
        <v>0</v>
      </c>
      <c r="V690" s="43">
        <v>0</v>
      </c>
      <c r="W690" s="44">
        <f t="shared" si="88"/>
        <v>0</v>
      </c>
      <c r="X690" s="44">
        <f t="shared" si="89"/>
        <v>0</v>
      </c>
      <c r="Y690" s="44">
        <f t="shared" si="90"/>
        <v>0</v>
      </c>
      <c r="Z690" s="84"/>
      <c r="AA690" s="78"/>
      <c r="AB690" s="78"/>
      <c r="AC690" s="78"/>
      <c r="AD690" s="78"/>
      <c r="AE690" s="78"/>
    </row>
    <row r="691" spans="1:31" ht="12.75">
      <c r="A691"/>
      <c r="B691"/>
      <c r="C691"/>
      <c r="D691"/>
      <c r="E691"/>
      <c r="F691"/>
      <c r="G691"/>
      <c r="H691"/>
      <c r="I691"/>
      <c r="J691"/>
      <c r="K691" s="100">
        <f t="shared" si="91"/>
        <v>0</v>
      </c>
      <c r="L691" s="95"/>
      <c r="M691" s="90">
        <f t="shared" si="85"/>
        <v>0</v>
      </c>
      <c r="N691" s="56">
        <v>0</v>
      </c>
      <c r="O691" s="44">
        <f t="shared" si="86"/>
        <v>0</v>
      </c>
      <c r="P691" s="44"/>
      <c r="Q691" s="44"/>
      <c r="R691" s="44"/>
      <c r="S691" s="44">
        <f t="shared" si="92"/>
        <v>0</v>
      </c>
      <c r="T691" s="44">
        <f t="shared" si="87"/>
        <v>0</v>
      </c>
      <c r="U691">
        <v>0</v>
      </c>
      <c r="V691" s="43">
        <v>0</v>
      </c>
      <c r="W691" s="44">
        <f t="shared" si="88"/>
        <v>0</v>
      </c>
      <c r="X691" s="44">
        <f t="shared" si="89"/>
        <v>0</v>
      </c>
      <c r="Y691" s="44">
        <f t="shared" si="90"/>
        <v>0</v>
      </c>
      <c r="Z691" s="84"/>
      <c r="AA691" s="78"/>
      <c r="AB691" s="78"/>
      <c r="AC691" s="78"/>
      <c r="AD691" s="78"/>
      <c r="AE691" s="78"/>
    </row>
    <row r="692" spans="1:31" ht="12.75">
      <c r="A692"/>
      <c r="B692"/>
      <c r="C692"/>
      <c r="D692"/>
      <c r="E692"/>
      <c r="F692"/>
      <c r="G692"/>
      <c r="H692"/>
      <c r="I692"/>
      <c r="J692"/>
      <c r="K692" s="100">
        <f t="shared" si="91"/>
        <v>0</v>
      </c>
      <c r="L692" s="95"/>
      <c r="M692" s="90">
        <f t="shared" si="85"/>
        <v>0</v>
      </c>
      <c r="N692" s="56">
        <v>0</v>
      </c>
      <c r="O692" s="44">
        <f t="shared" si="86"/>
        <v>0</v>
      </c>
      <c r="P692" s="44"/>
      <c r="Q692" s="44"/>
      <c r="R692" s="44"/>
      <c r="S692" s="44">
        <f t="shared" si="92"/>
        <v>0</v>
      </c>
      <c r="T692" s="44">
        <f t="shared" si="87"/>
        <v>0</v>
      </c>
      <c r="U692">
        <v>0</v>
      </c>
      <c r="V692" s="43">
        <v>0</v>
      </c>
      <c r="W692" s="44">
        <f t="shared" si="88"/>
        <v>0</v>
      </c>
      <c r="X692" s="44">
        <f t="shared" si="89"/>
        <v>0</v>
      </c>
      <c r="Y692" s="44">
        <f t="shared" si="90"/>
        <v>0</v>
      </c>
      <c r="Z692" s="84"/>
      <c r="AA692" s="78"/>
      <c r="AB692" s="78"/>
      <c r="AC692" s="78"/>
      <c r="AD692" s="78"/>
      <c r="AE692" s="78"/>
    </row>
    <row r="693" spans="1:31" ht="12.75">
      <c r="A693"/>
      <c r="B693"/>
      <c r="C693"/>
      <c r="D693"/>
      <c r="E693"/>
      <c r="F693"/>
      <c r="G693"/>
      <c r="H693"/>
      <c r="I693"/>
      <c r="J693"/>
      <c r="K693" s="100">
        <f t="shared" si="91"/>
        <v>0</v>
      </c>
      <c r="L693" s="95"/>
      <c r="M693" s="90">
        <f t="shared" si="85"/>
        <v>0</v>
      </c>
      <c r="N693" s="56">
        <v>0</v>
      </c>
      <c r="O693" s="44">
        <f t="shared" si="86"/>
        <v>0</v>
      </c>
      <c r="P693" s="44"/>
      <c r="Q693" s="44"/>
      <c r="R693" s="44"/>
      <c r="S693" s="44">
        <f t="shared" si="92"/>
        <v>0</v>
      </c>
      <c r="T693" s="44">
        <f t="shared" si="87"/>
        <v>0</v>
      </c>
      <c r="U693">
        <v>0</v>
      </c>
      <c r="V693" s="43">
        <v>0</v>
      </c>
      <c r="W693" s="44">
        <f t="shared" si="88"/>
        <v>0</v>
      </c>
      <c r="X693" s="44">
        <f t="shared" si="89"/>
        <v>0</v>
      </c>
      <c r="Y693" s="44">
        <f t="shared" si="90"/>
        <v>0</v>
      </c>
      <c r="Z693" s="84"/>
      <c r="AA693" s="78"/>
      <c r="AB693" s="78"/>
      <c r="AC693" s="78"/>
      <c r="AD693" s="78"/>
      <c r="AE693" s="78"/>
    </row>
    <row r="694" spans="1:31" ht="12.75">
      <c r="A694"/>
      <c r="B694"/>
      <c r="C694"/>
      <c r="D694"/>
      <c r="E694"/>
      <c r="F694"/>
      <c r="G694"/>
      <c r="H694"/>
      <c r="I694"/>
      <c r="J694"/>
      <c r="K694" s="100">
        <f t="shared" si="91"/>
        <v>0</v>
      </c>
      <c r="L694" s="95"/>
      <c r="M694" s="90">
        <f t="shared" si="85"/>
        <v>0</v>
      </c>
      <c r="N694" s="56">
        <v>0</v>
      </c>
      <c r="O694" s="44">
        <f t="shared" si="86"/>
        <v>0</v>
      </c>
      <c r="P694" s="44"/>
      <c r="Q694" s="44"/>
      <c r="R694" s="44"/>
      <c r="S694" s="44">
        <f t="shared" si="92"/>
        <v>0</v>
      </c>
      <c r="T694" s="44">
        <f t="shared" si="87"/>
        <v>0</v>
      </c>
      <c r="U694">
        <v>0</v>
      </c>
      <c r="V694" s="43">
        <v>0</v>
      </c>
      <c r="W694" s="44">
        <f t="shared" si="88"/>
        <v>0</v>
      </c>
      <c r="X694" s="44">
        <f t="shared" si="89"/>
        <v>0</v>
      </c>
      <c r="Y694" s="44">
        <f t="shared" si="90"/>
        <v>0</v>
      </c>
      <c r="Z694" s="84"/>
      <c r="AA694" s="78"/>
      <c r="AB694" s="78"/>
      <c r="AC694" s="78"/>
      <c r="AD694" s="78"/>
      <c r="AE694" s="78"/>
    </row>
    <row r="695" spans="1:31" ht="12.75">
      <c r="A695"/>
      <c r="B695"/>
      <c r="C695"/>
      <c r="D695"/>
      <c r="E695"/>
      <c r="F695"/>
      <c r="G695"/>
      <c r="H695"/>
      <c r="I695"/>
      <c r="J695"/>
      <c r="K695" s="100">
        <f t="shared" si="91"/>
        <v>0</v>
      </c>
      <c r="L695" s="95"/>
      <c r="M695" s="90">
        <f t="shared" si="85"/>
        <v>0</v>
      </c>
      <c r="N695" s="56">
        <v>0</v>
      </c>
      <c r="O695" s="44">
        <f t="shared" si="86"/>
        <v>0</v>
      </c>
      <c r="P695" s="44"/>
      <c r="Q695" s="44"/>
      <c r="R695" s="44"/>
      <c r="S695" s="44">
        <f t="shared" si="92"/>
        <v>0</v>
      </c>
      <c r="T695" s="44">
        <f t="shared" si="87"/>
        <v>0</v>
      </c>
      <c r="U695">
        <v>0</v>
      </c>
      <c r="V695" s="43">
        <v>0</v>
      </c>
      <c r="W695" s="44">
        <f t="shared" si="88"/>
        <v>0</v>
      </c>
      <c r="X695" s="44">
        <f t="shared" si="89"/>
        <v>0</v>
      </c>
      <c r="Y695" s="44">
        <f t="shared" si="90"/>
        <v>0</v>
      </c>
      <c r="Z695" s="84"/>
      <c r="AA695" s="78"/>
      <c r="AB695" s="78"/>
      <c r="AC695" s="78"/>
      <c r="AD695" s="78"/>
      <c r="AE695" s="78"/>
    </row>
    <row r="696" spans="1:31" ht="12.75">
      <c r="A696"/>
      <c r="B696"/>
      <c r="C696"/>
      <c r="D696"/>
      <c r="E696"/>
      <c r="F696"/>
      <c r="G696"/>
      <c r="H696"/>
      <c r="I696"/>
      <c r="J696"/>
      <c r="K696" s="100">
        <f t="shared" si="91"/>
        <v>0</v>
      </c>
      <c r="L696" s="95"/>
      <c r="M696" s="90">
        <f t="shared" si="85"/>
        <v>0</v>
      </c>
      <c r="N696" s="56">
        <v>0</v>
      </c>
      <c r="O696" s="44">
        <f t="shared" si="86"/>
        <v>0</v>
      </c>
      <c r="P696" s="44"/>
      <c r="Q696" s="44"/>
      <c r="R696" s="44"/>
      <c r="S696" s="44">
        <f t="shared" si="92"/>
        <v>0</v>
      </c>
      <c r="T696" s="44">
        <f t="shared" si="87"/>
        <v>0</v>
      </c>
      <c r="U696">
        <v>0</v>
      </c>
      <c r="V696" s="43">
        <v>0</v>
      </c>
      <c r="W696" s="44">
        <f t="shared" si="88"/>
        <v>0</v>
      </c>
      <c r="X696" s="44">
        <f t="shared" si="89"/>
        <v>0</v>
      </c>
      <c r="Y696" s="44">
        <f t="shared" si="90"/>
        <v>0</v>
      </c>
      <c r="Z696" s="84"/>
      <c r="AA696" s="78"/>
      <c r="AB696" s="78"/>
      <c r="AC696" s="78"/>
      <c r="AD696" s="78"/>
      <c r="AE696" s="78"/>
    </row>
    <row r="697" spans="1:31" ht="12.75">
      <c r="A697"/>
      <c r="B697"/>
      <c r="C697"/>
      <c r="D697"/>
      <c r="E697"/>
      <c r="F697"/>
      <c r="G697"/>
      <c r="H697"/>
      <c r="I697"/>
      <c r="J697"/>
      <c r="K697" s="100">
        <f t="shared" si="91"/>
        <v>0</v>
      </c>
      <c r="L697" s="95"/>
      <c r="M697" s="90">
        <f t="shared" si="85"/>
        <v>0</v>
      </c>
      <c r="N697" s="56">
        <v>0</v>
      </c>
      <c r="O697" s="44">
        <f t="shared" si="86"/>
        <v>0</v>
      </c>
      <c r="P697" s="44"/>
      <c r="Q697" s="44"/>
      <c r="R697" s="44"/>
      <c r="S697" s="44">
        <f t="shared" si="92"/>
        <v>0</v>
      </c>
      <c r="T697" s="44">
        <f t="shared" si="87"/>
        <v>0</v>
      </c>
      <c r="U697">
        <v>0</v>
      </c>
      <c r="V697" s="43">
        <v>0</v>
      </c>
      <c r="W697" s="44">
        <f t="shared" si="88"/>
        <v>0</v>
      </c>
      <c r="X697" s="44">
        <f t="shared" si="89"/>
        <v>0</v>
      </c>
      <c r="Y697" s="44">
        <f t="shared" si="90"/>
        <v>0</v>
      </c>
      <c r="Z697" s="84"/>
      <c r="AA697" s="78"/>
      <c r="AB697" s="78"/>
      <c r="AC697" s="78"/>
      <c r="AD697" s="78"/>
      <c r="AE697" s="78"/>
    </row>
    <row r="698" spans="1:31" ht="12.75">
      <c r="A698"/>
      <c r="B698"/>
      <c r="C698"/>
      <c r="D698"/>
      <c r="E698"/>
      <c r="F698"/>
      <c r="G698"/>
      <c r="H698"/>
      <c r="I698"/>
      <c r="J698"/>
      <c r="K698" s="100">
        <f t="shared" si="91"/>
        <v>0</v>
      </c>
      <c r="L698" s="95"/>
      <c r="M698" s="90">
        <f t="shared" si="85"/>
        <v>0</v>
      </c>
      <c r="N698" s="56">
        <v>0</v>
      </c>
      <c r="O698" s="44">
        <f t="shared" si="86"/>
        <v>0</v>
      </c>
      <c r="P698" s="44"/>
      <c r="Q698" s="44"/>
      <c r="R698" s="44"/>
      <c r="S698" s="44">
        <f t="shared" si="92"/>
        <v>0</v>
      </c>
      <c r="T698" s="44">
        <f t="shared" si="87"/>
        <v>0</v>
      </c>
      <c r="U698">
        <v>0</v>
      </c>
      <c r="V698" s="43">
        <v>0</v>
      </c>
      <c r="W698" s="44">
        <f t="shared" si="88"/>
        <v>0</v>
      </c>
      <c r="X698" s="44">
        <f t="shared" si="89"/>
        <v>0</v>
      </c>
      <c r="Y698" s="44">
        <f t="shared" si="90"/>
        <v>0</v>
      </c>
      <c r="Z698" s="84"/>
      <c r="AA698" s="78"/>
      <c r="AB698" s="78"/>
      <c r="AC698" s="78"/>
      <c r="AD698" s="78"/>
      <c r="AE698" s="78"/>
    </row>
    <row r="699" spans="1:31" ht="12.75">
      <c r="A699"/>
      <c r="B699"/>
      <c r="C699"/>
      <c r="D699"/>
      <c r="E699"/>
      <c r="F699"/>
      <c r="G699"/>
      <c r="H699"/>
      <c r="I699"/>
      <c r="J699"/>
      <c r="K699" s="100">
        <f t="shared" si="91"/>
        <v>0</v>
      </c>
      <c r="L699" s="95"/>
      <c r="M699" s="90">
        <f t="shared" si="85"/>
        <v>0</v>
      </c>
      <c r="N699" s="56">
        <v>0</v>
      </c>
      <c r="O699" s="44">
        <f t="shared" si="86"/>
        <v>0</v>
      </c>
      <c r="P699" s="44"/>
      <c r="Q699" s="44"/>
      <c r="R699" s="44"/>
      <c r="S699" s="44">
        <f t="shared" si="92"/>
        <v>0</v>
      </c>
      <c r="T699" s="44">
        <f t="shared" si="87"/>
        <v>0</v>
      </c>
      <c r="U699">
        <v>0</v>
      </c>
      <c r="V699" s="43">
        <v>0</v>
      </c>
      <c r="W699" s="44">
        <f t="shared" si="88"/>
        <v>0</v>
      </c>
      <c r="X699" s="44">
        <f t="shared" si="89"/>
        <v>0</v>
      </c>
      <c r="Y699" s="44">
        <f t="shared" si="90"/>
        <v>0</v>
      </c>
      <c r="Z699" s="84"/>
      <c r="AA699" s="78"/>
      <c r="AB699" s="78"/>
      <c r="AC699" s="78"/>
      <c r="AD699" s="78"/>
      <c r="AE699" s="78"/>
    </row>
    <row r="700" spans="1:31" ht="12.75">
      <c r="A700"/>
      <c r="B700"/>
      <c r="C700"/>
      <c r="D700"/>
      <c r="E700"/>
      <c r="F700"/>
      <c r="G700"/>
      <c r="H700"/>
      <c r="I700"/>
      <c r="J700"/>
      <c r="K700" s="100">
        <f t="shared" si="91"/>
        <v>0</v>
      </c>
      <c r="L700" s="95"/>
      <c r="M700" s="90">
        <f t="shared" si="85"/>
        <v>0</v>
      </c>
      <c r="N700" s="56">
        <v>0</v>
      </c>
      <c r="O700" s="44">
        <f t="shared" si="86"/>
        <v>0</v>
      </c>
      <c r="P700" s="44"/>
      <c r="Q700" s="44"/>
      <c r="R700" s="44"/>
      <c r="S700" s="44">
        <f t="shared" si="92"/>
        <v>0</v>
      </c>
      <c r="T700" s="44">
        <f t="shared" si="87"/>
        <v>0</v>
      </c>
      <c r="U700">
        <v>0</v>
      </c>
      <c r="V700" s="43">
        <v>0</v>
      </c>
      <c r="W700" s="44">
        <f t="shared" si="88"/>
        <v>0</v>
      </c>
      <c r="X700" s="44">
        <f t="shared" si="89"/>
        <v>0</v>
      </c>
      <c r="Y700" s="44">
        <f t="shared" si="90"/>
        <v>0</v>
      </c>
      <c r="Z700" s="84"/>
      <c r="AA700" s="78"/>
      <c r="AB700" s="78"/>
      <c r="AC700" s="78"/>
      <c r="AD700" s="78"/>
      <c r="AE700" s="78"/>
    </row>
    <row r="701" spans="1:31" ht="12.75">
      <c r="A701"/>
      <c r="B701"/>
      <c r="C701"/>
      <c r="D701"/>
      <c r="E701"/>
      <c r="F701"/>
      <c r="G701"/>
      <c r="H701"/>
      <c r="I701"/>
      <c r="J701"/>
      <c r="K701" s="100">
        <f t="shared" si="91"/>
        <v>0</v>
      </c>
      <c r="L701" s="95"/>
      <c r="M701" s="90">
        <f t="shared" si="85"/>
        <v>0</v>
      </c>
      <c r="N701" s="56">
        <v>0</v>
      </c>
      <c r="O701" s="44">
        <f t="shared" si="86"/>
        <v>0</v>
      </c>
      <c r="P701" s="44"/>
      <c r="Q701" s="44"/>
      <c r="R701" s="44"/>
      <c r="S701" s="44">
        <f t="shared" si="92"/>
        <v>0</v>
      </c>
      <c r="T701" s="44">
        <f t="shared" si="87"/>
        <v>0</v>
      </c>
      <c r="U701">
        <v>0</v>
      </c>
      <c r="V701" s="43">
        <v>0</v>
      </c>
      <c r="W701" s="44">
        <f t="shared" si="88"/>
        <v>0</v>
      </c>
      <c r="X701" s="44">
        <f t="shared" si="89"/>
        <v>0</v>
      </c>
      <c r="Y701" s="44">
        <f t="shared" si="90"/>
        <v>0</v>
      </c>
      <c r="Z701" s="84"/>
      <c r="AA701" s="78"/>
      <c r="AB701" s="78"/>
      <c r="AC701" s="78"/>
      <c r="AD701" s="78"/>
      <c r="AE701" s="78"/>
    </row>
    <row r="702" spans="1:31" ht="12.75">
      <c r="A702"/>
      <c r="B702"/>
      <c r="C702"/>
      <c r="D702"/>
      <c r="E702"/>
      <c r="F702"/>
      <c r="G702"/>
      <c r="H702"/>
      <c r="I702"/>
      <c r="J702"/>
      <c r="K702" s="100">
        <f t="shared" si="91"/>
        <v>0</v>
      </c>
      <c r="L702" s="95"/>
      <c r="M702" s="90">
        <f t="shared" si="85"/>
        <v>0</v>
      </c>
      <c r="N702" s="56">
        <v>0</v>
      </c>
      <c r="O702" s="44">
        <f t="shared" si="86"/>
        <v>0</v>
      </c>
      <c r="P702" s="44"/>
      <c r="Q702" s="44"/>
      <c r="R702" s="44"/>
      <c r="S702" s="44">
        <f t="shared" si="92"/>
        <v>0</v>
      </c>
      <c r="T702" s="44">
        <f t="shared" si="87"/>
        <v>0</v>
      </c>
      <c r="U702">
        <v>0</v>
      </c>
      <c r="V702" s="43">
        <v>0</v>
      </c>
      <c r="W702" s="44">
        <f t="shared" si="88"/>
        <v>0</v>
      </c>
      <c r="X702" s="44">
        <f t="shared" si="89"/>
        <v>0</v>
      </c>
      <c r="Y702" s="44">
        <f t="shared" si="90"/>
        <v>0</v>
      </c>
      <c r="Z702" s="84"/>
      <c r="AA702" s="78"/>
      <c r="AB702" s="78"/>
      <c r="AC702" s="78"/>
      <c r="AD702" s="78"/>
      <c r="AE702" s="78"/>
    </row>
    <row r="703" spans="1:31" ht="12.75">
      <c r="A703"/>
      <c r="B703"/>
      <c r="C703"/>
      <c r="D703"/>
      <c r="E703"/>
      <c r="F703"/>
      <c r="G703"/>
      <c r="H703"/>
      <c r="I703"/>
      <c r="J703"/>
      <c r="K703" s="100">
        <f t="shared" si="91"/>
        <v>0</v>
      </c>
      <c r="L703" s="95"/>
      <c r="M703" s="90">
        <f t="shared" si="85"/>
        <v>0</v>
      </c>
      <c r="N703" s="56">
        <v>0</v>
      </c>
      <c r="O703" s="44">
        <f t="shared" si="86"/>
        <v>0</v>
      </c>
      <c r="P703" s="44"/>
      <c r="Q703" s="44"/>
      <c r="R703" s="44"/>
      <c r="S703" s="44">
        <f t="shared" si="92"/>
        <v>0</v>
      </c>
      <c r="T703" s="44">
        <f t="shared" si="87"/>
        <v>0</v>
      </c>
      <c r="U703">
        <v>0</v>
      </c>
      <c r="V703" s="43">
        <v>0</v>
      </c>
      <c r="W703" s="44">
        <f t="shared" si="88"/>
        <v>0</v>
      </c>
      <c r="X703" s="44">
        <f t="shared" si="89"/>
        <v>0</v>
      </c>
      <c r="Y703" s="44">
        <f t="shared" si="90"/>
        <v>0</v>
      </c>
      <c r="Z703" s="84"/>
      <c r="AA703" s="78"/>
      <c r="AB703" s="78"/>
      <c r="AC703" s="78"/>
      <c r="AD703" s="78"/>
      <c r="AE703" s="78"/>
    </row>
    <row r="704" spans="1:31" ht="12.75">
      <c r="A704"/>
      <c r="B704"/>
      <c r="C704"/>
      <c r="D704"/>
      <c r="E704"/>
      <c r="F704"/>
      <c r="G704"/>
      <c r="H704"/>
      <c r="I704"/>
      <c r="J704"/>
      <c r="K704" s="100">
        <f t="shared" si="91"/>
        <v>0</v>
      </c>
      <c r="L704" s="95"/>
      <c r="M704" s="90">
        <f t="shared" si="85"/>
        <v>0</v>
      </c>
      <c r="N704" s="56">
        <v>0</v>
      </c>
      <c r="O704" s="44">
        <f t="shared" si="86"/>
        <v>0</v>
      </c>
      <c r="P704" s="44"/>
      <c r="Q704" s="44"/>
      <c r="R704" s="44"/>
      <c r="S704" s="44">
        <f t="shared" si="92"/>
        <v>0</v>
      </c>
      <c r="T704" s="44">
        <f t="shared" si="87"/>
        <v>0</v>
      </c>
      <c r="U704">
        <v>0</v>
      </c>
      <c r="V704" s="43">
        <v>0</v>
      </c>
      <c r="W704" s="44">
        <f t="shared" si="88"/>
        <v>0</v>
      </c>
      <c r="X704" s="44">
        <f t="shared" si="89"/>
        <v>0</v>
      </c>
      <c r="Y704" s="44">
        <f t="shared" si="90"/>
        <v>0</v>
      </c>
      <c r="Z704" s="84"/>
      <c r="AA704" s="78"/>
      <c r="AB704" s="78"/>
      <c r="AC704" s="78"/>
      <c r="AD704" s="78"/>
      <c r="AE704" s="78"/>
    </row>
    <row r="705" spans="1:31" ht="12.75">
      <c r="A705"/>
      <c r="B705"/>
      <c r="C705"/>
      <c r="D705"/>
      <c r="E705"/>
      <c r="F705"/>
      <c r="G705"/>
      <c r="H705"/>
      <c r="I705"/>
      <c r="J705"/>
      <c r="K705" s="100">
        <f t="shared" si="91"/>
        <v>0</v>
      </c>
      <c r="L705" s="95"/>
      <c r="M705" s="90">
        <f t="shared" si="85"/>
        <v>0</v>
      </c>
      <c r="N705" s="56">
        <v>0</v>
      </c>
      <c r="O705" s="44">
        <f t="shared" si="86"/>
        <v>0</v>
      </c>
      <c r="P705" s="44"/>
      <c r="Q705" s="44"/>
      <c r="R705" s="44"/>
      <c r="S705" s="44">
        <f t="shared" si="92"/>
        <v>0</v>
      </c>
      <c r="T705" s="44">
        <f t="shared" si="87"/>
        <v>0</v>
      </c>
      <c r="U705">
        <v>0</v>
      </c>
      <c r="V705" s="43">
        <v>0</v>
      </c>
      <c r="W705" s="44">
        <f t="shared" si="88"/>
        <v>0</v>
      </c>
      <c r="X705" s="44">
        <f t="shared" si="89"/>
        <v>0</v>
      </c>
      <c r="Y705" s="44">
        <f t="shared" si="90"/>
        <v>0</v>
      </c>
      <c r="Z705" s="84"/>
      <c r="AA705" s="78"/>
      <c r="AB705" s="78"/>
      <c r="AC705" s="78"/>
      <c r="AD705" s="78"/>
      <c r="AE705" s="78"/>
    </row>
    <row r="706" spans="1:31" ht="12.75">
      <c r="A706"/>
      <c r="B706"/>
      <c r="C706"/>
      <c r="D706"/>
      <c r="E706"/>
      <c r="F706"/>
      <c r="G706"/>
      <c r="H706"/>
      <c r="I706"/>
      <c r="J706"/>
      <c r="K706" s="100">
        <f t="shared" si="91"/>
        <v>0</v>
      </c>
      <c r="L706" s="95"/>
      <c r="M706" s="90">
        <f t="shared" si="85"/>
        <v>0</v>
      </c>
      <c r="N706" s="56">
        <v>0</v>
      </c>
      <c r="O706" s="44">
        <f t="shared" si="86"/>
        <v>0</v>
      </c>
      <c r="P706" s="44"/>
      <c r="Q706" s="44"/>
      <c r="R706" s="44"/>
      <c r="S706" s="44">
        <f t="shared" si="92"/>
        <v>0</v>
      </c>
      <c r="T706" s="44">
        <f t="shared" si="87"/>
        <v>0</v>
      </c>
      <c r="U706">
        <v>0</v>
      </c>
      <c r="V706" s="43">
        <v>0</v>
      </c>
      <c r="W706" s="44">
        <f t="shared" si="88"/>
        <v>0</v>
      </c>
      <c r="X706" s="44">
        <f t="shared" si="89"/>
        <v>0</v>
      </c>
      <c r="Y706" s="44">
        <f t="shared" si="90"/>
        <v>0</v>
      </c>
      <c r="Z706" s="84"/>
      <c r="AA706" s="78"/>
      <c r="AB706" s="78"/>
      <c r="AC706" s="78"/>
      <c r="AD706" s="78"/>
      <c r="AE706" s="78"/>
    </row>
    <row r="707" spans="1:31" ht="12.75">
      <c r="A707"/>
      <c r="B707"/>
      <c r="C707"/>
      <c r="D707"/>
      <c r="E707"/>
      <c r="F707"/>
      <c r="G707"/>
      <c r="H707"/>
      <c r="I707"/>
      <c r="J707"/>
      <c r="K707" s="100">
        <f t="shared" si="91"/>
        <v>0</v>
      </c>
      <c r="L707" s="95"/>
      <c r="M707" s="90">
        <f t="shared" si="85"/>
        <v>0</v>
      </c>
      <c r="N707" s="56">
        <v>0</v>
      </c>
      <c r="O707" s="44">
        <f t="shared" si="86"/>
        <v>0</v>
      </c>
      <c r="P707" s="44"/>
      <c r="Q707" s="44"/>
      <c r="R707" s="44"/>
      <c r="S707" s="44">
        <f t="shared" si="92"/>
        <v>0</v>
      </c>
      <c r="T707" s="44">
        <f t="shared" si="87"/>
        <v>0</v>
      </c>
      <c r="U707">
        <v>0</v>
      </c>
      <c r="V707" s="43">
        <v>0</v>
      </c>
      <c r="W707" s="44">
        <f t="shared" si="88"/>
        <v>0</v>
      </c>
      <c r="X707" s="44">
        <f t="shared" si="89"/>
        <v>0</v>
      </c>
      <c r="Y707" s="44">
        <f t="shared" si="90"/>
        <v>0</v>
      </c>
      <c r="Z707" s="84"/>
      <c r="AA707" s="78"/>
      <c r="AB707" s="78"/>
      <c r="AC707" s="78"/>
      <c r="AD707" s="78"/>
      <c r="AE707" s="78"/>
    </row>
    <row r="708" spans="1:31" ht="12.75">
      <c r="A708"/>
      <c r="B708"/>
      <c r="C708"/>
      <c r="D708"/>
      <c r="E708"/>
      <c r="F708"/>
      <c r="G708"/>
      <c r="H708"/>
      <c r="I708"/>
      <c r="J708"/>
      <c r="K708" s="100">
        <f t="shared" si="91"/>
        <v>0</v>
      </c>
      <c r="L708" s="95"/>
      <c r="M708" s="90">
        <f t="shared" si="85"/>
        <v>0</v>
      </c>
      <c r="N708" s="56">
        <v>0</v>
      </c>
      <c r="O708" s="44">
        <f t="shared" si="86"/>
        <v>0</v>
      </c>
      <c r="P708" s="44"/>
      <c r="Q708" s="44"/>
      <c r="R708" s="44"/>
      <c r="S708" s="44">
        <f t="shared" si="92"/>
        <v>0</v>
      </c>
      <c r="T708" s="44">
        <f t="shared" si="87"/>
        <v>0</v>
      </c>
      <c r="U708">
        <v>0</v>
      </c>
      <c r="V708" s="43">
        <v>0</v>
      </c>
      <c r="W708" s="44">
        <f t="shared" si="88"/>
        <v>0</v>
      </c>
      <c r="X708" s="44">
        <f t="shared" si="89"/>
        <v>0</v>
      </c>
      <c r="Y708" s="44">
        <f t="shared" si="90"/>
        <v>0</v>
      </c>
      <c r="Z708" s="84"/>
      <c r="AA708" s="78"/>
      <c r="AB708" s="78"/>
      <c r="AC708" s="78"/>
      <c r="AD708" s="78"/>
      <c r="AE708" s="78"/>
    </row>
    <row r="709" spans="1:31" ht="12.75">
      <c r="A709"/>
      <c r="B709"/>
      <c r="C709"/>
      <c r="D709"/>
      <c r="E709"/>
      <c r="F709"/>
      <c r="G709"/>
      <c r="H709"/>
      <c r="I709"/>
      <c r="J709"/>
      <c r="K709" s="100">
        <f t="shared" si="91"/>
        <v>0</v>
      </c>
      <c r="L709" s="95"/>
      <c r="M709" s="90">
        <f t="shared" si="85"/>
        <v>0</v>
      </c>
      <c r="N709" s="56">
        <v>0</v>
      </c>
      <c r="O709" s="44">
        <f t="shared" si="86"/>
        <v>0</v>
      </c>
      <c r="P709" s="44"/>
      <c r="Q709" s="44"/>
      <c r="R709" s="44"/>
      <c r="S709" s="44">
        <f t="shared" si="92"/>
        <v>0</v>
      </c>
      <c r="T709" s="44">
        <f t="shared" si="87"/>
        <v>0</v>
      </c>
      <c r="U709">
        <v>0</v>
      </c>
      <c r="V709" s="43">
        <v>0</v>
      </c>
      <c r="W709" s="44">
        <f t="shared" si="88"/>
        <v>0</v>
      </c>
      <c r="X709" s="44">
        <f t="shared" si="89"/>
        <v>0</v>
      </c>
      <c r="Y709" s="44">
        <f t="shared" si="90"/>
        <v>0</v>
      </c>
      <c r="Z709" s="84"/>
      <c r="AA709" s="78"/>
      <c r="AB709" s="78"/>
      <c r="AC709" s="78"/>
      <c r="AD709" s="78"/>
      <c r="AE709" s="78"/>
    </row>
    <row r="710" spans="1:31" ht="12.75">
      <c r="A710"/>
      <c r="B710"/>
      <c r="C710"/>
      <c r="D710"/>
      <c r="E710"/>
      <c r="F710"/>
      <c r="G710"/>
      <c r="H710"/>
      <c r="I710"/>
      <c r="J710"/>
      <c r="K710" s="100">
        <f t="shared" si="91"/>
        <v>0</v>
      </c>
      <c r="L710" s="95"/>
      <c r="M710" s="90">
        <f t="shared" si="85"/>
        <v>0</v>
      </c>
      <c r="N710" s="56">
        <v>0</v>
      </c>
      <c r="O710" s="44">
        <f t="shared" si="86"/>
        <v>0</v>
      </c>
      <c r="P710" s="44"/>
      <c r="Q710" s="44"/>
      <c r="R710" s="44"/>
      <c r="S710" s="44">
        <f t="shared" si="92"/>
        <v>0</v>
      </c>
      <c r="T710" s="44">
        <f t="shared" si="87"/>
        <v>0</v>
      </c>
      <c r="U710">
        <v>0</v>
      </c>
      <c r="V710" s="43">
        <v>0</v>
      </c>
      <c r="W710" s="44">
        <f t="shared" si="88"/>
        <v>0</v>
      </c>
      <c r="X710" s="44">
        <f t="shared" si="89"/>
        <v>0</v>
      </c>
      <c r="Y710" s="44">
        <f t="shared" si="90"/>
        <v>0</v>
      </c>
      <c r="Z710" s="84"/>
      <c r="AA710" s="78"/>
      <c r="AB710" s="78"/>
      <c r="AC710" s="78"/>
      <c r="AD710" s="78"/>
      <c r="AE710" s="78"/>
    </row>
    <row r="711" spans="1:31" ht="12.75">
      <c r="A711"/>
      <c r="B711"/>
      <c r="C711"/>
      <c r="D711"/>
      <c r="E711"/>
      <c r="F711"/>
      <c r="G711"/>
      <c r="H711"/>
      <c r="I711"/>
      <c r="J711"/>
      <c r="K711" s="100">
        <f t="shared" si="91"/>
        <v>0</v>
      </c>
      <c r="L711" s="95"/>
      <c r="M711" s="90">
        <f t="shared" si="85"/>
        <v>0</v>
      </c>
      <c r="N711" s="56">
        <v>0</v>
      </c>
      <c r="O711" s="44">
        <f t="shared" si="86"/>
        <v>0</v>
      </c>
      <c r="P711" s="44"/>
      <c r="Q711" s="44"/>
      <c r="R711" s="44"/>
      <c r="S711" s="44">
        <f t="shared" si="92"/>
        <v>0</v>
      </c>
      <c r="T711" s="44">
        <f t="shared" si="87"/>
        <v>0</v>
      </c>
      <c r="U711">
        <v>0</v>
      </c>
      <c r="V711" s="43">
        <v>0</v>
      </c>
      <c r="W711" s="44">
        <f t="shared" si="88"/>
        <v>0</v>
      </c>
      <c r="X711" s="44">
        <f t="shared" si="89"/>
        <v>0</v>
      </c>
      <c r="Y711" s="44">
        <f t="shared" si="90"/>
        <v>0</v>
      </c>
      <c r="Z711" s="84"/>
      <c r="AA711" s="78"/>
      <c r="AB711" s="78"/>
      <c r="AC711" s="78"/>
      <c r="AD711" s="78"/>
      <c r="AE711" s="78"/>
    </row>
    <row r="712" spans="1:31" ht="12.75">
      <c r="A712"/>
      <c r="B712"/>
      <c r="C712"/>
      <c r="D712"/>
      <c r="E712"/>
      <c r="F712"/>
      <c r="G712"/>
      <c r="H712"/>
      <c r="I712"/>
      <c r="J712"/>
      <c r="K712" s="100">
        <f t="shared" si="91"/>
        <v>0</v>
      </c>
      <c r="L712" s="95"/>
      <c r="M712" s="90">
        <f t="shared" ref="M712:M775" si="93">ROUND(K712*L712,2)</f>
        <v>0</v>
      </c>
      <c r="N712" s="56">
        <v>0</v>
      </c>
      <c r="O712" s="44">
        <f t="shared" ref="O712:O775" si="94">+M712-(M712*N712)</f>
        <v>0</v>
      </c>
      <c r="P712" s="44"/>
      <c r="Q712" s="44"/>
      <c r="R712" s="44"/>
      <c r="S712" s="44">
        <f t="shared" si="92"/>
        <v>0</v>
      </c>
      <c r="T712" s="44">
        <f t="shared" ref="T712:T775" si="95">+O712+P712+Q712+R712</f>
        <v>0</v>
      </c>
      <c r="U712">
        <v>0</v>
      </c>
      <c r="V712" s="43">
        <v>0</v>
      </c>
      <c r="W712" s="44">
        <f t="shared" ref="W712:W775" si="96">+O712-U712-V712-Z712</f>
        <v>0</v>
      </c>
      <c r="X712" s="44">
        <f t="shared" ref="X712:X775" si="97">(+O712-U712-Z712)*$X$1</f>
        <v>0</v>
      </c>
      <c r="Y712" s="44">
        <f t="shared" ref="Y712:Y775" si="98">+W712-X712</f>
        <v>0</v>
      </c>
      <c r="Z712" s="84"/>
      <c r="AA712" s="78"/>
      <c r="AB712" s="78"/>
      <c r="AC712" s="78"/>
      <c r="AD712" s="78"/>
      <c r="AE712" s="78"/>
    </row>
    <row r="713" spans="1:31" ht="12.75">
      <c r="A713"/>
      <c r="B713"/>
      <c r="C713"/>
      <c r="D713"/>
      <c r="E713"/>
      <c r="F713"/>
      <c r="G713"/>
      <c r="H713"/>
      <c r="I713"/>
      <c r="J713"/>
      <c r="K713" s="100">
        <f t="shared" si="91"/>
        <v>0</v>
      </c>
      <c r="L713" s="95"/>
      <c r="M713" s="90">
        <f t="shared" si="93"/>
        <v>0</v>
      </c>
      <c r="N713" s="56">
        <v>0</v>
      </c>
      <c r="O713" s="44">
        <f t="shared" si="94"/>
        <v>0</v>
      </c>
      <c r="P713" s="44"/>
      <c r="Q713" s="44"/>
      <c r="R713" s="44"/>
      <c r="S713" s="44">
        <f t="shared" si="92"/>
        <v>0</v>
      </c>
      <c r="T713" s="44">
        <f t="shared" si="95"/>
        <v>0</v>
      </c>
      <c r="U713">
        <v>0</v>
      </c>
      <c r="V713" s="43">
        <v>0</v>
      </c>
      <c r="W713" s="44">
        <f t="shared" si="96"/>
        <v>0</v>
      </c>
      <c r="X713" s="44">
        <f t="shared" si="97"/>
        <v>0</v>
      </c>
      <c r="Y713" s="44">
        <f t="shared" si="98"/>
        <v>0</v>
      </c>
      <c r="Z713" s="84"/>
      <c r="AA713" s="78"/>
      <c r="AB713" s="78"/>
      <c r="AC713" s="78"/>
      <c r="AD713" s="78"/>
      <c r="AE713" s="78"/>
    </row>
    <row r="714" spans="1:31" ht="12.75">
      <c r="A714"/>
      <c r="B714"/>
      <c r="C714"/>
      <c r="D714"/>
      <c r="E714"/>
      <c r="F714"/>
      <c r="G714"/>
      <c r="H714"/>
      <c r="I714"/>
      <c r="J714"/>
      <c r="K714" s="100">
        <f t="shared" si="91"/>
        <v>0</v>
      </c>
      <c r="L714" s="95"/>
      <c r="M714" s="90">
        <f t="shared" si="93"/>
        <v>0</v>
      </c>
      <c r="N714" s="56">
        <v>0</v>
      </c>
      <c r="O714" s="44">
        <f t="shared" si="94"/>
        <v>0</v>
      </c>
      <c r="P714" s="44"/>
      <c r="Q714" s="44"/>
      <c r="R714" s="44"/>
      <c r="S714" s="44">
        <f t="shared" si="92"/>
        <v>0</v>
      </c>
      <c r="T714" s="44">
        <f t="shared" si="95"/>
        <v>0</v>
      </c>
      <c r="U714">
        <v>0</v>
      </c>
      <c r="V714" s="43">
        <v>0</v>
      </c>
      <c r="W714" s="44">
        <f t="shared" si="96"/>
        <v>0</v>
      </c>
      <c r="X714" s="44">
        <f t="shared" si="97"/>
        <v>0</v>
      </c>
      <c r="Y714" s="44">
        <f t="shared" si="98"/>
        <v>0</v>
      </c>
      <c r="Z714" s="84"/>
      <c r="AA714" s="78"/>
      <c r="AB714" s="78"/>
      <c r="AC714" s="78"/>
      <c r="AD714" s="78"/>
      <c r="AE714" s="78"/>
    </row>
    <row r="715" spans="1:31" ht="12.75">
      <c r="A715"/>
      <c r="B715"/>
      <c r="C715"/>
      <c r="D715"/>
      <c r="E715"/>
      <c r="F715"/>
      <c r="G715"/>
      <c r="H715"/>
      <c r="I715"/>
      <c r="J715"/>
      <c r="K715" s="100">
        <f t="shared" si="91"/>
        <v>0</v>
      </c>
      <c r="L715" s="95"/>
      <c r="M715" s="90">
        <f t="shared" si="93"/>
        <v>0</v>
      </c>
      <c r="N715" s="56">
        <v>0</v>
      </c>
      <c r="O715" s="44">
        <f t="shared" si="94"/>
        <v>0</v>
      </c>
      <c r="P715" s="44"/>
      <c r="Q715" s="44"/>
      <c r="R715" s="44"/>
      <c r="S715" s="44">
        <f t="shared" si="92"/>
        <v>0</v>
      </c>
      <c r="T715" s="44">
        <f t="shared" si="95"/>
        <v>0</v>
      </c>
      <c r="U715">
        <v>0</v>
      </c>
      <c r="V715" s="43">
        <v>0</v>
      </c>
      <c r="W715" s="44">
        <f t="shared" si="96"/>
        <v>0</v>
      </c>
      <c r="X715" s="44">
        <f t="shared" si="97"/>
        <v>0</v>
      </c>
      <c r="Y715" s="44">
        <f t="shared" si="98"/>
        <v>0</v>
      </c>
      <c r="Z715" s="84"/>
      <c r="AA715" s="78"/>
      <c r="AB715" s="78"/>
      <c r="AC715" s="78"/>
      <c r="AD715" s="78"/>
      <c r="AE715" s="78"/>
    </row>
    <row r="716" spans="1:31" ht="12.75">
      <c r="A716"/>
      <c r="B716"/>
      <c r="C716"/>
      <c r="D716"/>
      <c r="E716"/>
      <c r="F716"/>
      <c r="G716"/>
      <c r="H716"/>
      <c r="I716"/>
      <c r="J716"/>
      <c r="K716" s="100">
        <f t="shared" si="91"/>
        <v>0</v>
      </c>
      <c r="L716" s="95"/>
      <c r="M716" s="90">
        <f t="shared" si="93"/>
        <v>0</v>
      </c>
      <c r="N716" s="56">
        <v>0</v>
      </c>
      <c r="O716" s="44">
        <f t="shared" si="94"/>
        <v>0</v>
      </c>
      <c r="P716" s="44"/>
      <c r="Q716" s="44"/>
      <c r="R716" s="44"/>
      <c r="S716" s="44">
        <f t="shared" si="92"/>
        <v>0</v>
      </c>
      <c r="T716" s="44">
        <f t="shared" si="95"/>
        <v>0</v>
      </c>
      <c r="U716">
        <v>0</v>
      </c>
      <c r="V716" s="43">
        <v>0</v>
      </c>
      <c r="W716" s="44">
        <f t="shared" si="96"/>
        <v>0</v>
      </c>
      <c r="X716" s="44">
        <f t="shared" si="97"/>
        <v>0</v>
      </c>
      <c r="Y716" s="44">
        <f t="shared" si="98"/>
        <v>0</v>
      </c>
      <c r="Z716" s="84"/>
      <c r="AA716" s="78"/>
      <c r="AB716" s="78"/>
      <c r="AC716" s="78"/>
      <c r="AD716" s="78"/>
      <c r="AE716" s="78"/>
    </row>
    <row r="717" spans="1:31" ht="12.75">
      <c r="A717"/>
      <c r="B717"/>
      <c r="C717"/>
      <c r="D717"/>
      <c r="E717"/>
      <c r="F717"/>
      <c r="G717"/>
      <c r="H717"/>
      <c r="I717"/>
      <c r="J717"/>
      <c r="K717" s="100">
        <f t="shared" si="91"/>
        <v>0</v>
      </c>
      <c r="L717" s="95"/>
      <c r="M717" s="90">
        <f t="shared" si="93"/>
        <v>0</v>
      </c>
      <c r="N717" s="56">
        <v>0</v>
      </c>
      <c r="O717" s="44">
        <f t="shared" si="94"/>
        <v>0</v>
      </c>
      <c r="P717" s="44"/>
      <c r="Q717" s="44"/>
      <c r="R717" s="44"/>
      <c r="S717" s="44">
        <f t="shared" si="92"/>
        <v>0</v>
      </c>
      <c r="T717" s="44">
        <f t="shared" si="95"/>
        <v>0</v>
      </c>
      <c r="U717">
        <v>0</v>
      </c>
      <c r="V717" s="43">
        <v>0</v>
      </c>
      <c r="W717" s="44">
        <f t="shared" si="96"/>
        <v>0</v>
      </c>
      <c r="X717" s="44">
        <f t="shared" si="97"/>
        <v>0</v>
      </c>
      <c r="Y717" s="44">
        <f t="shared" si="98"/>
        <v>0</v>
      </c>
      <c r="Z717" s="84"/>
      <c r="AA717" s="78"/>
      <c r="AB717" s="78"/>
      <c r="AC717" s="78"/>
      <c r="AD717" s="78"/>
      <c r="AE717" s="78"/>
    </row>
    <row r="718" spans="1:31" ht="12.75">
      <c r="A718"/>
      <c r="B718"/>
      <c r="C718"/>
      <c r="D718"/>
      <c r="E718"/>
      <c r="F718"/>
      <c r="G718"/>
      <c r="H718"/>
      <c r="I718"/>
      <c r="J718"/>
      <c r="K718" s="100">
        <f t="shared" si="91"/>
        <v>0</v>
      </c>
      <c r="L718" s="95"/>
      <c r="M718" s="90">
        <f t="shared" si="93"/>
        <v>0</v>
      </c>
      <c r="N718" s="56">
        <v>0</v>
      </c>
      <c r="O718" s="44">
        <f t="shared" si="94"/>
        <v>0</v>
      </c>
      <c r="P718" s="44"/>
      <c r="Q718" s="44"/>
      <c r="R718" s="44"/>
      <c r="S718" s="44">
        <f t="shared" si="92"/>
        <v>0</v>
      </c>
      <c r="T718" s="44">
        <f t="shared" si="95"/>
        <v>0</v>
      </c>
      <c r="U718">
        <v>0</v>
      </c>
      <c r="V718" s="43">
        <v>0</v>
      </c>
      <c r="W718" s="44">
        <f t="shared" si="96"/>
        <v>0</v>
      </c>
      <c r="X718" s="44">
        <f t="shared" si="97"/>
        <v>0</v>
      </c>
      <c r="Y718" s="44">
        <f t="shared" si="98"/>
        <v>0</v>
      </c>
      <c r="Z718" s="84"/>
      <c r="AA718" s="78"/>
      <c r="AB718" s="78"/>
      <c r="AC718" s="78"/>
      <c r="AD718" s="78"/>
      <c r="AE718" s="78"/>
    </row>
    <row r="719" spans="1:31" ht="12.75">
      <c r="A719"/>
      <c r="B719"/>
      <c r="C719"/>
      <c r="D719"/>
      <c r="E719"/>
      <c r="F719"/>
      <c r="G719"/>
      <c r="H719"/>
      <c r="I719"/>
      <c r="J719"/>
      <c r="K719" s="100">
        <f t="shared" si="91"/>
        <v>0</v>
      </c>
      <c r="L719" s="95"/>
      <c r="M719" s="90">
        <f t="shared" si="93"/>
        <v>0</v>
      </c>
      <c r="N719" s="56">
        <v>0</v>
      </c>
      <c r="O719" s="44">
        <f t="shared" si="94"/>
        <v>0</v>
      </c>
      <c r="P719" s="44"/>
      <c r="Q719" s="44"/>
      <c r="R719" s="44"/>
      <c r="S719" s="44">
        <f t="shared" si="92"/>
        <v>0</v>
      </c>
      <c r="T719" s="44">
        <f t="shared" si="95"/>
        <v>0</v>
      </c>
      <c r="U719">
        <v>0</v>
      </c>
      <c r="V719" s="43">
        <v>0</v>
      </c>
      <c r="W719" s="44">
        <f t="shared" si="96"/>
        <v>0</v>
      </c>
      <c r="X719" s="44">
        <f t="shared" si="97"/>
        <v>0</v>
      </c>
      <c r="Y719" s="44">
        <f t="shared" si="98"/>
        <v>0</v>
      </c>
      <c r="Z719" s="84"/>
      <c r="AA719" s="78"/>
      <c r="AB719" s="78"/>
      <c r="AC719" s="78"/>
      <c r="AD719" s="78"/>
      <c r="AE719" s="78"/>
    </row>
    <row r="720" spans="1:31" ht="12.75">
      <c r="A720"/>
      <c r="B720"/>
      <c r="C720"/>
      <c r="D720"/>
      <c r="E720"/>
      <c r="F720"/>
      <c r="G720"/>
      <c r="H720"/>
      <c r="I720"/>
      <c r="J720"/>
      <c r="K720" s="100">
        <f t="shared" si="91"/>
        <v>0</v>
      </c>
      <c r="L720" s="95"/>
      <c r="M720" s="90">
        <f t="shared" si="93"/>
        <v>0</v>
      </c>
      <c r="N720" s="56">
        <v>0</v>
      </c>
      <c r="O720" s="44">
        <f t="shared" si="94"/>
        <v>0</v>
      </c>
      <c r="P720" s="44"/>
      <c r="Q720" s="44"/>
      <c r="R720" s="44"/>
      <c r="S720" s="44">
        <f t="shared" si="92"/>
        <v>0</v>
      </c>
      <c r="T720" s="44">
        <f t="shared" si="95"/>
        <v>0</v>
      </c>
      <c r="U720">
        <v>0</v>
      </c>
      <c r="V720" s="43">
        <v>0</v>
      </c>
      <c r="W720" s="44">
        <f t="shared" si="96"/>
        <v>0</v>
      </c>
      <c r="X720" s="44">
        <f t="shared" si="97"/>
        <v>0</v>
      </c>
      <c r="Y720" s="44">
        <f t="shared" si="98"/>
        <v>0</v>
      </c>
      <c r="Z720" s="84"/>
      <c r="AA720" s="78"/>
      <c r="AB720" s="78"/>
      <c r="AC720" s="78"/>
      <c r="AD720" s="78"/>
      <c r="AE720" s="78"/>
    </row>
    <row r="721" spans="1:31" ht="12.75">
      <c r="A721"/>
      <c r="B721"/>
      <c r="C721"/>
      <c r="D721"/>
      <c r="E721"/>
      <c r="F721"/>
      <c r="G721"/>
      <c r="H721"/>
      <c r="I721"/>
      <c r="J721"/>
      <c r="K721" s="100">
        <f t="shared" si="91"/>
        <v>0</v>
      </c>
      <c r="L721" s="95"/>
      <c r="M721" s="90">
        <f t="shared" si="93"/>
        <v>0</v>
      </c>
      <c r="N721" s="56">
        <v>0</v>
      </c>
      <c r="O721" s="44">
        <f t="shared" si="94"/>
        <v>0</v>
      </c>
      <c r="P721" s="44"/>
      <c r="Q721" s="44"/>
      <c r="R721" s="44"/>
      <c r="S721" s="44">
        <f t="shared" si="92"/>
        <v>0</v>
      </c>
      <c r="T721" s="44">
        <f t="shared" si="95"/>
        <v>0</v>
      </c>
      <c r="U721">
        <v>0</v>
      </c>
      <c r="V721" s="43">
        <v>0</v>
      </c>
      <c r="W721" s="44">
        <f t="shared" si="96"/>
        <v>0</v>
      </c>
      <c r="X721" s="44">
        <f t="shared" si="97"/>
        <v>0</v>
      </c>
      <c r="Y721" s="44">
        <f t="shared" si="98"/>
        <v>0</v>
      </c>
      <c r="Z721" s="84"/>
      <c r="AA721" s="78"/>
      <c r="AB721" s="78"/>
      <c r="AC721" s="78"/>
      <c r="AD721" s="78"/>
      <c r="AE721" s="78"/>
    </row>
    <row r="722" spans="1:31" ht="12.75">
      <c r="A722"/>
      <c r="B722"/>
      <c r="C722"/>
      <c r="D722"/>
      <c r="E722"/>
      <c r="F722"/>
      <c r="G722"/>
      <c r="H722"/>
      <c r="I722"/>
      <c r="J722"/>
      <c r="K722" s="100">
        <f t="shared" si="91"/>
        <v>0</v>
      </c>
      <c r="L722" s="95"/>
      <c r="M722" s="90">
        <f t="shared" si="93"/>
        <v>0</v>
      </c>
      <c r="N722" s="56">
        <v>0</v>
      </c>
      <c r="O722" s="44">
        <f t="shared" si="94"/>
        <v>0</v>
      </c>
      <c r="P722" s="44"/>
      <c r="Q722" s="44"/>
      <c r="R722" s="44"/>
      <c r="S722" s="44">
        <f t="shared" si="92"/>
        <v>0</v>
      </c>
      <c r="T722" s="44">
        <f t="shared" si="95"/>
        <v>0</v>
      </c>
      <c r="U722">
        <v>0</v>
      </c>
      <c r="V722" s="43">
        <v>0</v>
      </c>
      <c r="W722" s="44">
        <f t="shared" si="96"/>
        <v>0</v>
      </c>
      <c r="X722" s="44">
        <f t="shared" si="97"/>
        <v>0</v>
      </c>
      <c r="Y722" s="44">
        <f t="shared" si="98"/>
        <v>0</v>
      </c>
      <c r="Z722" s="84"/>
      <c r="AA722" s="78"/>
      <c r="AB722" s="78"/>
      <c r="AC722" s="78"/>
      <c r="AD722" s="78"/>
      <c r="AE722" s="78"/>
    </row>
    <row r="723" spans="1:31" ht="12.75">
      <c r="A723"/>
      <c r="B723"/>
      <c r="C723"/>
      <c r="D723"/>
      <c r="E723"/>
      <c r="F723"/>
      <c r="G723"/>
      <c r="H723"/>
      <c r="I723"/>
      <c r="J723"/>
      <c r="K723" s="100">
        <f t="shared" si="91"/>
        <v>0</v>
      </c>
      <c r="L723" s="95"/>
      <c r="M723" s="90">
        <f t="shared" si="93"/>
        <v>0</v>
      </c>
      <c r="N723" s="56">
        <v>0</v>
      </c>
      <c r="O723" s="44">
        <f t="shared" si="94"/>
        <v>0</v>
      </c>
      <c r="P723" s="44"/>
      <c r="Q723" s="44"/>
      <c r="R723" s="44"/>
      <c r="S723" s="44">
        <f t="shared" si="92"/>
        <v>0</v>
      </c>
      <c r="T723" s="44">
        <f t="shared" si="95"/>
        <v>0</v>
      </c>
      <c r="U723">
        <v>0</v>
      </c>
      <c r="V723" s="43">
        <v>0</v>
      </c>
      <c r="W723" s="44">
        <f t="shared" si="96"/>
        <v>0</v>
      </c>
      <c r="X723" s="44">
        <f t="shared" si="97"/>
        <v>0</v>
      </c>
      <c r="Y723" s="44">
        <f t="shared" si="98"/>
        <v>0</v>
      </c>
      <c r="Z723" s="84"/>
      <c r="AA723" s="78"/>
      <c r="AB723" s="78"/>
      <c r="AC723" s="78"/>
      <c r="AD723" s="78"/>
      <c r="AE723" s="78"/>
    </row>
    <row r="724" spans="1:31" ht="12.75">
      <c r="A724"/>
      <c r="B724"/>
      <c r="C724"/>
      <c r="D724"/>
      <c r="E724"/>
      <c r="F724"/>
      <c r="G724"/>
      <c r="H724"/>
      <c r="I724"/>
      <c r="J724"/>
      <c r="K724" s="100">
        <f t="shared" si="91"/>
        <v>0</v>
      </c>
      <c r="L724" s="95"/>
      <c r="M724" s="90">
        <f t="shared" si="93"/>
        <v>0</v>
      </c>
      <c r="N724" s="56">
        <v>0</v>
      </c>
      <c r="O724" s="44">
        <f t="shared" si="94"/>
        <v>0</v>
      </c>
      <c r="P724" s="44"/>
      <c r="Q724" s="44"/>
      <c r="R724" s="44"/>
      <c r="S724" s="44">
        <f t="shared" si="92"/>
        <v>0</v>
      </c>
      <c r="T724" s="44">
        <f t="shared" si="95"/>
        <v>0</v>
      </c>
      <c r="U724">
        <v>0</v>
      </c>
      <c r="V724" s="43">
        <v>0</v>
      </c>
      <c r="W724" s="44">
        <f t="shared" si="96"/>
        <v>0</v>
      </c>
      <c r="X724" s="44">
        <f t="shared" si="97"/>
        <v>0</v>
      </c>
      <c r="Y724" s="44">
        <f t="shared" si="98"/>
        <v>0</v>
      </c>
      <c r="Z724" s="84"/>
      <c r="AA724" s="78"/>
      <c r="AB724" s="78"/>
      <c r="AC724" s="78"/>
      <c r="AD724" s="78"/>
      <c r="AE724" s="78"/>
    </row>
    <row r="725" spans="1:31" ht="12.75">
      <c r="A725"/>
      <c r="B725"/>
      <c r="C725"/>
      <c r="D725"/>
      <c r="E725"/>
      <c r="F725"/>
      <c r="G725"/>
      <c r="H725"/>
      <c r="I725"/>
      <c r="J725"/>
      <c r="K725" s="100">
        <f t="shared" ref="K725:K741" si="99">+I725*J725</f>
        <v>0</v>
      </c>
      <c r="L725" s="95"/>
      <c r="M725" s="90">
        <f t="shared" si="93"/>
        <v>0</v>
      </c>
      <c r="N725" s="56">
        <v>0</v>
      </c>
      <c r="O725" s="44">
        <f t="shared" si="94"/>
        <v>0</v>
      </c>
      <c r="P725" s="44"/>
      <c r="Q725" s="44"/>
      <c r="R725" s="44"/>
      <c r="S725" s="44">
        <f t="shared" ref="S725:S741" si="100">IF(R725="y",+P725*0.01,0)</f>
        <v>0</v>
      </c>
      <c r="T725" s="44">
        <f t="shared" si="95"/>
        <v>0</v>
      </c>
      <c r="U725">
        <v>0</v>
      </c>
      <c r="V725" s="43">
        <v>0</v>
      </c>
      <c r="W725" s="44">
        <f t="shared" si="96"/>
        <v>0</v>
      </c>
      <c r="X725" s="44">
        <f t="shared" si="97"/>
        <v>0</v>
      </c>
      <c r="Y725" s="44">
        <f t="shared" si="98"/>
        <v>0</v>
      </c>
      <c r="Z725" s="84"/>
      <c r="AA725" s="78"/>
      <c r="AB725" s="78"/>
      <c r="AC725" s="78"/>
      <c r="AD725" s="78"/>
      <c r="AE725" s="78"/>
    </row>
    <row r="726" spans="1:31" ht="12.75">
      <c r="A726"/>
      <c r="B726"/>
      <c r="C726"/>
      <c r="D726"/>
      <c r="E726"/>
      <c r="F726"/>
      <c r="G726"/>
      <c r="H726"/>
      <c r="I726"/>
      <c r="J726"/>
      <c r="K726" s="100">
        <f t="shared" si="99"/>
        <v>0</v>
      </c>
      <c r="L726" s="95"/>
      <c r="M726" s="90">
        <f t="shared" si="93"/>
        <v>0</v>
      </c>
      <c r="N726" s="56">
        <v>0</v>
      </c>
      <c r="O726" s="44">
        <f t="shared" si="94"/>
        <v>0</v>
      </c>
      <c r="P726" s="44"/>
      <c r="Q726" s="44"/>
      <c r="R726" s="44"/>
      <c r="S726" s="44">
        <f t="shared" si="100"/>
        <v>0</v>
      </c>
      <c r="T726" s="44">
        <f t="shared" si="95"/>
        <v>0</v>
      </c>
      <c r="U726">
        <v>0</v>
      </c>
      <c r="V726" s="43">
        <v>0</v>
      </c>
      <c r="W726" s="44">
        <f t="shared" si="96"/>
        <v>0</v>
      </c>
      <c r="X726" s="44">
        <f t="shared" si="97"/>
        <v>0</v>
      </c>
      <c r="Y726" s="44">
        <f t="shared" si="98"/>
        <v>0</v>
      </c>
      <c r="Z726" s="84"/>
      <c r="AA726" s="78"/>
      <c r="AB726" s="78"/>
      <c r="AC726" s="78"/>
      <c r="AD726" s="78"/>
      <c r="AE726" s="78"/>
    </row>
    <row r="727" spans="1:31" ht="12.75">
      <c r="A727"/>
      <c r="B727"/>
      <c r="C727"/>
      <c r="D727"/>
      <c r="E727"/>
      <c r="F727"/>
      <c r="G727"/>
      <c r="H727"/>
      <c r="I727"/>
      <c r="J727"/>
      <c r="K727" s="100">
        <f t="shared" si="99"/>
        <v>0</v>
      </c>
      <c r="L727" s="95"/>
      <c r="M727" s="90">
        <f t="shared" si="93"/>
        <v>0</v>
      </c>
      <c r="N727" s="56">
        <v>0</v>
      </c>
      <c r="O727" s="44">
        <f t="shared" si="94"/>
        <v>0</v>
      </c>
      <c r="P727" s="44"/>
      <c r="Q727" s="44"/>
      <c r="R727" s="44"/>
      <c r="S727" s="44">
        <f t="shared" si="100"/>
        <v>0</v>
      </c>
      <c r="T727" s="44">
        <f t="shared" si="95"/>
        <v>0</v>
      </c>
      <c r="U727">
        <v>0</v>
      </c>
      <c r="V727" s="43">
        <v>0</v>
      </c>
      <c r="W727" s="44">
        <f t="shared" si="96"/>
        <v>0</v>
      </c>
      <c r="X727" s="44">
        <f t="shared" si="97"/>
        <v>0</v>
      </c>
      <c r="Y727" s="44">
        <f t="shared" si="98"/>
        <v>0</v>
      </c>
      <c r="Z727" s="84"/>
      <c r="AA727" s="78"/>
      <c r="AB727" s="78"/>
      <c r="AC727" s="78"/>
      <c r="AD727" s="78"/>
      <c r="AE727" s="78"/>
    </row>
    <row r="728" spans="1:31" ht="12.75">
      <c r="A728"/>
      <c r="B728"/>
      <c r="C728"/>
      <c r="D728"/>
      <c r="E728"/>
      <c r="F728"/>
      <c r="G728"/>
      <c r="H728"/>
      <c r="I728"/>
      <c r="J728"/>
      <c r="K728" s="100">
        <f t="shared" si="99"/>
        <v>0</v>
      </c>
      <c r="L728" s="95"/>
      <c r="M728" s="90">
        <f t="shared" si="93"/>
        <v>0</v>
      </c>
      <c r="N728" s="56">
        <v>0</v>
      </c>
      <c r="O728" s="44">
        <f t="shared" si="94"/>
        <v>0</v>
      </c>
      <c r="P728" s="44"/>
      <c r="Q728" s="44"/>
      <c r="R728" s="44"/>
      <c r="S728" s="44">
        <f t="shared" si="100"/>
        <v>0</v>
      </c>
      <c r="T728" s="44">
        <f t="shared" si="95"/>
        <v>0</v>
      </c>
      <c r="U728">
        <v>0</v>
      </c>
      <c r="V728" s="43">
        <v>0</v>
      </c>
      <c r="W728" s="44">
        <f t="shared" si="96"/>
        <v>0</v>
      </c>
      <c r="X728" s="44">
        <f t="shared" si="97"/>
        <v>0</v>
      </c>
      <c r="Y728" s="44">
        <f t="shared" si="98"/>
        <v>0</v>
      </c>
      <c r="Z728" s="84"/>
      <c r="AA728" s="78"/>
      <c r="AB728" s="78"/>
      <c r="AC728" s="78"/>
      <c r="AD728" s="78"/>
      <c r="AE728" s="78"/>
    </row>
    <row r="729" spans="1:31" ht="12.75">
      <c r="A729"/>
      <c r="B729"/>
      <c r="C729"/>
      <c r="D729"/>
      <c r="E729"/>
      <c r="F729"/>
      <c r="G729"/>
      <c r="H729"/>
      <c r="I729"/>
      <c r="J729"/>
      <c r="K729" s="100">
        <f t="shared" si="99"/>
        <v>0</v>
      </c>
      <c r="L729" s="95"/>
      <c r="M729" s="90">
        <f t="shared" si="93"/>
        <v>0</v>
      </c>
      <c r="N729" s="56">
        <v>0</v>
      </c>
      <c r="O729" s="44">
        <f t="shared" si="94"/>
        <v>0</v>
      </c>
      <c r="P729" s="44"/>
      <c r="Q729" s="44"/>
      <c r="R729" s="44"/>
      <c r="S729" s="44">
        <f t="shared" si="100"/>
        <v>0</v>
      </c>
      <c r="T729" s="44">
        <f t="shared" si="95"/>
        <v>0</v>
      </c>
      <c r="U729">
        <v>0</v>
      </c>
      <c r="V729" s="43">
        <v>0</v>
      </c>
      <c r="W729" s="44">
        <f t="shared" si="96"/>
        <v>0</v>
      </c>
      <c r="X729" s="44">
        <f t="shared" si="97"/>
        <v>0</v>
      </c>
      <c r="Y729" s="44">
        <f t="shared" si="98"/>
        <v>0</v>
      </c>
      <c r="Z729" s="84"/>
      <c r="AA729" s="78"/>
      <c r="AB729" s="78"/>
      <c r="AC729" s="78"/>
      <c r="AD729" s="78"/>
      <c r="AE729" s="78"/>
    </row>
    <row r="730" spans="1:31" ht="12.75">
      <c r="A730"/>
      <c r="B730"/>
      <c r="C730"/>
      <c r="D730"/>
      <c r="E730"/>
      <c r="F730"/>
      <c r="G730"/>
      <c r="H730"/>
      <c r="I730"/>
      <c r="J730"/>
      <c r="K730" s="100">
        <f t="shared" si="99"/>
        <v>0</v>
      </c>
      <c r="L730" s="95"/>
      <c r="M730" s="90">
        <f t="shared" si="93"/>
        <v>0</v>
      </c>
      <c r="N730" s="56">
        <v>0</v>
      </c>
      <c r="O730" s="44">
        <f t="shared" si="94"/>
        <v>0</v>
      </c>
      <c r="P730" s="44"/>
      <c r="Q730" s="44"/>
      <c r="R730" s="44"/>
      <c r="S730" s="44">
        <f t="shared" si="100"/>
        <v>0</v>
      </c>
      <c r="T730" s="44">
        <f t="shared" si="95"/>
        <v>0</v>
      </c>
      <c r="U730">
        <v>0</v>
      </c>
      <c r="V730" s="43">
        <v>0</v>
      </c>
      <c r="W730" s="44">
        <f t="shared" si="96"/>
        <v>0</v>
      </c>
      <c r="X730" s="44">
        <f t="shared" si="97"/>
        <v>0</v>
      </c>
      <c r="Y730" s="44">
        <f t="shared" si="98"/>
        <v>0</v>
      </c>
      <c r="Z730" s="84"/>
      <c r="AA730" s="78"/>
      <c r="AB730" s="78"/>
      <c r="AC730" s="78"/>
      <c r="AD730" s="78"/>
      <c r="AE730" s="78"/>
    </row>
    <row r="731" spans="1:31" ht="12.75">
      <c r="A731"/>
      <c r="B731"/>
      <c r="C731"/>
      <c r="D731"/>
      <c r="E731"/>
      <c r="F731"/>
      <c r="G731"/>
      <c r="H731"/>
      <c r="I731"/>
      <c r="J731"/>
      <c r="K731" s="100">
        <f t="shared" si="99"/>
        <v>0</v>
      </c>
      <c r="L731" s="95"/>
      <c r="M731" s="90">
        <f t="shared" si="93"/>
        <v>0</v>
      </c>
      <c r="N731" s="56">
        <v>0</v>
      </c>
      <c r="O731" s="44">
        <f t="shared" si="94"/>
        <v>0</v>
      </c>
      <c r="P731" s="44"/>
      <c r="Q731" s="44"/>
      <c r="R731" s="44"/>
      <c r="S731" s="44">
        <f t="shared" si="100"/>
        <v>0</v>
      </c>
      <c r="T731" s="44">
        <f t="shared" si="95"/>
        <v>0</v>
      </c>
      <c r="U731">
        <v>0</v>
      </c>
      <c r="V731" s="43">
        <v>0</v>
      </c>
      <c r="W731" s="44">
        <f t="shared" si="96"/>
        <v>0</v>
      </c>
      <c r="X731" s="44">
        <f t="shared" si="97"/>
        <v>0</v>
      </c>
      <c r="Y731" s="44">
        <f t="shared" si="98"/>
        <v>0</v>
      </c>
      <c r="Z731" s="84"/>
      <c r="AA731" s="78"/>
      <c r="AB731" s="78"/>
      <c r="AC731" s="78"/>
      <c r="AD731" s="78"/>
      <c r="AE731" s="78"/>
    </row>
    <row r="732" spans="1:31" ht="12.75">
      <c r="A732"/>
      <c r="B732"/>
      <c r="C732"/>
      <c r="D732"/>
      <c r="E732"/>
      <c r="F732"/>
      <c r="G732"/>
      <c r="H732"/>
      <c r="I732"/>
      <c r="J732"/>
      <c r="K732" s="100">
        <f t="shared" si="99"/>
        <v>0</v>
      </c>
      <c r="L732" s="95"/>
      <c r="M732" s="90">
        <f t="shared" si="93"/>
        <v>0</v>
      </c>
      <c r="N732" s="56">
        <v>0</v>
      </c>
      <c r="O732" s="44">
        <f t="shared" si="94"/>
        <v>0</v>
      </c>
      <c r="P732" s="44"/>
      <c r="Q732" s="44"/>
      <c r="R732" s="44"/>
      <c r="S732" s="44">
        <f t="shared" si="100"/>
        <v>0</v>
      </c>
      <c r="T732" s="44">
        <f t="shared" si="95"/>
        <v>0</v>
      </c>
      <c r="U732">
        <v>0</v>
      </c>
      <c r="V732" s="43">
        <v>0</v>
      </c>
      <c r="W732" s="44">
        <f t="shared" si="96"/>
        <v>0</v>
      </c>
      <c r="X732" s="44">
        <f t="shared" si="97"/>
        <v>0</v>
      </c>
      <c r="Y732" s="44">
        <f t="shared" si="98"/>
        <v>0</v>
      </c>
      <c r="Z732" s="84"/>
      <c r="AA732" s="78"/>
      <c r="AB732" s="78"/>
      <c r="AC732" s="78"/>
      <c r="AD732" s="78"/>
      <c r="AE732" s="78"/>
    </row>
    <row r="733" spans="1:31" ht="12.75">
      <c r="A733"/>
      <c r="B733"/>
      <c r="C733"/>
      <c r="D733"/>
      <c r="E733"/>
      <c r="F733"/>
      <c r="G733"/>
      <c r="H733"/>
      <c r="I733"/>
      <c r="J733"/>
      <c r="K733" s="100">
        <f t="shared" si="99"/>
        <v>0</v>
      </c>
      <c r="L733" s="95"/>
      <c r="M733" s="90">
        <f t="shared" si="93"/>
        <v>0</v>
      </c>
      <c r="N733" s="56">
        <v>0</v>
      </c>
      <c r="O733" s="44">
        <f t="shared" si="94"/>
        <v>0</v>
      </c>
      <c r="P733" s="44"/>
      <c r="Q733" s="44"/>
      <c r="R733" s="44"/>
      <c r="S733" s="44">
        <f t="shared" si="100"/>
        <v>0</v>
      </c>
      <c r="T733" s="44">
        <f t="shared" si="95"/>
        <v>0</v>
      </c>
      <c r="U733">
        <v>0</v>
      </c>
      <c r="V733" s="43">
        <v>0</v>
      </c>
      <c r="W733" s="44">
        <f t="shared" si="96"/>
        <v>0</v>
      </c>
      <c r="X733" s="44">
        <f t="shared" si="97"/>
        <v>0</v>
      </c>
      <c r="Y733" s="44">
        <f t="shared" si="98"/>
        <v>0</v>
      </c>
      <c r="Z733" s="84"/>
      <c r="AA733" s="78"/>
      <c r="AB733" s="78"/>
      <c r="AC733" s="78"/>
      <c r="AD733" s="78"/>
      <c r="AE733" s="78"/>
    </row>
    <row r="734" spans="1:31" ht="12.75">
      <c r="A734"/>
      <c r="B734"/>
      <c r="C734"/>
      <c r="D734"/>
      <c r="E734"/>
      <c r="F734"/>
      <c r="G734"/>
      <c r="H734"/>
      <c r="I734"/>
      <c r="J734"/>
      <c r="K734" s="100">
        <f t="shared" si="99"/>
        <v>0</v>
      </c>
      <c r="L734" s="95"/>
      <c r="M734" s="90">
        <f t="shared" si="93"/>
        <v>0</v>
      </c>
      <c r="N734" s="56">
        <v>0</v>
      </c>
      <c r="O734" s="44">
        <f t="shared" si="94"/>
        <v>0</v>
      </c>
      <c r="P734" s="44"/>
      <c r="Q734" s="44"/>
      <c r="R734" s="44"/>
      <c r="S734" s="44">
        <f t="shared" si="100"/>
        <v>0</v>
      </c>
      <c r="T734" s="44">
        <f t="shared" si="95"/>
        <v>0</v>
      </c>
      <c r="U734">
        <v>0</v>
      </c>
      <c r="V734" s="43">
        <v>0</v>
      </c>
      <c r="W734" s="44">
        <f t="shared" si="96"/>
        <v>0</v>
      </c>
      <c r="X734" s="44">
        <f t="shared" si="97"/>
        <v>0</v>
      </c>
      <c r="Y734" s="44">
        <f t="shared" si="98"/>
        <v>0</v>
      </c>
      <c r="Z734" s="84"/>
      <c r="AA734" s="78"/>
      <c r="AB734" s="78"/>
      <c r="AC734" s="78"/>
      <c r="AD734" s="78"/>
      <c r="AE734" s="78"/>
    </row>
    <row r="735" spans="1:31" ht="12.75">
      <c r="A735"/>
      <c r="B735"/>
      <c r="C735"/>
      <c r="D735"/>
      <c r="E735"/>
      <c r="F735"/>
      <c r="G735"/>
      <c r="H735"/>
      <c r="I735"/>
      <c r="J735"/>
      <c r="K735" s="100">
        <f t="shared" si="99"/>
        <v>0</v>
      </c>
      <c r="L735" s="95"/>
      <c r="M735" s="90">
        <f t="shared" si="93"/>
        <v>0</v>
      </c>
      <c r="N735" s="56">
        <v>0</v>
      </c>
      <c r="O735" s="44">
        <f t="shared" si="94"/>
        <v>0</v>
      </c>
      <c r="P735" s="44"/>
      <c r="Q735" s="44"/>
      <c r="R735" s="44"/>
      <c r="S735" s="44">
        <f t="shared" si="100"/>
        <v>0</v>
      </c>
      <c r="T735" s="44">
        <f t="shared" si="95"/>
        <v>0</v>
      </c>
      <c r="U735">
        <v>0</v>
      </c>
      <c r="V735" s="43">
        <v>0</v>
      </c>
      <c r="W735" s="44">
        <f t="shared" si="96"/>
        <v>0</v>
      </c>
      <c r="X735" s="44">
        <f t="shared" si="97"/>
        <v>0</v>
      </c>
      <c r="Y735" s="44">
        <f t="shared" si="98"/>
        <v>0</v>
      </c>
      <c r="Z735" s="84"/>
      <c r="AA735" s="78"/>
      <c r="AB735" s="78"/>
      <c r="AC735" s="78"/>
      <c r="AD735" s="78"/>
      <c r="AE735" s="78"/>
    </row>
    <row r="736" spans="1:31" ht="12.75">
      <c r="A736"/>
      <c r="B736"/>
      <c r="C736"/>
      <c r="D736"/>
      <c r="E736"/>
      <c r="F736"/>
      <c r="G736"/>
      <c r="H736"/>
      <c r="I736"/>
      <c r="J736"/>
      <c r="K736" s="100">
        <f t="shared" si="99"/>
        <v>0</v>
      </c>
      <c r="L736" s="95"/>
      <c r="M736" s="90">
        <f t="shared" si="93"/>
        <v>0</v>
      </c>
      <c r="N736" s="56">
        <v>0</v>
      </c>
      <c r="O736" s="44">
        <f t="shared" si="94"/>
        <v>0</v>
      </c>
      <c r="P736" s="44"/>
      <c r="Q736" s="44"/>
      <c r="R736" s="44"/>
      <c r="S736" s="44">
        <f t="shared" si="100"/>
        <v>0</v>
      </c>
      <c r="T736" s="44">
        <f t="shared" si="95"/>
        <v>0</v>
      </c>
      <c r="U736">
        <v>0</v>
      </c>
      <c r="V736" s="43">
        <v>0</v>
      </c>
      <c r="W736" s="44">
        <f t="shared" si="96"/>
        <v>0</v>
      </c>
      <c r="X736" s="44">
        <f t="shared" si="97"/>
        <v>0</v>
      </c>
      <c r="Y736" s="44">
        <f t="shared" si="98"/>
        <v>0</v>
      </c>
      <c r="Z736" s="84"/>
      <c r="AA736" s="78"/>
      <c r="AB736" s="78"/>
      <c r="AC736" s="78"/>
      <c r="AD736" s="78"/>
      <c r="AE736" s="78"/>
    </row>
    <row r="737" spans="1:31" ht="12.75">
      <c r="A737"/>
      <c r="B737"/>
      <c r="C737"/>
      <c r="D737"/>
      <c r="E737"/>
      <c r="F737"/>
      <c r="G737"/>
      <c r="H737"/>
      <c r="I737"/>
      <c r="J737"/>
      <c r="K737" s="100">
        <f t="shared" si="99"/>
        <v>0</v>
      </c>
      <c r="L737" s="95"/>
      <c r="M737" s="90">
        <f t="shared" si="93"/>
        <v>0</v>
      </c>
      <c r="N737" s="56">
        <v>0</v>
      </c>
      <c r="O737" s="44">
        <f t="shared" si="94"/>
        <v>0</v>
      </c>
      <c r="P737" s="44"/>
      <c r="Q737" s="44"/>
      <c r="R737" s="44"/>
      <c r="S737" s="44">
        <f t="shared" si="100"/>
        <v>0</v>
      </c>
      <c r="T737" s="44">
        <f t="shared" si="95"/>
        <v>0</v>
      </c>
      <c r="U737">
        <v>0</v>
      </c>
      <c r="V737" s="43">
        <v>0</v>
      </c>
      <c r="W737" s="44">
        <f t="shared" si="96"/>
        <v>0</v>
      </c>
      <c r="X737" s="44">
        <f t="shared" si="97"/>
        <v>0</v>
      </c>
      <c r="Y737" s="44">
        <f t="shared" si="98"/>
        <v>0</v>
      </c>
      <c r="Z737" s="84"/>
      <c r="AA737" s="78"/>
      <c r="AB737" s="78"/>
      <c r="AC737" s="78"/>
      <c r="AD737" s="78"/>
      <c r="AE737" s="78"/>
    </row>
    <row r="738" spans="1:31" ht="12.75">
      <c r="A738"/>
      <c r="B738"/>
      <c r="C738"/>
      <c r="D738"/>
      <c r="E738"/>
      <c r="F738"/>
      <c r="G738"/>
      <c r="H738"/>
      <c r="I738"/>
      <c r="J738"/>
      <c r="K738" s="100">
        <f t="shared" si="99"/>
        <v>0</v>
      </c>
      <c r="L738" s="95"/>
      <c r="M738" s="90">
        <f t="shared" si="93"/>
        <v>0</v>
      </c>
      <c r="N738" s="56">
        <v>0</v>
      </c>
      <c r="O738" s="44">
        <f t="shared" si="94"/>
        <v>0</v>
      </c>
      <c r="P738" s="44"/>
      <c r="Q738" s="44"/>
      <c r="R738" s="44"/>
      <c r="S738" s="44">
        <f t="shared" si="100"/>
        <v>0</v>
      </c>
      <c r="T738" s="44">
        <f t="shared" si="95"/>
        <v>0</v>
      </c>
      <c r="U738">
        <v>0</v>
      </c>
      <c r="V738" s="43">
        <v>0</v>
      </c>
      <c r="W738" s="44">
        <f t="shared" si="96"/>
        <v>0</v>
      </c>
      <c r="X738" s="44">
        <f t="shared" si="97"/>
        <v>0</v>
      </c>
      <c r="Y738" s="44">
        <f t="shared" si="98"/>
        <v>0</v>
      </c>
      <c r="Z738" s="84"/>
      <c r="AA738" s="78"/>
      <c r="AB738" s="78"/>
      <c r="AC738" s="78"/>
      <c r="AD738" s="78"/>
      <c r="AE738" s="78"/>
    </row>
    <row r="739" spans="1:31" ht="12.75">
      <c r="A739"/>
      <c r="B739"/>
      <c r="C739"/>
      <c r="D739"/>
      <c r="E739"/>
      <c r="F739"/>
      <c r="G739"/>
      <c r="H739"/>
      <c r="I739"/>
      <c r="J739"/>
      <c r="K739" s="100">
        <f t="shared" si="99"/>
        <v>0</v>
      </c>
      <c r="L739" s="95"/>
      <c r="M739" s="90">
        <f t="shared" si="93"/>
        <v>0</v>
      </c>
      <c r="N739" s="56">
        <v>0</v>
      </c>
      <c r="O739" s="44">
        <f t="shared" si="94"/>
        <v>0</v>
      </c>
      <c r="P739" s="44"/>
      <c r="Q739" s="44"/>
      <c r="R739" s="44"/>
      <c r="S739" s="44">
        <f t="shared" si="100"/>
        <v>0</v>
      </c>
      <c r="T739" s="44">
        <f t="shared" si="95"/>
        <v>0</v>
      </c>
      <c r="U739">
        <v>0</v>
      </c>
      <c r="V739" s="43">
        <v>0</v>
      </c>
      <c r="W739" s="44">
        <f t="shared" si="96"/>
        <v>0</v>
      </c>
      <c r="X739" s="44">
        <f t="shared" si="97"/>
        <v>0</v>
      </c>
      <c r="Y739" s="44">
        <f t="shared" si="98"/>
        <v>0</v>
      </c>
      <c r="Z739" s="84"/>
      <c r="AA739" s="78"/>
      <c r="AB739" s="78"/>
      <c r="AC739" s="78"/>
      <c r="AD739" s="78"/>
      <c r="AE739" s="78"/>
    </row>
    <row r="740" spans="1:31" ht="12.75">
      <c r="A740"/>
      <c r="B740"/>
      <c r="C740"/>
      <c r="D740"/>
      <c r="E740"/>
      <c r="F740"/>
      <c r="G740"/>
      <c r="H740"/>
      <c r="I740"/>
      <c r="J740"/>
      <c r="K740" s="100">
        <f t="shared" si="99"/>
        <v>0</v>
      </c>
      <c r="L740" s="95"/>
      <c r="M740" s="90">
        <f t="shared" si="93"/>
        <v>0</v>
      </c>
      <c r="N740" s="56">
        <v>0</v>
      </c>
      <c r="O740" s="44">
        <f t="shared" si="94"/>
        <v>0</v>
      </c>
      <c r="P740" s="44"/>
      <c r="Q740" s="44"/>
      <c r="R740" s="44"/>
      <c r="S740" s="44">
        <f t="shared" si="100"/>
        <v>0</v>
      </c>
      <c r="T740" s="44">
        <f t="shared" si="95"/>
        <v>0</v>
      </c>
      <c r="U740">
        <v>0</v>
      </c>
      <c r="V740" s="43">
        <v>0</v>
      </c>
      <c r="W740" s="44">
        <f t="shared" si="96"/>
        <v>0</v>
      </c>
      <c r="X740" s="44">
        <f t="shared" si="97"/>
        <v>0</v>
      </c>
      <c r="Y740" s="44">
        <f t="shared" si="98"/>
        <v>0</v>
      </c>
      <c r="Z740" s="84"/>
      <c r="AA740" s="78"/>
      <c r="AB740" s="78"/>
      <c r="AC740" s="78"/>
      <c r="AD740" s="78"/>
      <c r="AE740" s="78"/>
    </row>
    <row r="741" spans="1:31" ht="12.75">
      <c r="A741"/>
      <c r="B741"/>
      <c r="C741"/>
      <c r="D741"/>
      <c r="E741"/>
      <c r="F741"/>
      <c r="G741"/>
      <c r="H741"/>
      <c r="I741"/>
      <c r="J741"/>
      <c r="K741" s="100">
        <f t="shared" si="99"/>
        <v>0</v>
      </c>
      <c r="L741" s="95"/>
      <c r="M741" s="90">
        <f t="shared" si="93"/>
        <v>0</v>
      </c>
      <c r="N741" s="56">
        <v>0</v>
      </c>
      <c r="O741" s="44">
        <f t="shared" si="94"/>
        <v>0</v>
      </c>
      <c r="P741" s="44"/>
      <c r="Q741" s="44"/>
      <c r="R741" s="44"/>
      <c r="S741" s="44">
        <f t="shared" si="100"/>
        <v>0</v>
      </c>
      <c r="T741" s="44">
        <f t="shared" si="95"/>
        <v>0</v>
      </c>
      <c r="U741">
        <v>0</v>
      </c>
      <c r="V741" s="43">
        <v>0</v>
      </c>
      <c r="W741" s="44">
        <f t="shared" si="96"/>
        <v>0</v>
      </c>
      <c r="X741" s="44">
        <f t="shared" si="97"/>
        <v>0</v>
      </c>
      <c r="Y741" s="44">
        <f t="shared" si="98"/>
        <v>0</v>
      </c>
      <c r="Z741" s="84"/>
      <c r="AA741" s="78"/>
      <c r="AB741" s="78"/>
      <c r="AC741" s="78"/>
      <c r="AD741" s="78"/>
      <c r="AE741" s="78"/>
    </row>
    <row r="742" spans="1:31" ht="12.75">
      <c r="A742"/>
      <c r="B742"/>
      <c r="C742"/>
      <c r="D742"/>
      <c r="E742"/>
      <c r="F742"/>
      <c r="G742"/>
      <c r="H742"/>
      <c r="I742"/>
      <c r="J742"/>
      <c r="K742" s="100">
        <f t="shared" ref="K742:K805" si="101">+I742*J742</f>
        <v>0</v>
      </c>
      <c r="L742" s="95"/>
      <c r="M742" s="90">
        <f t="shared" si="93"/>
        <v>0</v>
      </c>
      <c r="N742" s="56">
        <v>0</v>
      </c>
      <c r="O742" s="44">
        <f t="shared" si="94"/>
        <v>0</v>
      </c>
      <c r="P742" s="44"/>
      <c r="Q742" s="44"/>
      <c r="R742" s="44"/>
      <c r="S742" s="44">
        <f t="shared" ref="S742:S805" si="102">IF(R742="y",+P742*0.01,0)</f>
        <v>0</v>
      </c>
      <c r="T742" s="44">
        <f t="shared" si="95"/>
        <v>0</v>
      </c>
      <c r="U742">
        <v>0</v>
      </c>
      <c r="V742" s="43">
        <v>0</v>
      </c>
      <c r="W742" s="44">
        <f t="shared" si="96"/>
        <v>0</v>
      </c>
      <c r="X742" s="44">
        <f t="shared" si="97"/>
        <v>0</v>
      </c>
      <c r="Y742" s="44">
        <f t="shared" si="98"/>
        <v>0</v>
      </c>
      <c r="Z742" s="84"/>
      <c r="AA742" s="78"/>
      <c r="AB742" s="78"/>
      <c r="AC742" s="78"/>
      <c r="AD742" s="78"/>
      <c r="AE742" s="78"/>
    </row>
    <row r="743" spans="1:31" ht="12.75">
      <c r="A743"/>
      <c r="B743"/>
      <c r="C743"/>
      <c r="D743"/>
      <c r="E743"/>
      <c r="F743"/>
      <c r="G743"/>
      <c r="H743"/>
      <c r="I743"/>
      <c r="J743"/>
      <c r="K743" s="100">
        <f t="shared" si="101"/>
        <v>0</v>
      </c>
      <c r="L743" s="95"/>
      <c r="M743" s="90">
        <f t="shared" si="93"/>
        <v>0</v>
      </c>
      <c r="N743" s="56">
        <v>0</v>
      </c>
      <c r="O743" s="44">
        <f t="shared" si="94"/>
        <v>0</v>
      </c>
      <c r="P743" s="44"/>
      <c r="Q743" s="44"/>
      <c r="R743" s="44"/>
      <c r="S743" s="44">
        <f t="shared" si="102"/>
        <v>0</v>
      </c>
      <c r="T743" s="44">
        <f t="shared" si="95"/>
        <v>0</v>
      </c>
      <c r="U743">
        <v>0</v>
      </c>
      <c r="V743" s="43">
        <v>0</v>
      </c>
      <c r="W743" s="44">
        <f t="shared" si="96"/>
        <v>0</v>
      </c>
      <c r="X743" s="44">
        <f t="shared" si="97"/>
        <v>0</v>
      </c>
      <c r="Y743" s="44">
        <f t="shared" si="98"/>
        <v>0</v>
      </c>
      <c r="Z743" s="84"/>
      <c r="AA743" s="78"/>
      <c r="AB743" s="78"/>
      <c r="AC743" s="78"/>
      <c r="AD743" s="78"/>
      <c r="AE743" s="78"/>
    </row>
    <row r="744" spans="1:31" ht="12.75">
      <c r="A744"/>
      <c r="B744"/>
      <c r="C744"/>
      <c r="D744"/>
      <c r="E744"/>
      <c r="F744"/>
      <c r="G744"/>
      <c r="H744"/>
      <c r="I744"/>
      <c r="J744"/>
      <c r="K744" s="100">
        <f t="shared" si="101"/>
        <v>0</v>
      </c>
      <c r="L744" s="95"/>
      <c r="M744" s="90">
        <f t="shared" si="93"/>
        <v>0</v>
      </c>
      <c r="N744" s="56">
        <v>0</v>
      </c>
      <c r="O744" s="44">
        <f t="shared" si="94"/>
        <v>0</v>
      </c>
      <c r="P744" s="44"/>
      <c r="Q744" s="44"/>
      <c r="R744" s="44"/>
      <c r="S744" s="44">
        <f t="shared" si="102"/>
        <v>0</v>
      </c>
      <c r="T744" s="44">
        <f t="shared" si="95"/>
        <v>0</v>
      </c>
      <c r="U744">
        <v>0</v>
      </c>
      <c r="V744" s="43">
        <v>0</v>
      </c>
      <c r="W744" s="44">
        <f t="shared" si="96"/>
        <v>0</v>
      </c>
      <c r="X744" s="44">
        <f t="shared" si="97"/>
        <v>0</v>
      </c>
      <c r="Y744" s="44">
        <f t="shared" si="98"/>
        <v>0</v>
      </c>
      <c r="Z744" s="84"/>
      <c r="AA744" s="78"/>
      <c r="AB744" s="78"/>
      <c r="AC744" s="78"/>
      <c r="AD744" s="78"/>
      <c r="AE744" s="78"/>
    </row>
    <row r="745" spans="1:31" ht="12.75">
      <c r="A745"/>
      <c r="B745"/>
      <c r="C745"/>
      <c r="D745"/>
      <c r="E745"/>
      <c r="F745"/>
      <c r="G745"/>
      <c r="H745"/>
      <c r="I745"/>
      <c r="J745"/>
      <c r="K745" s="100">
        <f t="shared" si="101"/>
        <v>0</v>
      </c>
      <c r="L745" s="95"/>
      <c r="M745" s="90">
        <f t="shared" si="93"/>
        <v>0</v>
      </c>
      <c r="N745" s="56">
        <v>0</v>
      </c>
      <c r="O745" s="44">
        <f t="shared" si="94"/>
        <v>0</v>
      </c>
      <c r="P745" s="44"/>
      <c r="Q745" s="44"/>
      <c r="R745" s="44"/>
      <c r="S745" s="44">
        <f t="shared" si="102"/>
        <v>0</v>
      </c>
      <c r="T745" s="44">
        <f t="shared" si="95"/>
        <v>0</v>
      </c>
      <c r="U745">
        <v>0</v>
      </c>
      <c r="V745" s="43">
        <v>0</v>
      </c>
      <c r="W745" s="44">
        <f t="shared" si="96"/>
        <v>0</v>
      </c>
      <c r="X745" s="44">
        <f t="shared" si="97"/>
        <v>0</v>
      </c>
      <c r="Y745" s="44">
        <f t="shared" si="98"/>
        <v>0</v>
      </c>
      <c r="Z745" s="84"/>
      <c r="AA745" s="78"/>
      <c r="AB745" s="78"/>
      <c r="AC745" s="78"/>
      <c r="AD745" s="78"/>
      <c r="AE745" s="78"/>
    </row>
    <row r="746" spans="1:31" ht="12.75">
      <c r="A746"/>
      <c r="B746"/>
      <c r="C746"/>
      <c r="D746"/>
      <c r="E746"/>
      <c r="F746"/>
      <c r="G746"/>
      <c r="H746"/>
      <c r="I746"/>
      <c r="J746"/>
      <c r="K746" s="100">
        <f t="shared" si="101"/>
        <v>0</v>
      </c>
      <c r="L746" s="95"/>
      <c r="M746" s="90">
        <f t="shared" si="93"/>
        <v>0</v>
      </c>
      <c r="N746" s="56">
        <v>0</v>
      </c>
      <c r="O746" s="44">
        <f t="shared" si="94"/>
        <v>0</v>
      </c>
      <c r="P746" s="44"/>
      <c r="Q746" s="44"/>
      <c r="R746" s="44"/>
      <c r="S746" s="44">
        <f t="shared" si="102"/>
        <v>0</v>
      </c>
      <c r="T746" s="44">
        <f t="shared" si="95"/>
        <v>0</v>
      </c>
      <c r="U746">
        <v>0</v>
      </c>
      <c r="V746" s="43">
        <v>0</v>
      </c>
      <c r="W746" s="44">
        <f t="shared" si="96"/>
        <v>0</v>
      </c>
      <c r="X746" s="44">
        <f t="shared" si="97"/>
        <v>0</v>
      </c>
      <c r="Y746" s="44">
        <f t="shared" si="98"/>
        <v>0</v>
      </c>
      <c r="Z746" s="84"/>
      <c r="AA746" s="78"/>
      <c r="AB746" s="78"/>
      <c r="AC746" s="78"/>
      <c r="AD746" s="78"/>
      <c r="AE746" s="78"/>
    </row>
    <row r="747" spans="1:31" ht="12.75">
      <c r="A747"/>
      <c r="B747"/>
      <c r="C747"/>
      <c r="D747"/>
      <c r="E747"/>
      <c r="F747"/>
      <c r="G747"/>
      <c r="H747"/>
      <c r="I747"/>
      <c r="J747"/>
      <c r="K747" s="100">
        <f t="shared" si="101"/>
        <v>0</v>
      </c>
      <c r="L747" s="95"/>
      <c r="M747" s="90">
        <f t="shared" si="93"/>
        <v>0</v>
      </c>
      <c r="N747" s="56">
        <v>0</v>
      </c>
      <c r="O747" s="44">
        <f t="shared" si="94"/>
        <v>0</v>
      </c>
      <c r="P747" s="44"/>
      <c r="Q747" s="44"/>
      <c r="R747" s="44"/>
      <c r="S747" s="44">
        <f t="shared" si="102"/>
        <v>0</v>
      </c>
      <c r="T747" s="44">
        <f t="shared" si="95"/>
        <v>0</v>
      </c>
      <c r="U747">
        <v>0</v>
      </c>
      <c r="V747" s="43">
        <v>0</v>
      </c>
      <c r="W747" s="44">
        <f t="shared" si="96"/>
        <v>0</v>
      </c>
      <c r="X747" s="44">
        <f t="shared" si="97"/>
        <v>0</v>
      </c>
      <c r="Y747" s="44">
        <f t="shared" si="98"/>
        <v>0</v>
      </c>
      <c r="Z747" s="84"/>
      <c r="AA747" s="78"/>
      <c r="AB747" s="78"/>
      <c r="AC747" s="78"/>
      <c r="AD747" s="78"/>
      <c r="AE747" s="78"/>
    </row>
    <row r="748" spans="1:31" ht="12.75">
      <c r="A748"/>
      <c r="B748"/>
      <c r="C748"/>
      <c r="D748"/>
      <c r="E748"/>
      <c r="F748"/>
      <c r="G748"/>
      <c r="H748"/>
      <c r="I748"/>
      <c r="J748"/>
      <c r="K748" s="100">
        <f t="shared" si="101"/>
        <v>0</v>
      </c>
      <c r="L748" s="95"/>
      <c r="M748" s="90">
        <f t="shared" si="93"/>
        <v>0</v>
      </c>
      <c r="N748" s="56">
        <v>0</v>
      </c>
      <c r="O748" s="44">
        <f t="shared" si="94"/>
        <v>0</v>
      </c>
      <c r="P748" s="44"/>
      <c r="Q748" s="44"/>
      <c r="R748" s="44"/>
      <c r="S748" s="44">
        <f t="shared" si="102"/>
        <v>0</v>
      </c>
      <c r="T748" s="44">
        <f t="shared" si="95"/>
        <v>0</v>
      </c>
      <c r="U748">
        <v>0</v>
      </c>
      <c r="V748" s="43">
        <v>0</v>
      </c>
      <c r="W748" s="44">
        <f t="shared" si="96"/>
        <v>0</v>
      </c>
      <c r="X748" s="44">
        <f t="shared" si="97"/>
        <v>0</v>
      </c>
      <c r="Y748" s="44">
        <f t="shared" si="98"/>
        <v>0</v>
      </c>
      <c r="Z748" s="84"/>
      <c r="AA748" s="78"/>
      <c r="AB748" s="78"/>
      <c r="AC748" s="78"/>
      <c r="AD748" s="78"/>
      <c r="AE748" s="78"/>
    </row>
    <row r="749" spans="1:31" ht="12.75">
      <c r="A749"/>
      <c r="B749"/>
      <c r="C749"/>
      <c r="D749"/>
      <c r="E749"/>
      <c r="F749"/>
      <c r="G749"/>
      <c r="H749"/>
      <c r="I749"/>
      <c r="J749"/>
      <c r="K749" s="100">
        <f t="shared" si="101"/>
        <v>0</v>
      </c>
      <c r="L749" s="95"/>
      <c r="M749" s="90">
        <f t="shared" si="93"/>
        <v>0</v>
      </c>
      <c r="N749" s="56">
        <v>0</v>
      </c>
      <c r="O749" s="44">
        <f t="shared" si="94"/>
        <v>0</v>
      </c>
      <c r="P749" s="44"/>
      <c r="Q749" s="44"/>
      <c r="R749" s="44"/>
      <c r="S749" s="44">
        <f t="shared" si="102"/>
        <v>0</v>
      </c>
      <c r="T749" s="44">
        <f t="shared" si="95"/>
        <v>0</v>
      </c>
      <c r="U749">
        <v>0</v>
      </c>
      <c r="V749" s="43">
        <v>0</v>
      </c>
      <c r="W749" s="44">
        <f t="shared" si="96"/>
        <v>0</v>
      </c>
      <c r="X749" s="44">
        <f t="shared" si="97"/>
        <v>0</v>
      </c>
      <c r="Y749" s="44">
        <f t="shared" si="98"/>
        <v>0</v>
      </c>
      <c r="Z749" s="84"/>
      <c r="AA749" s="78"/>
      <c r="AB749" s="78"/>
      <c r="AC749" s="78"/>
      <c r="AD749" s="78"/>
      <c r="AE749" s="78"/>
    </row>
    <row r="750" spans="1:31" ht="12.75">
      <c r="A750"/>
      <c r="B750"/>
      <c r="C750"/>
      <c r="D750"/>
      <c r="E750"/>
      <c r="F750"/>
      <c r="G750"/>
      <c r="H750"/>
      <c r="I750"/>
      <c r="J750"/>
      <c r="K750" s="100">
        <f t="shared" si="101"/>
        <v>0</v>
      </c>
      <c r="L750" s="95"/>
      <c r="M750" s="90">
        <f t="shared" si="93"/>
        <v>0</v>
      </c>
      <c r="N750" s="56">
        <v>0</v>
      </c>
      <c r="O750" s="44">
        <f t="shared" si="94"/>
        <v>0</v>
      </c>
      <c r="P750" s="44"/>
      <c r="Q750" s="44"/>
      <c r="R750" s="44"/>
      <c r="S750" s="44">
        <f t="shared" si="102"/>
        <v>0</v>
      </c>
      <c r="T750" s="44">
        <f t="shared" si="95"/>
        <v>0</v>
      </c>
      <c r="U750">
        <v>0</v>
      </c>
      <c r="V750" s="43">
        <v>0</v>
      </c>
      <c r="W750" s="44">
        <f t="shared" si="96"/>
        <v>0</v>
      </c>
      <c r="X750" s="44">
        <f t="shared" si="97"/>
        <v>0</v>
      </c>
      <c r="Y750" s="44">
        <f t="shared" si="98"/>
        <v>0</v>
      </c>
      <c r="Z750" s="84"/>
      <c r="AA750" s="78"/>
      <c r="AB750" s="78"/>
      <c r="AC750" s="78"/>
      <c r="AD750" s="78"/>
      <c r="AE750" s="78"/>
    </row>
    <row r="751" spans="1:31" ht="12.75">
      <c r="A751"/>
      <c r="B751"/>
      <c r="C751"/>
      <c r="D751"/>
      <c r="E751"/>
      <c r="F751"/>
      <c r="G751"/>
      <c r="H751"/>
      <c r="I751"/>
      <c r="J751"/>
      <c r="K751" s="100">
        <f t="shared" si="101"/>
        <v>0</v>
      </c>
      <c r="L751" s="95"/>
      <c r="M751" s="90">
        <f t="shared" si="93"/>
        <v>0</v>
      </c>
      <c r="N751" s="56">
        <v>0</v>
      </c>
      <c r="O751" s="44">
        <f t="shared" si="94"/>
        <v>0</v>
      </c>
      <c r="P751" s="44"/>
      <c r="Q751" s="44"/>
      <c r="R751" s="44"/>
      <c r="S751" s="44">
        <f t="shared" si="102"/>
        <v>0</v>
      </c>
      <c r="T751" s="44">
        <f t="shared" si="95"/>
        <v>0</v>
      </c>
      <c r="U751">
        <v>0</v>
      </c>
      <c r="V751" s="43">
        <v>0</v>
      </c>
      <c r="W751" s="44">
        <f t="shared" si="96"/>
        <v>0</v>
      </c>
      <c r="X751" s="44">
        <f t="shared" si="97"/>
        <v>0</v>
      </c>
      <c r="Y751" s="44">
        <f t="shared" si="98"/>
        <v>0</v>
      </c>
      <c r="Z751" s="84"/>
      <c r="AA751" s="78"/>
      <c r="AB751" s="78"/>
      <c r="AC751" s="78"/>
      <c r="AD751" s="78"/>
      <c r="AE751" s="78"/>
    </row>
    <row r="752" spans="1:31" ht="12.75">
      <c r="A752"/>
      <c r="B752"/>
      <c r="C752"/>
      <c r="D752"/>
      <c r="E752"/>
      <c r="F752"/>
      <c r="G752"/>
      <c r="H752"/>
      <c r="I752"/>
      <c r="J752"/>
      <c r="K752" s="100">
        <f t="shared" si="101"/>
        <v>0</v>
      </c>
      <c r="L752" s="95"/>
      <c r="M752" s="90">
        <f t="shared" si="93"/>
        <v>0</v>
      </c>
      <c r="N752" s="56">
        <v>0</v>
      </c>
      <c r="O752" s="44">
        <f t="shared" si="94"/>
        <v>0</v>
      </c>
      <c r="P752" s="44"/>
      <c r="Q752" s="44"/>
      <c r="R752" s="44"/>
      <c r="S752" s="44">
        <f t="shared" si="102"/>
        <v>0</v>
      </c>
      <c r="T752" s="44">
        <f t="shared" si="95"/>
        <v>0</v>
      </c>
      <c r="U752">
        <v>0</v>
      </c>
      <c r="V752" s="43">
        <v>0</v>
      </c>
      <c r="W752" s="44">
        <f t="shared" si="96"/>
        <v>0</v>
      </c>
      <c r="X752" s="44">
        <f t="shared" si="97"/>
        <v>0</v>
      </c>
      <c r="Y752" s="44">
        <f t="shared" si="98"/>
        <v>0</v>
      </c>
      <c r="Z752" s="84"/>
      <c r="AA752" s="78"/>
      <c r="AB752" s="78"/>
      <c r="AC752" s="78"/>
      <c r="AD752" s="78"/>
      <c r="AE752" s="78"/>
    </row>
    <row r="753" spans="1:31" ht="12.75">
      <c r="A753"/>
      <c r="B753"/>
      <c r="C753"/>
      <c r="D753"/>
      <c r="E753"/>
      <c r="F753"/>
      <c r="G753"/>
      <c r="H753"/>
      <c r="I753"/>
      <c r="J753"/>
      <c r="K753" s="100">
        <f t="shared" si="101"/>
        <v>0</v>
      </c>
      <c r="L753" s="95"/>
      <c r="M753" s="90">
        <f t="shared" si="93"/>
        <v>0</v>
      </c>
      <c r="N753" s="56">
        <v>0</v>
      </c>
      <c r="O753" s="44">
        <f t="shared" si="94"/>
        <v>0</v>
      </c>
      <c r="P753" s="44"/>
      <c r="Q753" s="44"/>
      <c r="R753" s="44"/>
      <c r="S753" s="44">
        <f t="shared" si="102"/>
        <v>0</v>
      </c>
      <c r="T753" s="44">
        <f t="shared" si="95"/>
        <v>0</v>
      </c>
      <c r="U753">
        <v>0</v>
      </c>
      <c r="V753" s="43">
        <v>0</v>
      </c>
      <c r="W753" s="44">
        <f t="shared" si="96"/>
        <v>0</v>
      </c>
      <c r="X753" s="44">
        <f t="shared" si="97"/>
        <v>0</v>
      </c>
      <c r="Y753" s="44">
        <f t="shared" si="98"/>
        <v>0</v>
      </c>
      <c r="Z753" s="84"/>
      <c r="AA753" s="78"/>
      <c r="AB753" s="78"/>
      <c r="AC753" s="78"/>
      <c r="AD753" s="78"/>
      <c r="AE753" s="78"/>
    </row>
    <row r="754" spans="1:31" ht="12.75">
      <c r="A754"/>
      <c r="B754"/>
      <c r="C754"/>
      <c r="D754"/>
      <c r="E754"/>
      <c r="F754"/>
      <c r="G754"/>
      <c r="H754"/>
      <c r="I754"/>
      <c r="J754"/>
      <c r="K754" s="100">
        <f t="shared" si="101"/>
        <v>0</v>
      </c>
      <c r="L754" s="95"/>
      <c r="M754" s="90">
        <f t="shared" si="93"/>
        <v>0</v>
      </c>
      <c r="N754" s="56">
        <v>0</v>
      </c>
      <c r="O754" s="44">
        <f t="shared" si="94"/>
        <v>0</v>
      </c>
      <c r="P754" s="44"/>
      <c r="Q754" s="44"/>
      <c r="R754" s="44"/>
      <c r="S754" s="44">
        <f t="shared" si="102"/>
        <v>0</v>
      </c>
      <c r="T754" s="44">
        <f t="shared" si="95"/>
        <v>0</v>
      </c>
      <c r="U754">
        <v>0</v>
      </c>
      <c r="V754" s="43">
        <v>0</v>
      </c>
      <c r="W754" s="44">
        <f t="shared" si="96"/>
        <v>0</v>
      </c>
      <c r="X754" s="44">
        <f t="shared" si="97"/>
        <v>0</v>
      </c>
      <c r="Y754" s="44">
        <f t="shared" si="98"/>
        <v>0</v>
      </c>
      <c r="Z754" s="84"/>
      <c r="AA754" s="78"/>
      <c r="AB754" s="78"/>
      <c r="AC754" s="78"/>
      <c r="AD754" s="78"/>
      <c r="AE754" s="78"/>
    </row>
    <row r="755" spans="1:31" ht="12.75">
      <c r="A755"/>
      <c r="B755"/>
      <c r="C755"/>
      <c r="D755"/>
      <c r="E755"/>
      <c r="F755"/>
      <c r="G755"/>
      <c r="H755"/>
      <c r="I755"/>
      <c r="J755"/>
      <c r="K755" s="100">
        <f t="shared" si="101"/>
        <v>0</v>
      </c>
      <c r="L755" s="95"/>
      <c r="M755" s="90">
        <f t="shared" si="93"/>
        <v>0</v>
      </c>
      <c r="N755" s="56">
        <v>0</v>
      </c>
      <c r="O755" s="44">
        <f t="shared" si="94"/>
        <v>0</v>
      </c>
      <c r="P755" s="44"/>
      <c r="Q755" s="44"/>
      <c r="R755" s="44"/>
      <c r="S755" s="44">
        <f t="shared" si="102"/>
        <v>0</v>
      </c>
      <c r="T755" s="44">
        <f t="shared" si="95"/>
        <v>0</v>
      </c>
      <c r="U755">
        <v>0</v>
      </c>
      <c r="V755" s="43">
        <v>0</v>
      </c>
      <c r="W755" s="44">
        <f t="shared" si="96"/>
        <v>0</v>
      </c>
      <c r="X755" s="44">
        <f t="shared" si="97"/>
        <v>0</v>
      </c>
      <c r="Y755" s="44">
        <f t="shared" si="98"/>
        <v>0</v>
      </c>
      <c r="Z755" s="84"/>
      <c r="AA755" s="78"/>
      <c r="AB755" s="78"/>
      <c r="AC755" s="78"/>
      <c r="AD755" s="78"/>
      <c r="AE755" s="78"/>
    </row>
    <row r="756" spans="1:31" ht="12.75">
      <c r="A756"/>
      <c r="B756"/>
      <c r="C756"/>
      <c r="D756"/>
      <c r="E756"/>
      <c r="F756"/>
      <c r="G756"/>
      <c r="H756"/>
      <c r="I756"/>
      <c r="J756"/>
      <c r="K756" s="100">
        <f t="shared" si="101"/>
        <v>0</v>
      </c>
      <c r="L756" s="95"/>
      <c r="M756" s="90">
        <f t="shared" si="93"/>
        <v>0</v>
      </c>
      <c r="N756" s="56">
        <v>0</v>
      </c>
      <c r="O756" s="44">
        <f t="shared" si="94"/>
        <v>0</v>
      </c>
      <c r="P756" s="44"/>
      <c r="Q756" s="44"/>
      <c r="R756" s="44"/>
      <c r="S756" s="44">
        <f t="shared" si="102"/>
        <v>0</v>
      </c>
      <c r="T756" s="44">
        <f t="shared" si="95"/>
        <v>0</v>
      </c>
      <c r="U756">
        <v>0</v>
      </c>
      <c r="V756" s="43">
        <v>0</v>
      </c>
      <c r="W756" s="44">
        <f t="shared" si="96"/>
        <v>0</v>
      </c>
      <c r="X756" s="44">
        <f t="shared" si="97"/>
        <v>0</v>
      </c>
      <c r="Y756" s="44">
        <f t="shared" si="98"/>
        <v>0</v>
      </c>
      <c r="Z756" s="84"/>
      <c r="AA756" s="78"/>
      <c r="AB756" s="78"/>
      <c r="AC756" s="78"/>
      <c r="AD756" s="78"/>
      <c r="AE756" s="78"/>
    </row>
    <row r="757" spans="1:31" ht="12.75">
      <c r="A757"/>
      <c r="B757"/>
      <c r="C757"/>
      <c r="D757"/>
      <c r="E757"/>
      <c r="F757"/>
      <c r="G757"/>
      <c r="H757"/>
      <c r="I757"/>
      <c r="J757"/>
      <c r="K757" s="100">
        <f t="shared" si="101"/>
        <v>0</v>
      </c>
      <c r="L757" s="95"/>
      <c r="M757" s="90">
        <f t="shared" si="93"/>
        <v>0</v>
      </c>
      <c r="N757" s="56">
        <v>0</v>
      </c>
      <c r="O757" s="44">
        <f t="shared" si="94"/>
        <v>0</v>
      </c>
      <c r="P757" s="44"/>
      <c r="Q757" s="44"/>
      <c r="R757" s="44"/>
      <c r="S757" s="44">
        <f t="shared" si="102"/>
        <v>0</v>
      </c>
      <c r="T757" s="44">
        <f t="shared" si="95"/>
        <v>0</v>
      </c>
      <c r="U757">
        <v>0</v>
      </c>
      <c r="V757" s="43">
        <v>0</v>
      </c>
      <c r="W757" s="44">
        <f t="shared" si="96"/>
        <v>0</v>
      </c>
      <c r="X757" s="44">
        <f t="shared" si="97"/>
        <v>0</v>
      </c>
      <c r="Y757" s="44">
        <f t="shared" si="98"/>
        <v>0</v>
      </c>
      <c r="Z757" s="84"/>
      <c r="AA757" s="78"/>
      <c r="AB757" s="78"/>
      <c r="AC757" s="78"/>
      <c r="AD757" s="78"/>
      <c r="AE757" s="78"/>
    </row>
    <row r="758" spans="1:31" ht="12.75">
      <c r="A758"/>
      <c r="B758"/>
      <c r="C758"/>
      <c r="D758"/>
      <c r="E758"/>
      <c r="F758"/>
      <c r="G758"/>
      <c r="H758"/>
      <c r="I758"/>
      <c r="J758"/>
      <c r="K758" s="100">
        <f t="shared" si="101"/>
        <v>0</v>
      </c>
      <c r="L758" s="95"/>
      <c r="M758" s="90">
        <f t="shared" si="93"/>
        <v>0</v>
      </c>
      <c r="N758" s="56">
        <v>0</v>
      </c>
      <c r="O758" s="44">
        <f t="shared" si="94"/>
        <v>0</v>
      </c>
      <c r="P758" s="44"/>
      <c r="Q758" s="44"/>
      <c r="R758" s="44"/>
      <c r="S758" s="44">
        <f t="shared" si="102"/>
        <v>0</v>
      </c>
      <c r="T758" s="44">
        <f t="shared" si="95"/>
        <v>0</v>
      </c>
      <c r="U758">
        <v>0</v>
      </c>
      <c r="V758" s="43">
        <v>0</v>
      </c>
      <c r="W758" s="44">
        <f t="shared" si="96"/>
        <v>0</v>
      </c>
      <c r="X758" s="44">
        <f t="shared" si="97"/>
        <v>0</v>
      </c>
      <c r="Y758" s="44">
        <f t="shared" si="98"/>
        <v>0</v>
      </c>
      <c r="Z758" s="84"/>
      <c r="AA758" s="78"/>
      <c r="AB758" s="78"/>
      <c r="AC758" s="78"/>
      <c r="AD758" s="78"/>
      <c r="AE758" s="78"/>
    </row>
    <row r="759" spans="1:31" ht="12.75">
      <c r="A759"/>
      <c r="B759"/>
      <c r="C759"/>
      <c r="D759"/>
      <c r="E759"/>
      <c r="F759"/>
      <c r="G759"/>
      <c r="H759"/>
      <c r="I759"/>
      <c r="J759"/>
      <c r="K759" s="100">
        <f t="shared" si="101"/>
        <v>0</v>
      </c>
      <c r="L759" s="95"/>
      <c r="M759" s="90">
        <f t="shared" si="93"/>
        <v>0</v>
      </c>
      <c r="N759" s="56">
        <v>0</v>
      </c>
      <c r="O759" s="44">
        <f t="shared" si="94"/>
        <v>0</v>
      </c>
      <c r="P759" s="44"/>
      <c r="Q759" s="44"/>
      <c r="R759" s="44"/>
      <c r="S759" s="44">
        <f t="shared" si="102"/>
        <v>0</v>
      </c>
      <c r="T759" s="44">
        <f t="shared" si="95"/>
        <v>0</v>
      </c>
      <c r="U759">
        <v>0</v>
      </c>
      <c r="V759" s="43">
        <v>0</v>
      </c>
      <c r="W759" s="44">
        <f t="shared" si="96"/>
        <v>0</v>
      </c>
      <c r="X759" s="44">
        <f t="shared" si="97"/>
        <v>0</v>
      </c>
      <c r="Y759" s="44">
        <f t="shared" si="98"/>
        <v>0</v>
      </c>
      <c r="Z759" s="84"/>
      <c r="AA759" s="78"/>
      <c r="AB759" s="78"/>
      <c r="AC759" s="78"/>
      <c r="AD759" s="78"/>
      <c r="AE759" s="78"/>
    </row>
    <row r="760" spans="1:31" ht="12.75">
      <c r="A760"/>
      <c r="B760"/>
      <c r="C760"/>
      <c r="D760"/>
      <c r="E760"/>
      <c r="F760"/>
      <c r="G760"/>
      <c r="H760"/>
      <c r="I760"/>
      <c r="J760"/>
      <c r="K760" s="100">
        <f t="shared" si="101"/>
        <v>0</v>
      </c>
      <c r="L760" s="95"/>
      <c r="M760" s="90">
        <f t="shared" si="93"/>
        <v>0</v>
      </c>
      <c r="N760" s="56">
        <v>0</v>
      </c>
      <c r="O760" s="44">
        <f t="shared" si="94"/>
        <v>0</v>
      </c>
      <c r="P760" s="44"/>
      <c r="Q760" s="44"/>
      <c r="R760" s="44"/>
      <c r="S760" s="44">
        <f t="shared" si="102"/>
        <v>0</v>
      </c>
      <c r="T760" s="44">
        <f t="shared" si="95"/>
        <v>0</v>
      </c>
      <c r="U760">
        <v>0</v>
      </c>
      <c r="V760" s="43">
        <v>0</v>
      </c>
      <c r="W760" s="44">
        <f t="shared" si="96"/>
        <v>0</v>
      </c>
      <c r="X760" s="44">
        <f t="shared" si="97"/>
        <v>0</v>
      </c>
      <c r="Y760" s="44">
        <f t="shared" si="98"/>
        <v>0</v>
      </c>
      <c r="Z760" s="84"/>
      <c r="AA760" s="78"/>
      <c r="AB760" s="78"/>
      <c r="AC760" s="78"/>
      <c r="AD760" s="78"/>
      <c r="AE760" s="78"/>
    </row>
    <row r="761" spans="1:31" ht="12.75">
      <c r="A761"/>
      <c r="B761"/>
      <c r="C761"/>
      <c r="D761"/>
      <c r="E761"/>
      <c r="F761"/>
      <c r="G761"/>
      <c r="H761"/>
      <c r="I761"/>
      <c r="J761"/>
      <c r="K761" s="100">
        <f t="shared" si="101"/>
        <v>0</v>
      </c>
      <c r="L761" s="95"/>
      <c r="M761" s="90">
        <f t="shared" si="93"/>
        <v>0</v>
      </c>
      <c r="N761" s="56">
        <v>0</v>
      </c>
      <c r="O761" s="44">
        <f t="shared" si="94"/>
        <v>0</v>
      </c>
      <c r="P761" s="44"/>
      <c r="Q761" s="44"/>
      <c r="R761" s="44"/>
      <c r="S761" s="44">
        <f t="shared" si="102"/>
        <v>0</v>
      </c>
      <c r="T761" s="44">
        <f t="shared" si="95"/>
        <v>0</v>
      </c>
      <c r="U761">
        <v>0</v>
      </c>
      <c r="V761" s="43">
        <v>0</v>
      </c>
      <c r="W761" s="44">
        <f t="shared" si="96"/>
        <v>0</v>
      </c>
      <c r="X761" s="44">
        <f t="shared" si="97"/>
        <v>0</v>
      </c>
      <c r="Y761" s="44">
        <f t="shared" si="98"/>
        <v>0</v>
      </c>
      <c r="Z761" s="84"/>
      <c r="AA761" s="78"/>
      <c r="AB761" s="78"/>
      <c r="AC761" s="78"/>
      <c r="AD761" s="78"/>
      <c r="AE761" s="78"/>
    </row>
    <row r="762" spans="1:31" ht="12.75">
      <c r="A762"/>
      <c r="B762"/>
      <c r="C762"/>
      <c r="D762"/>
      <c r="E762"/>
      <c r="F762"/>
      <c r="G762"/>
      <c r="H762"/>
      <c r="I762"/>
      <c r="J762"/>
      <c r="K762" s="100">
        <f t="shared" si="101"/>
        <v>0</v>
      </c>
      <c r="L762" s="95"/>
      <c r="M762" s="90">
        <f t="shared" si="93"/>
        <v>0</v>
      </c>
      <c r="N762" s="56">
        <v>0</v>
      </c>
      <c r="O762" s="44">
        <f t="shared" si="94"/>
        <v>0</v>
      </c>
      <c r="P762" s="44"/>
      <c r="Q762" s="44"/>
      <c r="R762" s="44"/>
      <c r="S762" s="44">
        <f t="shared" si="102"/>
        <v>0</v>
      </c>
      <c r="T762" s="44">
        <f t="shared" si="95"/>
        <v>0</v>
      </c>
      <c r="U762">
        <v>0</v>
      </c>
      <c r="V762" s="43">
        <v>0</v>
      </c>
      <c r="W762" s="44">
        <f t="shared" si="96"/>
        <v>0</v>
      </c>
      <c r="X762" s="44">
        <f t="shared" si="97"/>
        <v>0</v>
      </c>
      <c r="Y762" s="44">
        <f t="shared" si="98"/>
        <v>0</v>
      </c>
      <c r="Z762" s="84"/>
      <c r="AA762" s="78"/>
      <c r="AB762" s="78"/>
      <c r="AC762" s="78"/>
      <c r="AD762" s="78"/>
      <c r="AE762" s="78"/>
    </row>
    <row r="763" spans="1:31" ht="12.75">
      <c r="A763"/>
      <c r="B763"/>
      <c r="C763"/>
      <c r="D763"/>
      <c r="E763"/>
      <c r="F763"/>
      <c r="G763"/>
      <c r="H763"/>
      <c r="I763"/>
      <c r="J763"/>
      <c r="K763" s="100">
        <f t="shared" si="101"/>
        <v>0</v>
      </c>
      <c r="L763" s="95"/>
      <c r="M763" s="90">
        <f t="shared" si="93"/>
        <v>0</v>
      </c>
      <c r="N763" s="56">
        <v>0</v>
      </c>
      <c r="O763" s="44">
        <f t="shared" si="94"/>
        <v>0</v>
      </c>
      <c r="P763" s="44"/>
      <c r="Q763" s="44"/>
      <c r="R763" s="44"/>
      <c r="S763" s="44">
        <f t="shared" si="102"/>
        <v>0</v>
      </c>
      <c r="T763" s="44">
        <f t="shared" si="95"/>
        <v>0</v>
      </c>
      <c r="U763">
        <v>0</v>
      </c>
      <c r="V763" s="43">
        <v>0</v>
      </c>
      <c r="W763" s="44">
        <f t="shared" si="96"/>
        <v>0</v>
      </c>
      <c r="X763" s="44">
        <f t="shared" si="97"/>
        <v>0</v>
      </c>
      <c r="Y763" s="44">
        <f t="shared" si="98"/>
        <v>0</v>
      </c>
      <c r="Z763" s="84"/>
      <c r="AA763" s="78"/>
      <c r="AB763" s="78"/>
      <c r="AC763" s="78"/>
      <c r="AD763" s="78"/>
      <c r="AE763" s="78"/>
    </row>
    <row r="764" spans="1:31" ht="12.75">
      <c r="A764"/>
      <c r="B764"/>
      <c r="C764"/>
      <c r="D764"/>
      <c r="E764"/>
      <c r="F764"/>
      <c r="G764"/>
      <c r="H764"/>
      <c r="I764"/>
      <c r="J764"/>
      <c r="K764" s="100">
        <f t="shared" si="101"/>
        <v>0</v>
      </c>
      <c r="L764" s="95"/>
      <c r="M764" s="90">
        <f t="shared" si="93"/>
        <v>0</v>
      </c>
      <c r="N764" s="56">
        <v>0</v>
      </c>
      <c r="O764" s="44">
        <f t="shared" si="94"/>
        <v>0</v>
      </c>
      <c r="P764" s="44"/>
      <c r="Q764" s="44"/>
      <c r="R764" s="44"/>
      <c r="S764" s="44">
        <f t="shared" si="102"/>
        <v>0</v>
      </c>
      <c r="T764" s="44">
        <f t="shared" si="95"/>
        <v>0</v>
      </c>
      <c r="U764">
        <v>0</v>
      </c>
      <c r="V764" s="43">
        <v>0</v>
      </c>
      <c r="W764" s="44">
        <f t="shared" si="96"/>
        <v>0</v>
      </c>
      <c r="X764" s="44">
        <f t="shared" si="97"/>
        <v>0</v>
      </c>
      <c r="Y764" s="44">
        <f t="shared" si="98"/>
        <v>0</v>
      </c>
      <c r="Z764" s="84"/>
      <c r="AA764" s="78"/>
      <c r="AB764" s="78"/>
      <c r="AC764" s="78"/>
      <c r="AD764" s="78"/>
      <c r="AE764" s="78"/>
    </row>
    <row r="765" spans="1:31" ht="12.75">
      <c r="A765"/>
      <c r="B765"/>
      <c r="C765"/>
      <c r="D765"/>
      <c r="E765"/>
      <c r="F765"/>
      <c r="G765"/>
      <c r="H765"/>
      <c r="I765"/>
      <c r="J765"/>
      <c r="K765" s="100">
        <f t="shared" si="101"/>
        <v>0</v>
      </c>
      <c r="L765" s="95"/>
      <c r="M765" s="90">
        <f t="shared" si="93"/>
        <v>0</v>
      </c>
      <c r="N765" s="56">
        <v>0</v>
      </c>
      <c r="O765" s="44">
        <f t="shared" si="94"/>
        <v>0</v>
      </c>
      <c r="P765" s="44"/>
      <c r="Q765" s="44"/>
      <c r="R765" s="44"/>
      <c r="S765" s="44">
        <f t="shared" si="102"/>
        <v>0</v>
      </c>
      <c r="T765" s="44">
        <f t="shared" si="95"/>
        <v>0</v>
      </c>
      <c r="U765">
        <v>0</v>
      </c>
      <c r="V765" s="43">
        <v>0</v>
      </c>
      <c r="W765" s="44">
        <f t="shared" si="96"/>
        <v>0</v>
      </c>
      <c r="X765" s="44">
        <f t="shared" si="97"/>
        <v>0</v>
      </c>
      <c r="Y765" s="44">
        <f t="shared" si="98"/>
        <v>0</v>
      </c>
      <c r="Z765" s="84"/>
      <c r="AA765" s="78"/>
      <c r="AB765" s="78"/>
      <c r="AC765" s="78"/>
      <c r="AD765" s="78"/>
      <c r="AE765" s="78"/>
    </row>
    <row r="766" spans="1:31" ht="12.75">
      <c r="A766"/>
      <c r="B766"/>
      <c r="C766"/>
      <c r="D766"/>
      <c r="E766"/>
      <c r="F766"/>
      <c r="G766"/>
      <c r="H766"/>
      <c r="I766"/>
      <c r="J766"/>
      <c r="K766" s="100">
        <f t="shared" si="101"/>
        <v>0</v>
      </c>
      <c r="L766" s="95"/>
      <c r="M766" s="90">
        <f t="shared" si="93"/>
        <v>0</v>
      </c>
      <c r="N766" s="56">
        <v>0</v>
      </c>
      <c r="O766" s="44">
        <f t="shared" si="94"/>
        <v>0</v>
      </c>
      <c r="P766" s="44"/>
      <c r="Q766" s="44"/>
      <c r="R766" s="44"/>
      <c r="S766" s="44">
        <f t="shared" si="102"/>
        <v>0</v>
      </c>
      <c r="T766" s="44">
        <f t="shared" si="95"/>
        <v>0</v>
      </c>
      <c r="U766">
        <v>0</v>
      </c>
      <c r="V766" s="43">
        <v>0</v>
      </c>
      <c r="W766" s="44">
        <f t="shared" si="96"/>
        <v>0</v>
      </c>
      <c r="X766" s="44">
        <f t="shared" si="97"/>
        <v>0</v>
      </c>
      <c r="Y766" s="44">
        <f t="shared" si="98"/>
        <v>0</v>
      </c>
      <c r="Z766" s="84"/>
      <c r="AA766" s="78"/>
      <c r="AB766" s="78"/>
      <c r="AC766" s="78"/>
      <c r="AD766" s="78"/>
      <c r="AE766" s="78"/>
    </row>
    <row r="767" spans="1:31" ht="12.75">
      <c r="A767"/>
      <c r="B767"/>
      <c r="C767"/>
      <c r="D767"/>
      <c r="E767"/>
      <c r="F767"/>
      <c r="G767"/>
      <c r="H767"/>
      <c r="I767"/>
      <c r="J767"/>
      <c r="K767" s="100">
        <f t="shared" si="101"/>
        <v>0</v>
      </c>
      <c r="L767" s="95"/>
      <c r="M767" s="90">
        <f t="shared" si="93"/>
        <v>0</v>
      </c>
      <c r="N767" s="56">
        <v>0</v>
      </c>
      <c r="O767" s="44">
        <f t="shared" si="94"/>
        <v>0</v>
      </c>
      <c r="P767" s="44"/>
      <c r="Q767" s="44"/>
      <c r="R767" s="44"/>
      <c r="S767" s="44">
        <f t="shared" si="102"/>
        <v>0</v>
      </c>
      <c r="T767" s="44">
        <f t="shared" si="95"/>
        <v>0</v>
      </c>
      <c r="U767">
        <v>0</v>
      </c>
      <c r="V767" s="43">
        <v>0</v>
      </c>
      <c r="W767" s="44">
        <f t="shared" si="96"/>
        <v>0</v>
      </c>
      <c r="X767" s="44">
        <f t="shared" si="97"/>
        <v>0</v>
      </c>
      <c r="Y767" s="44">
        <f t="shared" si="98"/>
        <v>0</v>
      </c>
      <c r="Z767" s="84"/>
      <c r="AA767" s="78"/>
      <c r="AB767" s="78"/>
      <c r="AC767" s="78"/>
      <c r="AD767" s="78"/>
      <c r="AE767" s="78"/>
    </row>
    <row r="768" spans="1:31" ht="12.75">
      <c r="A768"/>
      <c r="B768"/>
      <c r="C768"/>
      <c r="D768"/>
      <c r="E768"/>
      <c r="F768"/>
      <c r="G768"/>
      <c r="H768"/>
      <c r="I768"/>
      <c r="J768"/>
      <c r="K768" s="100">
        <f t="shared" si="101"/>
        <v>0</v>
      </c>
      <c r="L768" s="95"/>
      <c r="M768" s="90">
        <f t="shared" si="93"/>
        <v>0</v>
      </c>
      <c r="N768" s="56">
        <v>0</v>
      </c>
      <c r="O768" s="44">
        <f t="shared" si="94"/>
        <v>0</v>
      </c>
      <c r="P768" s="44"/>
      <c r="Q768" s="44"/>
      <c r="R768" s="44"/>
      <c r="S768" s="44">
        <f t="shared" si="102"/>
        <v>0</v>
      </c>
      <c r="T768" s="44">
        <f t="shared" si="95"/>
        <v>0</v>
      </c>
      <c r="U768">
        <v>0</v>
      </c>
      <c r="V768" s="43">
        <v>0</v>
      </c>
      <c r="W768" s="44">
        <f t="shared" si="96"/>
        <v>0</v>
      </c>
      <c r="X768" s="44">
        <f t="shared" si="97"/>
        <v>0</v>
      </c>
      <c r="Y768" s="44">
        <f t="shared" si="98"/>
        <v>0</v>
      </c>
      <c r="Z768" s="84"/>
      <c r="AA768" s="78"/>
      <c r="AB768" s="78"/>
      <c r="AC768" s="78"/>
      <c r="AD768" s="78"/>
      <c r="AE768" s="78"/>
    </row>
    <row r="769" spans="1:31" ht="12.75">
      <c r="A769"/>
      <c r="B769"/>
      <c r="C769"/>
      <c r="D769"/>
      <c r="E769"/>
      <c r="F769"/>
      <c r="G769"/>
      <c r="H769"/>
      <c r="I769"/>
      <c r="J769"/>
      <c r="K769" s="100">
        <f t="shared" si="101"/>
        <v>0</v>
      </c>
      <c r="L769" s="95"/>
      <c r="M769" s="90">
        <f t="shared" si="93"/>
        <v>0</v>
      </c>
      <c r="N769" s="56">
        <v>0</v>
      </c>
      <c r="O769" s="44">
        <f t="shared" si="94"/>
        <v>0</v>
      </c>
      <c r="P769" s="44"/>
      <c r="Q769" s="44"/>
      <c r="R769" s="44"/>
      <c r="S769" s="44">
        <f t="shared" si="102"/>
        <v>0</v>
      </c>
      <c r="T769" s="44">
        <f t="shared" si="95"/>
        <v>0</v>
      </c>
      <c r="U769">
        <v>0</v>
      </c>
      <c r="V769" s="43">
        <v>0</v>
      </c>
      <c r="W769" s="44">
        <f t="shared" si="96"/>
        <v>0</v>
      </c>
      <c r="X769" s="44">
        <f t="shared" si="97"/>
        <v>0</v>
      </c>
      <c r="Y769" s="44">
        <f t="shared" si="98"/>
        <v>0</v>
      </c>
      <c r="Z769" s="84"/>
      <c r="AA769" s="78"/>
      <c r="AB769" s="78"/>
      <c r="AC769" s="78"/>
      <c r="AD769" s="78"/>
      <c r="AE769" s="78"/>
    </row>
    <row r="770" spans="1:31" ht="12.75">
      <c r="A770"/>
      <c r="B770"/>
      <c r="C770"/>
      <c r="D770"/>
      <c r="E770"/>
      <c r="F770"/>
      <c r="G770"/>
      <c r="H770"/>
      <c r="I770"/>
      <c r="J770"/>
      <c r="K770" s="100">
        <f t="shared" si="101"/>
        <v>0</v>
      </c>
      <c r="L770" s="95"/>
      <c r="M770" s="90">
        <f t="shared" si="93"/>
        <v>0</v>
      </c>
      <c r="N770" s="56">
        <v>0</v>
      </c>
      <c r="O770" s="44">
        <f t="shared" si="94"/>
        <v>0</v>
      </c>
      <c r="P770" s="44"/>
      <c r="Q770" s="44"/>
      <c r="R770" s="44"/>
      <c r="S770" s="44">
        <f t="shared" si="102"/>
        <v>0</v>
      </c>
      <c r="T770" s="44">
        <f t="shared" si="95"/>
        <v>0</v>
      </c>
      <c r="U770">
        <v>0</v>
      </c>
      <c r="V770" s="43">
        <v>0</v>
      </c>
      <c r="W770" s="44">
        <f t="shared" si="96"/>
        <v>0</v>
      </c>
      <c r="X770" s="44">
        <f t="shared" si="97"/>
        <v>0</v>
      </c>
      <c r="Y770" s="44">
        <f t="shared" si="98"/>
        <v>0</v>
      </c>
      <c r="Z770" s="84"/>
      <c r="AA770" s="78"/>
      <c r="AB770" s="78"/>
      <c r="AC770" s="78"/>
      <c r="AD770" s="78"/>
      <c r="AE770" s="78"/>
    </row>
    <row r="771" spans="1:31" ht="12.75">
      <c r="A771"/>
      <c r="B771"/>
      <c r="C771"/>
      <c r="D771"/>
      <c r="E771"/>
      <c r="F771"/>
      <c r="G771"/>
      <c r="H771"/>
      <c r="I771"/>
      <c r="J771"/>
      <c r="K771" s="100">
        <f t="shared" si="101"/>
        <v>0</v>
      </c>
      <c r="L771" s="95"/>
      <c r="M771" s="90">
        <f t="shared" si="93"/>
        <v>0</v>
      </c>
      <c r="N771" s="56">
        <v>0</v>
      </c>
      <c r="O771" s="44">
        <f t="shared" si="94"/>
        <v>0</v>
      </c>
      <c r="P771" s="44"/>
      <c r="Q771" s="44"/>
      <c r="R771" s="44"/>
      <c r="S771" s="44">
        <f t="shared" si="102"/>
        <v>0</v>
      </c>
      <c r="T771" s="44">
        <f t="shared" si="95"/>
        <v>0</v>
      </c>
      <c r="U771">
        <v>0</v>
      </c>
      <c r="V771" s="43">
        <v>0</v>
      </c>
      <c r="W771" s="44">
        <f t="shared" si="96"/>
        <v>0</v>
      </c>
      <c r="X771" s="44">
        <f t="shared" si="97"/>
        <v>0</v>
      </c>
      <c r="Y771" s="44">
        <f t="shared" si="98"/>
        <v>0</v>
      </c>
      <c r="Z771" s="84"/>
      <c r="AA771" s="78"/>
      <c r="AB771" s="78"/>
      <c r="AC771" s="78"/>
      <c r="AD771" s="78"/>
      <c r="AE771" s="78"/>
    </row>
    <row r="772" spans="1:31" ht="12.75">
      <c r="A772"/>
      <c r="B772"/>
      <c r="C772"/>
      <c r="D772"/>
      <c r="E772"/>
      <c r="F772"/>
      <c r="G772"/>
      <c r="H772"/>
      <c r="I772"/>
      <c r="J772"/>
      <c r="K772" s="100">
        <f t="shared" si="101"/>
        <v>0</v>
      </c>
      <c r="L772" s="95"/>
      <c r="M772" s="90">
        <f t="shared" si="93"/>
        <v>0</v>
      </c>
      <c r="N772" s="56">
        <v>0</v>
      </c>
      <c r="O772" s="44">
        <f t="shared" si="94"/>
        <v>0</v>
      </c>
      <c r="P772" s="44"/>
      <c r="Q772" s="44"/>
      <c r="R772" s="44"/>
      <c r="S772" s="44">
        <f t="shared" si="102"/>
        <v>0</v>
      </c>
      <c r="T772" s="44">
        <f t="shared" si="95"/>
        <v>0</v>
      </c>
      <c r="U772">
        <v>0</v>
      </c>
      <c r="V772" s="43">
        <v>0</v>
      </c>
      <c r="W772" s="44">
        <f t="shared" si="96"/>
        <v>0</v>
      </c>
      <c r="X772" s="44">
        <f t="shared" si="97"/>
        <v>0</v>
      </c>
      <c r="Y772" s="44">
        <f t="shared" si="98"/>
        <v>0</v>
      </c>
      <c r="Z772" s="84"/>
      <c r="AA772" s="78"/>
      <c r="AB772" s="78"/>
      <c r="AC772" s="78"/>
      <c r="AD772" s="78"/>
      <c r="AE772" s="78"/>
    </row>
    <row r="773" spans="1:31" ht="12.75">
      <c r="A773"/>
      <c r="B773"/>
      <c r="C773"/>
      <c r="D773"/>
      <c r="E773"/>
      <c r="F773"/>
      <c r="G773"/>
      <c r="H773"/>
      <c r="I773"/>
      <c r="J773"/>
      <c r="K773" s="100">
        <f t="shared" si="101"/>
        <v>0</v>
      </c>
      <c r="L773" s="95"/>
      <c r="M773" s="90">
        <f t="shared" si="93"/>
        <v>0</v>
      </c>
      <c r="N773" s="56">
        <v>0</v>
      </c>
      <c r="O773" s="44">
        <f t="shared" si="94"/>
        <v>0</v>
      </c>
      <c r="P773" s="44"/>
      <c r="Q773" s="44"/>
      <c r="R773" s="44"/>
      <c r="S773" s="44">
        <f t="shared" si="102"/>
        <v>0</v>
      </c>
      <c r="T773" s="44">
        <f t="shared" si="95"/>
        <v>0</v>
      </c>
      <c r="U773">
        <v>0</v>
      </c>
      <c r="V773" s="43">
        <v>0</v>
      </c>
      <c r="W773" s="44">
        <f t="shared" si="96"/>
        <v>0</v>
      </c>
      <c r="X773" s="44">
        <f t="shared" si="97"/>
        <v>0</v>
      </c>
      <c r="Y773" s="44">
        <f t="shared" si="98"/>
        <v>0</v>
      </c>
      <c r="Z773" s="84"/>
      <c r="AA773" s="78"/>
      <c r="AB773" s="78"/>
      <c r="AC773" s="78"/>
      <c r="AD773" s="78"/>
      <c r="AE773" s="78"/>
    </row>
    <row r="774" spans="1:31" ht="12.75">
      <c r="A774"/>
      <c r="B774"/>
      <c r="C774"/>
      <c r="D774"/>
      <c r="E774"/>
      <c r="F774"/>
      <c r="G774"/>
      <c r="H774"/>
      <c r="I774"/>
      <c r="J774"/>
      <c r="K774" s="100">
        <f t="shared" si="101"/>
        <v>0</v>
      </c>
      <c r="L774" s="95"/>
      <c r="M774" s="90">
        <f t="shared" si="93"/>
        <v>0</v>
      </c>
      <c r="N774" s="56">
        <v>0</v>
      </c>
      <c r="O774" s="44">
        <f t="shared" si="94"/>
        <v>0</v>
      </c>
      <c r="P774" s="44"/>
      <c r="Q774" s="44"/>
      <c r="R774" s="44"/>
      <c r="S774" s="44">
        <f t="shared" si="102"/>
        <v>0</v>
      </c>
      <c r="T774" s="44">
        <f t="shared" si="95"/>
        <v>0</v>
      </c>
      <c r="U774">
        <v>0</v>
      </c>
      <c r="V774" s="43">
        <v>0</v>
      </c>
      <c r="W774" s="44">
        <f t="shared" si="96"/>
        <v>0</v>
      </c>
      <c r="X774" s="44">
        <f t="shared" si="97"/>
        <v>0</v>
      </c>
      <c r="Y774" s="44">
        <f t="shared" si="98"/>
        <v>0</v>
      </c>
      <c r="Z774" s="84"/>
      <c r="AA774" s="78"/>
      <c r="AB774" s="78"/>
      <c r="AC774" s="78"/>
      <c r="AD774" s="78"/>
      <c r="AE774" s="78"/>
    </row>
    <row r="775" spans="1:31" ht="12.75">
      <c r="A775"/>
      <c r="B775"/>
      <c r="C775"/>
      <c r="D775"/>
      <c r="E775"/>
      <c r="F775"/>
      <c r="G775"/>
      <c r="H775"/>
      <c r="I775"/>
      <c r="J775"/>
      <c r="K775" s="100">
        <f t="shared" si="101"/>
        <v>0</v>
      </c>
      <c r="L775" s="95"/>
      <c r="M775" s="90">
        <f t="shared" si="93"/>
        <v>0</v>
      </c>
      <c r="N775" s="56">
        <v>0</v>
      </c>
      <c r="O775" s="44">
        <f t="shared" si="94"/>
        <v>0</v>
      </c>
      <c r="P775" s="44"/>
      <c r="Q775" s="44"/>
      <c r="R775" s="44"/>
      <c r="S775" s="44">
        <f t="shared" si="102"/>
        <v>0</v>
      </c>
      <c r="T775" s="44">
        <f t="shared" si="95"/>
        <v>0</v>
      </c>
      <c r="U775">
        <v>0</v>
      </c>
      <c r="V775" s="43">
        <v>0</v>
      </c>
      <c r="W775" s="44">
        <f t="shared" si="96"/>
        <v>0</v>
      </c>
      <c r="X775" s="44">
        <f t="shared" si="97"/>
        <v>0</v>
      </c>
      <c r="Y775" s="44">
        <f t="shared" si="98"/>
        <v>0</v>
      </c>
      <c r="Z775" s="84"/>
      <c r="AA775" s="78"/>
      <c r="AB775" s="78"/>
      <c r="AC775" s="78"/>
      <c r="AD775" s="78"/>
      <c r="AE775" s="78"/>
    </row>
    <row r="776" spans="1:31" ht="12.75">
      <c r="A776"/>
      <c r="B776"/>
      <c r="C776"/>
      <c r="D776"/>
      <c r="E776"/>
      <c r="F776"/>
      <c r="G776"/>
      <c r="H776"/>
      <c r="I776"/>
      <c r="J776"/>
      <c r="K776" s="100">
        <f t="shared" si="101"/>
        <v>0</v>
      </c>
      <c r="L776" s="95"/>
      <c r="M776" s="90">
        <f t="shared" ref="M776:M839" si="103">ROUND(K776*L776,2)</f>
        <v>0</v>
      </c>
      <c r="N776" s="56">
        <v>0</v>
      </c>
      <c r="O776" s="44">
        <f t="shared" ref="O776:O839" si="104">+M776-(M776*N776)</f>
        <v>0</v>
      </c>
      <c r="P776" s="44"/>
      <c r="Q776" s="44"/>
      <c r="R776" s="44"/>
      <c r="S776" s="44">
        <f t="shared" si="102"/>
        <v>0</v>
      </c>
      <c r="T776" s="44">
        <f t="shared" ref="T776:T839" si="105">+O776+P776+Q776+R776</f>
        <v>0</v>
      </c>
      <c r="U776">
        <v>0</v>
      </c>
      <c r="V776" s="43">
        <v>0</v>
      </c>
      <c r="W776" s="44">
        <f t="shared" ref="W776:W839" si="106">+O776-U776-V776-Z776</f>
        <v>0</v>
      </c>
      <c r="X776" s="44">
        <f t="shared" ref="X776:X839" si="107">(+O776-U776-Z776)*$X$1</f>
        <v>0</v>
      </c>
      <c r="Y776" s="44">
        <f t="shared" ref="Y776:Y839" si="108">+W776-X776</f>
        <v>0</v>
      </c>
      <c r="Z776" s="84"/>
      <c r="AA776" s="78"/>
      <c r="AB776" s="78"/>
      <c r="AC776" s="78"/>
      <c r="AD776" s="78"/>
      <c r="AE776" s="78"/>
    </row>
    <row r="777" spans="1:31" ht="12.75">
      <c r="A777"/>
      <c r="B777"/>
      <c r="C777"/>
      <c r="D777"/>
      <c r="E777"/>
      <c r="F777"/>
      <c r="G777"/>
      <c r="H777"/>
      <c r="I777"/>
      <c r="J777"/>
      <c r="K777" s="100">
        <f t="shared" si="101"/>
        <v>0</v>
      </c>
      <c r="L777" s="95"/>
      <c r="M777" s="90">
        <f t="shared" si="103"/>
        <v>0</v>
      </c>
      <c r="N777" s="56">
        <v>0</v>
      </c>
      <c r="O777" s="44">
        <f t="shared" si="104"/>
        <v>0</v>
      </c>
      <c r="P777" s="44"/>
      <c r="Q777" s="44"/>
      <c r="R777" s="44"/>
      <c r="S777" s="44">
        <f t="shared" si="102"/>
        <v>0</v>
      </c>
      <c r="T777" s="44">
        <f t="shared" si="105"/>
        <v>0</v>
      </c>
      <c r="U777">
        <v>0</v>
      </c>
      <c r="V777" s="43">
        <v>0</v>
      </c>
      <c r="W777" s="44">
        <f t="shared" si="106"/>
        <v>0</v>
      </c>
      <c r="X777" s="44">
        <f t="shared" si="107"/>
        <v>0</v>
      </c>
      <c r="Y777" s="44">
        <f t="shared" si="108"/>
        <v>0</v>
      </c>
      <c r="Z777" s="84"/>
      <c r="AA777" s="78"/>
      <c r="AB777" s="78"/>
      <c r="AC777" s="78"/>
      <c r="AD777" s="78"/>
      <c r="AE777" s="78"/>
    </row>
    <row r="778" spans="1:31" ht="12.75">
      <c r="A778"/>
      <c r="B778"/>
      <c r="C778"/>
      <c r="D778"/>
      <c r="E778"/>
      <c r="F778"/>
      <c r="G778"/>
      <c r="H778"/>
      <c r="I778"/>
      <c r="J778"/>
      <c r="K778" s="100">
        <f t="shared" si="101"/>
        <v>0</v>
      </c>
      <c r="L778" s="95"/>
      <c r="M778" s="90">
        <f t="shared" si="103"/>
        <v>0</v>
      </c>
      <c r="N778" s="56">
        <v>0</v>
      </c>
      <c r="O778" s="44">
        <f t="shared" si="104"/>
        <v>0</v>
      </c>
      <c r="P778" s="44"/>
      <c r="Q778" s="44"/>
      <c r="R778" s="44"/>
      <c r="S778" s="44">
        <f t="shared" si="102"/>
        <v>0</v>
      </c>
      <c r="T778" s="44">
        <f t="shared" si="105"/>
        <v>0</v>
      </c>
      <c r="U778">
        <v>0</v>
      </c>
      <c r="V778" s="43">
        <v>0</v>
      </c>
      <c r="W778" s="44">
        <f t="shared" si="106"/>
        <v>0</v>
      </c>
      <c r="X778" s="44">
        <f t="shared" si="107"/>
        <v>0</v>
      </c>
      <c r="Y778" s="44">
        <f t="shared" si="108"/>
        <v>0</v>
      </c>
      <c r="Z778" s="84"/>
      <c r="AA778" s="78"/>
      <c r="AB778" s="78"/>
      <c r="AC778" s="78"/>
      <c r="AD778" s="78"/>
      <c r="AE778" s="78"/>
    </row>
    <row r="779" spans="1:31" ht="12.75">
      <c r="A779"/>
      <c r="B779"/>
      <c r="C779"/>
      <c r="D779"/>
      <c r="E779"/>
      <c r="F779"/>
      <c r="G779"/>
      <c r="H779"/>
      <c r="I779"/>
      <c r="J779"/>
      <c r="K779" s="100">
        <f t="shared" si="101"/>
        <v>0</v>
      </c>
      <c r="L779" s="95"/>
      <c r="M779" s="90">
        <f t="shared" si="103"/>
        <v>0</v>
      </c>
      <c r="N779" s="56">
        <v>0</v>
      </c>
      <c r="O779" s="44">
        <f t="shared" si="104"/>
        <v>0</v>
      </c>
      <c r="P779" s="44"/>
      <c r="Q779" s="44"/>
      <c r="R779" s="44"/>
      <c r="S779" s="44">
        <f t="shared" si="102"/>
        <v>0</v>
      </c>
      <c r="T779" s="44">
        <f t="shared" si="105"/>
        <v>0</v>
      </c>
      <c r="U779">
        <v>0</v>
      </c>
      <c r="V779" s="43">
        <v>0</v>
      </c>
      <c r="W779" s="44">
        <f t="shared" si="106"/>
        <v>0</v>
      </c>
      <c r="X779" s="44">
        <f t="shared" si="107"/>
        <v>0</v>
      </c>
      <c r="Y779" s="44">
        <f t="shared" si="108"/>
        <v>0</v>
      </c>
      <c r="Z779" s="84"/>
      <c r="AA779" s="78"/>
      <c r="AB779" s="78"/>
      <c r="AC779" s="78"/>
      <c r="AD779" s="78"/>
      <c r="AE779" s="78"/>
    </row>
    <row r="780" spans="1:31" ht="12.75">
      <c r="A780"/>
      <c r="B780"/>
      <c r="C780"/>
      <c r="D780"/>
      <c r="E780"/>
      <c r="F780"/>
      <c r="G780"/>
      <c r="H780"/>
      <c r="I780"/>
      <c r="J780"/>
      <c r="K780" s="100">
        <f t="shared" si="101"/>
        <v>0</v>
      </c>
      <c r="L780" s="95"/>
      <c r="M780" s="90">
        <f t="shared" si="103"/>
        <v>0</v>
      </c>
      <c r="N780" s="56">
        <v>0</v>
      </c>
      <c r="O780" s="44">
        <f t="shared" si="104"/>
        <v>0</v>
      </c>
      <c r="P780" s="44"/>
      <c r="Q780" s="44"/>
      <c r="R780" s="44"/>
      <c r="S780" s="44">
        <f t="shared" si="102"/>
        <v>0</v>
      </c>
      <c r="T780" s="44">
        <f t="shared" si="105"/>
        <v>0</v>
      </c>
      <c r="U780">
        <v>0</v>
      </c>
      <c r="V780" s="43">
        <v>0</v>
      </c>
      <c r="W780" s="44">
        <f t="shared" si="106"/>
        <v>0</v>
      </c>
      <c r="X780" s="44">
        <f t="shared" si="107"/>
        <v>0</v>
      </c>
      <c r="Y780" s="44">
        <f t="shared" si="108"/>
        <v>0</v>
      </c>
      <c r="Z780" s="84"/>
      <c r="AA780" s="78"/>
      <c r="AB780" s="78"/>
      <c r="AC780" s="78"/>
      <c r="AD780" s="78"/>
      <c r="AE780" s="78"/>
    </row>
    <row r="781" spans="1:31" ht="12.75">
      <c r="A781"/>
      <c r="B781"/>
      <c r="C781"/>
      <c r="D781"/>
      <c r="E781"/>
      <c r="F781"/>
      <c r="G781"/>
      <c r="H781"/>
      <c r="I781"/>
      <c r="J781"/>
      <c r="K781" s="100">
        <f t="shared" si="101"/>
        <v>0</v>
      </c>
      <c r="L781" s="95"/>
      <c r="M781" s="90">
        <f t="shared" si="103"/>
        <v>0</v>
      </c>
      <c r="N781" s="56">
        <v>0</v>
      </c>
      <c r="O781" s="44">
        <f t="shared" si="104"/>
        <v>0</v>
      </c>
      <c r="P781" s="44"/>
      <c r="Q781" s="44"/>
      <c r="R781" s="44"/>
      <c r="S781" s="44">
        <f t="shared" si="102"/>
        <v>0</v>
      </c>
      <c r="T781" s="44">
        <f t="shared" si="105"/>
        <v>0</v>
      </c>
      <c r="U781">
        <v>0</v>
      </c>
      <c r="V781" s="43">
        <v>0</v>
      </c>
      <c r="W781" s="44">
        <f t="shared" si="106"/>
        <v>0</v>
      </c>
      <c r="X781" s="44">
        <f t="shared" si="107"/>
        <v>0</v>
      </c>
      <c r="Y781" s="44">
        <f t="shared" si="108"/>
        <v>0</v>
      </c>
      <c r="Z781" s="84"/>
      <c r="AA781" s="78"/>
      <c r="AB781" s="78"/>
      <c r="AC781" s="78"/>
      <c r="AD781" s="78"/>
      <c r="AE781" s="78"/>
    </row>
    <row r="782" spans="1:31" ht="12.75">
      <c r="A782"/>
      <c r="B782"/>
      <c r="C782"/>
      <c r="D782"/>
      <c r="E782"/>
      <c r="F782"/>
      <c r="G782"/>
      <c r="H782"/>
      <c r="I782"/>
      <c r="J782"/>
      <c r="K782" s="100">
        <f t="shared" si="101"/>
        <v>0</v>
      </c>
      <c r="L782" s="95"/>
      <c r="M782" s="90">
        <f t="shared" si="103"/>
        <v>0</v>
      </c>
      <c r="N782" s="56">
        <v>0</v>
      </c>
      <c r="O782" s="44">
        <f t="shared" si="104"/>
        <v>0</v>
      </c>
      <c r="P782" s="44"/>
      <c r="Q782" s="44"/>
      <c r="R782" s="44"/>
      <c r="S782" s="44">
        <f t="shared" si="102"/>
        <v>0</v>
      </c>
      <c r="T782" s="44">
        <f t="shared" si="105"/>
        <v>0</v>
      </c>
      <c r="U782">
        <v>0</v>
      </c>
      <c r="V782" s="43">
        <v>0</v>
      </c>
      <c r="W782" s="44">
        <f t="shared" si="106"/>
        <v>0</v>
      </c>
      <c r="X782" s="44">
        <f t="shared" si="107"/>
        <v>0</v>
      </c>
      <c r="Y782" s="44">
        <f t="shared" si="108"/>
        <v>0</v>
      </c>
      <c r="Z782" s="84"/>
      <c r="AA782" s="78"/>
      <c r="AB782" s="78"/>
      <c r="AC782" s="78"/>
      <c r="AD782" s="78"/>
      <c r="AE782" s="78"/>
    </row>
    <row r="783" spans="1:31" ht="12.75">
      <c r="A783"/>
      <c r="B783"/>
      <c r="C783"/>
      <c r="D783"/>
      <c r="E783"/>
      <c r="F783"/>
      <c r="G783"/>
      <c r="H783"/>
      <c r="I783"/>
      <c r="J783"/>
      <c r="K783" s="100">
        <f t="shared" si="101"/>
        <v>0</v>
      </c>
      <c r="L783" s="95"/>
      <c r="M783" s="90">
        <f t="shared" si="103"/>
        <v>0</v>
      </c>
      <c r="N783" s="56">
        <v>0</v>
      </c>
      <c r="O783" s="44">
        <f t="shared" si="104"/>
        <v>0</v>
      </c>
      <c r="P783" s="44"/>
      <c r="Q783" s="44"/>
      <c r="R783" s="44"/>
      <c r="S783" s="44">
        <f t="shared" si="102"/>
        <v>0</v>
      </c>
      <c r="T783" s="44">
        <f t="shared" si="105"/>
        <v>0</v>
      </c>
      <c r="U783">
        <v>0</v>
      </c>
      <c r="V783" s="43">
        <v>0</v>
      </c>
      <c r="W783" s="44">
        <f t="shared" si="106"/>
        <v>0</v>
      </c>
      <c r="X783" s="44">
        <f t="shared" si="107"/>
        <v>0</v>
      </c>
      <c r="Y783" s="44">
        <f t="shared" si="108"/>
        <v>0</v>
      </c>
      <c r="Z783" s="84"/>
      <c r="AA783" s="78"/>
      <c r="AB783" s="78"/>
      <c r="AC783" s="78"/>
      <c r="AD783" s="78"/>
      <c r="AE783" s="78"/>
    </row>
    <row r="784" spans="1:31" ht="12.75">
      <c r="A784"/>
      <c r="B784"/>
      <c r="C784"/>
      <c r="D784"/>
      <c r="E784"/>
      <c r="F784"/>
      <c r="G784"/>
      <c r="H784"/>
      <c r="I784"/>
      <c r="J784"/>
      <c r="K784" s="100">
        <f t="shared" si="101"/>
        <v>0</v>
      </c>
      <c r="L784" s="95"/>
      <c r="M784" s="90">
        <f t="shared" si="103"/>
        <v>0</v>
      </c>
      <c r="N784" s="56">
        <v>0</v>
      </c>
      <c r="O784" s="44">
        <f t="shared" si="104"/>
        <v>0</v>
      </c>
      <c r="P784" s="44"/>
      <c r="Q784" s="44"/>
      <c r="R784" s="44"/>
      <c r="S784" s="44">
        <f t="shared" si="102"/>
        <v>0</v>
      </c>
      <c r="T784" s="44">
        <f t="shared" si="105"/>
        <v>0</v>
      </c>
      <c r="U784">
        <v>0</v>
      </c>
      <c r="V784" s="43">
        <v>0</v>
      </c>
      <c r="W784" s="44">
        <f t="shared" si="106"/>
        <v>0</v>
      </c>
      <c r="X784" s="44">
        <f t="shared" si="107"/>
        <v>0</v>
      </c>
      <c r="Y784" s="44">
        <f t="shared" si="108"/>
        <v>0</v>
      </c>
      <c r="Z784" s="84"/>
      <c r="AA784" s="78"/>
      <c r="AB784" s="78"/>
      <c r="AC784" s="78"/>
      <c r="AD784" s="78"/>
      <c r="AE784" s="78"/>
    </row>
    <row r="785" spans="1:31" ht="12.75">
      <c r="A785"/>
      <c r="B785"/>
      <c r="C785"/>
      <c r="D785"/>
      <c r="E785"/>
      <c r="F785"/>
      <c r="G785"/>
      <c r="H785"/>
      <c r="I785"/>
      <c r="J785"/>
      <c r="K785" s="100">
        <f t="shared" si="101"/>
        <v>0</v>
      </c>
      <c r="L785" s="95"/>
      <c r="M785" s="90">
        <f t="shared" si="103"/>
        <v>0</v>
      </c>
      <c r="N785" s="56">
        <v>0</v>
      </c>
      <c r="O785" s="44">
        <f t="shared" si="104"/>
        <v>0</v>
      </c>
      <c r="P785" s="44"/>
      <c r="Q785" s="44"/>
      <c r="R785" s="44"/>
      <c r="S785" s="44">
        <f t="shared" si="102"/>
        <v>0</v>
      </c>
      <c r="T785" s="44">
        <f t="shared" si="105"/>
        <v>0</v>
      </c>
      <c r="U785">
        <v>0</v>
      </c>
      <c r="V785" s="43">
        <v>0</v>
      </c>
      <c r="W785" s="44">
        <f t="shared" si="106"/>
        <v>0</v>
      </c>
      <c r="X785" s="44">
        <f t="shared" si="107"/>
        <v>0</v>
      </c>
      <c r="Y785" s="44">
        <f t="shared" si="108"/>
        <v>0</v>
      </c>
      <c r="Z785" s="84"/>
      <c r="AA785" s="78"/>
      <c r="AB785" s="78"/>
      <c r="AC785" s="78"/>
      <c r="AD785" s="78"/>
      <c r="AE785" s="78"/>
    </row>
    <row r="786" spans="1:31" ht="12.75">
      <c r="A786"/>
      <c r="B786"/>
      <c r="C786"/>
      <c r="D786"/>
      <c r="E786"/>
      <c r="F786"/>
      <c r="G786"/>
      <c r="H786"/>
      <c r="I786"/>
      <c r="J786"/>
      <c r="K786" s="100">
        <f t="shared" si="101"/>
        <v>0</v>
      </c>
      <c r="L786" s="95"/>
      <c r="M786" s="90">
        <f t="shared" si="103"/>
        <v>0</v>
      </c>
      <c r="N786" s="56">
        <v>0</v>
      </c>
      <c r="O786" s="44">
        <f t="shared" si="104"/>
        <v>0</v>
      </c>
      <c r="P786" s="44"/>
      <c r="Q786" s="44"/>
      <c r="R786" s="44"/>
      <c r="S786" s="44">
        <f t="shared" si="102"/>
        <v>0</v>
      </c>
      <c r="T786" s="44">
        <f t="shared" si="105"/>
        <v>0</v>
      </c>
      <c r="U786">
        <v>0</v>
      </c>
      <c r="V786" s="43">
        <v>0</v>
      </c>
      <c r="W786" s="44">
        <f t="shared" si="106"/>
        <v>0</v>
      </c>
      <c r="X786" s="44">
        <f t="shared" si="107"/>
        <v>0</v>
      </c>
      <c r="Y786" s="44">
        <f t="shared" si="108"/>
        <v>0</v>
      </c>
      <c r="Z786" s="84"/>
      <c r="AA786" s="78"/>
      <c r="AB786" s="78"/>
      <c r="AC786" s="78"/>
      <c r="AD786" s="78"/>
      <c r="AE786" s="78"/>
    </row>
    <row r="787" spans="1:31" ht="12.75">
      <c r="A787"/>
      <c r="B787"/>
      <c r="C787"/>
      <c r="D787"/>
      <c r="E787"/>
      <c r="F787"/>
      <c r="G787"/>
      <c r="H787"/>
      <c r="I787"/>
      <c r="J787"/>
      <c r="K787" s="100">
        <f t="shared" si="101"/>
        <v>0</v>
      </c>
      <c r="L787" s="95"/>
      <c r="M787" s="90">
        <f t="shared" si="103"/>
        <v>0</v>
      </c>
      <c r="N787" s="56">
        <v>0</v>
      </c>
      <c r="O787" s="44">
        <f t="shared" si="104"/>
        <v>0</v>
      </c>
      <c r="P787" s="44"/>
      <c r="Q787" s="44"/>
      <c r="R787" s="44"/>
      <c r="S787" s="44">
        <f t="shared" si="102"/>
        <v>0</v>
      </c>
      <c r="T787" s="44">
        <f t="shared" si="105"/>
        <v>0</v>
      </c>
      <c r="U787">
        <v>0</v>
      </c>
      <c r="V787" s="43">
        <v>0</v>
      </c>
      <c r="W787" s="44">
        <f t="shared" si="106"/>
        <v>0</v>
      </c>
      <c r="X787" s="44">
        <f t="shared" si="107"/>
        <v>0</v>
      </c>
      <c r="Y787" s="44">
        <f t="shared" si="108"/>
        <v>0</v>
      </c>
      <c r="Z787" s="84"/>
      <c r="AA787" s="78"/>
      <c r="AB787" s="78"/>
      <c r="AC787" s="78"/>
      <c r="AD787" s="78"/>
      <c r="AE787" s="78"/>
    </row>
    <row r="788" spans="1:31" ht="12.75">
      <c r="A788"/>
      <c r="B788"/>
      <c r="C788"/>
      <c r="D788"/>
      <c r="E788"/>
      <c r="F788"/>
      <c r="G788"/>
      <c r="H788"/>
      <c r="I788"/>
      <c r="J788"/>
      <c r="K788" s="100">
        <f t="shared" si="101"/>
        <v>0</v>
      </c>
      <c r="L788" s="95"/>
      <c r="M788" s="90">
        <f t="shared" si="103"/>
        <v>0</v>
      </c>
      <c r="N788" s="56">
        <v>0</v>
      </c>
      <c r="O788" s="44">
        <f t="shared" si="104"/>
        <v>0</v>
      </c>
      <c r="P788" s="44"/>
      <c r="Q788" s="44"/>
      <c r="R788" s="44"/>
      <c r="S788" s="44">
        <f t="shared" si="102"/>
        <v>0</v>
      </c>
      <c r="T788" s="44">
        <f t="shared" si="105"/>
        <v>0</v>
      </c>
      <c r="U788">
        <v>0</v>
      </c>
      <c r="V788" s="43">
        <v>0</v>
      </c>
      <c r="W788" s="44">
        <f t="shared" si="106"/>
        <v>0</v>
      </c>
      <c r="X788" s="44">
        <f t="shared" si="107"/>
        <v>0</v>
      </c>
      <c r="Y788" s="44">
        <f t="shared" si="108"/>
        <v>0</v>
      </c>
      <c r="Z788" s="84"/>
      <c r="AA788" s="78"/>
      <c r="AB788" s="78"/>
      <c r="AC788" s="78"/>
      <c r="AD788" s="78"/>
      <c r="AE788" s="78"/>
    </row>
    <row r="789" spans="1:31" ht="12.75">
      <c r="A789"/>
      <c r="B789"/>
      <c r="C789"/>
      <c r="D789"/>
      <c r="E789"/>
      <c r="F789"/>
      <c r="G789"/>
      <c r="H789"/>
      <c r="I789"/>
      <c r="J789"/>
      <c r="K789" s="100">
        <f t="shared" si="101"/>
        <v>0</v>
      </c>
      <c r="L789" s="95"/>
      <c r="M789" s="90">
        <f t="shared" si="103"/>
        <v>0</v>
      </c>
      <c r="N789" s="56">
        <v>0</v>
      </c>
      <c r="O789" s="44">
        <f t="shared" si="104"/>
        <v>0</v>
      </c>
      <c r="P789" s="44"/>
      <c r="Q789" s="44"/>
      <c r="R789" s="44"/>
      <c r="S789" s="44">
        <f t="shared" si="102"/>
        <v>0</v>
      </c>
      <c r="T789" s="44">
        <f t="shared" si="105"/>
        <v>0</v>
      </c>
      <c r="U789">
        <v>0</v>
      </c>
      <c r="V789" s="43">
        <v>0</v>
      </c>
      <c r="W789" s="44">
        <f t="shared" si="106"/>
        <v>0</v>
      </c>
      <c r="X789" s="44">
        <f t="shared" si="107"/>
        <v>0</v>
      </c>
      <c r="Y789" s="44">
        <f t="shared" si="108"/>
        <v>0</v>
      </c>
      <c r="Z789" s="84"/>
      <c r="AA789" s="78"/>
      <c r="AB789" s="78"/>
      <c r="AC789" s="78"/>
      <c r="AD789" s="78"/>
      <c r="AE789" s="78"/>
    </row>
    <row r="790" spans="1:31" ht="12.75">
      <c r="A790"/>
      <c r="B790"/>
      <c r="C790"/>
      <c r="D790"/>
      <c r="E790"/>
      <c r="F790"/>
      <c r="G790"/>
      <c r="H790"/>
      <c r="I790"/>
      <c r="J790"/>
      <c r="K790" s="100">
        <f t="shared" si="101"/>
        <v>0</v>
      </c>
      <c r="L790" s="95"/>
      <c r="M790" s="90">
        <f t="shared" si="103"/>
        <v>0</v>
      </c>
      <c r="N790" s="56">
        <v>0</v>
      </c>
      <c r="O790" s="44">
        <f t="shared" si="104"/>
        <v>0</v>
      </c>
      <c r="P790" s="44"/>
      <c r="Q790" s="44"/>
      <c r="R790" s="44"/>
      <c r="S790" s="44">
        <f t="shared" si="102"/>
        <v>0</v>
      </c>
      <c r="T790" s="44">
        <f t="shared" si="105"/>
        <v>0</v>
      </c>
      <c r="U790">
        <v>0</v>
      </c>
      <c r="V790" s="43">
        <v>0</v>
      </c>
      <c r="W790" s="44">
        <f t="shared" si="106"/>
        <v>0</v>
      </c>
      <c r="X790" s="44">
        <f t="shared" si="107"/>
        <v>0</v>
      </c>
      <c r="Y790" s="44">
        <f t="shared" si="108"/>
        <v>0</v>
      </c>
      <c r="Z790" s="84"/>
      <c r="AA790" s="78"/>
      <c r="AB790" s="78"/>
      <c r="AC790" s="78"/>
      <c r="AD790" s="78"/>
      <c r="AE790" s="78"/>
    </row>
    <row r="791" spans="1:31" ht="12.75">
      <c r="A791"/>
      <c r="B791"/>
      <c r="C791"/>
      <c r="D791"/>
      <c r="E791"/>
      <c r="F791"/>
      <c r="G791"/>
      <c r="H791"/>
      <c r="I791"/>
      <c r="J791"/>
      <c r="K791" s="100">
        <f t="shared" si="101"/>
        <v>0</v>
      </c>
      <c r="L791" s="95"/>
      <c r="M791" s="90">
        <f t="shared" si="103"/>
        <v>0</v>
      </c>
      <c r="N791" s="56">
        <v>0</v>
      </c>
      <c r="O791" s="44">
        <f t="shared" si="104"/>
        <v>0</v>
      </c>
      <c r="P791" s="44"/>
      <c r="Q791" s="44"/>
      <c r="R791" s="44"/>
      <c r="S791" s="44">
        <f t="shared" si="102"/>
        <v>0</v>
      </c>
      <c r="T791" s="44">
        <f t="shared" si="105"/>
        <v>0</v>
      </c>
      <c r="U791">
        <v>0</v>
      </c>
      <c r="V791" s="43">
        <v>0</v>
      </c>
      <c r="W791" s="44">
        <f t="shared" si="106"/>
        <v>0</v>
      </c>
      <c r="X791" s="44">
        <f t="shared" si="107"/>
        <v>0</v>
      </c>
      <c r="Y791" s="44">
        <f t="shared" si="108"/>
        <v>0</v>
      </c>
      <c r="Z791" s="84"/>
      <c r="AA791" s="78"/>
      <c r="AB791" s="78"/>
      <c r="AC791" s="78"/>
      <c r="AD791" s="78"/>
      <c r="AE791" s="78"/>
    </row>
    <row r="792" spans="1:31" ht="12.75">
      <c r="A792"/>
      <c r="B792"/>
      <c r="C792"/>
      <c r="D792"/>
      <c r="E792"/>
      <c r="F792"/>
      <c r="G792"/>
      <c r="H792"/>
      <c r="I792"/>
      <c r="J792"/>
      <c r="K792" s="100">
        <f t="shared" si="101"/>
        <v>0</v>
      </c>
      <c r="L792" s="95"/>
      <c r="M792" s="90">
        <f t="shared" si="103"/>
        <v>0</v>
      </c>
      <c r="N792" s="56">
        <v>0</v>
      </c>
      <c r="O792" s="44">
        <f t="shared" si="104"/>
        <v>0</v>
      </c>
      <c r="P792" s="44"/>
      <c r="Q792" s="44"/>
      <c r="R792" s="44"/>
      <c r="S792" s="44">
        <f t="shared" si="102"/>
        <v>0</v>
      </c>
      <c r="T792" s="44">
        <f t="shared" si="105"/>
        <v>0</v>
      </c>
      <c r="U792">
        <v>0</v>
      </c>
      <c r="V792" s="43">
        <v>0</v>
      </c>
      <c r="W792" s="44">
        <f t="shared" si="106"/>
        <v>0</v>
      </c>
      <c r="X792" s="44">
        <f t="shared" si="107"/>
        <v>0</v>
      </c>
      <c r="Y792" s="44">
        <f t="shared" si="108"/>
        <v>0</v>
      </c>
      <c r="Z792" s="84"/>
      <c r="AA792" s="78"/>
      <c r="AB792" s="78"/>
      <c r="AC792" s="78"/>
      <c r="AD792" s="78"/>
      <c r="AE792" s="78"/>
    </row>
    <row r="793" spans="1:31" ht="12.75">
      <c r="A793"/>
      <c r="B793"/>
      <c r="C793"/>
      <c r="D793"/>
      <c r="E793"/>
      <c r="F793"/>
      <c r="G793"/>
      <c r="H793"/>
      <c r="I793"/>
      <c r="J793"/>
      <c r="K793" s="100">
        <f t="shared" si="101"/>
        <v>0</v>
      </c>
      <c r="L793" s="95"/>
      <c r="M793" s="90">
        <f t="shared" si="103"/>
        <v>0</v>
      </c>
      <c r="N793" s="56">
        <v>0</v>
      </c>
      <c r="O793" s="44">
        <f t="shared" si="104"/>
        <v>0</v>
      </c>
      <c r="P793" s="44"/>
      <c r="Q793" s="44"/>
      <c r="R793" s="44"/>
      <c r="S793" s="44">
        <f t="shared" si="102"/>
        <v>0</v>
      </c>
      <c r="T793" s="44">
        <f t="shared" si="105"/>
        <v>0</v>
      </c>
      <c r="U793">
        <v>0</v>
      </c>
      <c r="V793" s="43">
        <v>0</v>
      </c>
      <c r="W793" s="44">
        <f t="shared" si="106"/>
        <v>0</v>
      </c>
      <c r="X793" s="44">
        <f t="shared" si="107"/>
        <v>0</v>
      </c>
      <c r="Y793" s="44">
        <f t="shared" si="108"/>
        <v>0</v>
      </c>
      <c r="Z793" s="84"/>
      <c r="AA793" s="78"/>
      <c r="AB793" s="78"/>
      <c r="AC793" s="78"/>
      <c r="AD793" s="78"/>
      <c r="AE793" s="78"/>
    </row>
    <row r="794" spans="1:31" ht="12.75">
      <c r="A794"/>
      <c r="B794"/>
      <c r="C794"/>
      <c r="D794"/>
      <c r="E794"/>
      <c r="F794"/>
      <c r="G794"/>
      <c r="H794"/>
      <c r="I794"/>
      <c r="J794"/>
      <c r="K794" s="100">
        <f t="shared" si="101"/>
        <v>0</v>
      </c>
      <c r="L794" s="95"/>
      <c r="M794" s="90">
        <f t="shared" si="103"/>
        <v>0</v>
      </c>
      <c r="N794" s="56">
        <v>0</v>
      </c>
      <c r="O794" s="44">
        <f t="shared" si="104"/>
        <v>0</v>
      </c>
      <c r="P794" s="44"/>
      <c r="Q794" s="44"/>
      <c r="R794" s="44"/>
      <c r="S794" s="44">
        <f t="shared" si="102"/>
        <v>0</v>
      </c>
      <c r="T794" s="44">
        <f t="shared" si="105"/>
        <v>0</v>
      </c>
      <c r="U794">
        <v>0</v>
      </c>
      <c r="V794" s="43">
        <v>0</v>
      </c>
      <c r="W794" s="44">
        <f t="shared" si="106"/>
        <v>0</v>
      </c>
      <c r="X794" s="44">
        <f t="shared" si="107"/>
        <v>0</v>
      </c>
      <c r="Y794" s="44">
        <f t="shared" si="108"/>
        <v>0</v>
      </c>
      <c r="Z794" s="84"/>
      <c r="AA794" s="78"/>
      <c r="AB794" s="78"/>
      <c r="AC794" s="78"/>
      <c r="AD794" s="78"/>
      <c r="AE794" s="78"/>
    </row>
    <row r="795" spans="1:31" ht="12.75">
      <c r="A795"/>
      <c r="B795"/>
      <c r="C795"/>
      <c r="D795"/>
      <c r="E795"/>
      <c r="F795"/>
      <c r="G795"/>
      <c r="H795"/>
      <c r="I795"/>
      <c r="J795"/>
      <c r="K795" s="100">
        <f t="shared" si="101"/>
        <v>0</v>
      </c>
      <c r="L795" s="95"/>
      <c r="M795" s="90">
        <f t="shared" si="103"/>
        <v>0</v>
      </c>
      <c r="N795" s="56">
        <v>0</v>
      </c>
      <c r="O795" s="44">
        <f t="shared" si="104"/>
        <v>0</v>
      </c>
      <c r="P795" s="44"/>
      <c r="Q795" s="44"/>
      <c r="R795" s="44"/>
      <c r="S795" s="44">
        <f t="shared" si="102"/>
        <v>0</v>
      </c>
      <c r="T795" s="44">
        <f t="shared" si="105"/>
        <v>0</v>
      </c>
      <c r="U795">
        <v>0</v>
      </c>
      <c r="V795" s="43">
        <v>0</v>
      </c>
      <c r="W795" s="44">
        <f t="shared" si="106"/>
        <v>0</v>
      </c>
      <c r="X795" s="44">
        <f t="shared" si="107"/>
        <v>0</v>
      </c>
      <c r="Y795" s="44">
        <f t="shared" si="108"/>
        <v>0</v>
      </c>
      <c r="Z795" s="84"/>
      <c r="AA795" s="78"/>
      <c r="AB795" s="78"/>
      <c r="AC795" s="78"/>
      <c r="AD795" s="78"/>
      <c r="AE795" s="78"/>
    </row>
    <row r="796" spans="1:31" ht="12.75">
      <c r="A796"/>
      <c r="B796"/>
      <c r="C796"/>
      <c r="D796"/>
      <c r="E796"/>
      <c r="F796"/>
      <c r="G796"/>
      <c r="H796"/>
      <c r="I796"/>
      <c r="J796"/>
      <c r="K796" s="100">
        <f t="shared" si="101"/>
        <v>0</v>
      </c>
      <c r="L796" s="95"/>
      <c r="M796" s="90">
        <f t="shared" si="103"/>
        <v>0</v>
      </c>
      <c r="N796" s="56">
        <v>0</v>
      </c>
      <c r="O796" s="44">
        <f t="shared" si="104"/>
        <v>0</v>
      </c>
      <c r="P796" s="44"/>
      <c r="Q796" s="44"/>
      <c r="R796" s="44"/>
      <c r="S796" s="44">
        <f t="shared" si="102"/>
        <v>0</v>
      </c>
      <c r="T796" s="44">
        <f t="shared" si="105"/>
        <v>0</v>
      </c>
      <c r="U796">
        <v>0</v>
      </c>
      <c r="V796" s="43">
        <v>0</v>
      </c>
      <c r="W796" s="44">
        <f t="shared" si="106"/>
        <v>0</v>
      </c>
      <c r="X796" s="44">
        <f t="shared" si="107"/>
        <v>0</v>
      </c>
      <c r="Y796" s="44">
        <f t="shared" si="108"/>
        <v>0</v>
      </c>
      <c r="Z796" s="84"/>
      <c r="AA796" s="78"/>
      <c r="AB796" s="78"/>
      <c r="AC796" s="78"/>
      <c r="AD796" s="78"/>
      <c r="AE796" s="78"/>
    </row>
    <row r="797" spans="1:31" ht="12.75">
      <c r="A797"/>
      <c r="B797"/>
      <c r="C797"/>
      <c r="D797"/>
      <c r="E797"/>
      <c r="F797"/>
      <c r="G797"/>
      <c r="H797"/>
      <c r="I797"/>
      <c r="J797"/>
      <c r="K797" s="100">
        <f t="shared" si="101"/>
        <v>0</v>
      </c>
      <c r="L797" s="95"/>
      <c r="M797" s="90">
        <f t="shared" si="103"/>
        <v>0</v>
      </c>
      <c r="N797" s="56">
        <v>0</v>
      </c>
      <c r="O797" s="44">
        <f t="shared" si="104"/>
        <v>0</v>
      </c>
      <c r="P797" s="44"/>
      <c r="Q797" s="44"/>
      <c r="R797" s="44"/>
      <c r="S797" s="44">
        <f t="shared" si="102"/>
        <v>0</v>
      </c>
      <c r="T797" s="44">
        <f t="shared" si="105"/>
        <v>0</v>
      </c>
      <c r="U797">
        <v>0</v>
      </c>
      <c r="V797" s="43">
        <v>0</v>
      </c>
      <c r="W797" s="44">
        <f t="shared" si="106"/>
        <v>0</v>
      </c>
      <c r="X797" s="44">
        <f t="shared" si="107"/>
        <v>0</v>
      </c>
      <c r="Y797" s="44">
        <f t="shared" si="108"/>
        <v>0</v>
      </c>
      <c r="Z797" s="84"/>
      <c r="AA797" s="78"/>
      <c r="AB797" s="78"/>
      <c r="AC797" s="78"/>
      <c r="AD797" s="78"/>
      <c r="AE797" s="78"/>
    </row>
    <row r="798" spans="1:31" ht="12.75">
      <c r="A798"/>
      <c r="B798"/>
      <c r="C798"/>
      <c r="D798"/>
      <c r="E798"/>
      <c r="F798"/>
      <c r="G798"/>
      <c r="H798"/>
      <c r="I798"/>
      <c r="J798"/>
      <c r="K798" s="100">
        <f t="shared" si="101"/>
        <v>0</v>
      </c>
      <c r="L798" s="95"/>
      <c r="M798" s="90">
        <f t="shared" si="103"/>
        <v>0</v>
      </c>
      <c r="N798" s="56">
        <v>0</v>
      </c>
      <c r="O798" s="44">
        <f t="shared" si="104"/>
        <v>0</v>
      </c>
      <c r="P798" s="44"/>
      <c r="Q798" s="44"/>
      <c r="R798" s="44"/>
      <c r="S798" s="44">
        <f t="shared" si="102"/>
        <v>0</v>
      </c>
      <c r="T798" s="44">
        <f t="shared" si="105"/>
        <v>0</v>
      </c>
      <c r="U798">
        <v>0</v>
      </c>
      <c r="V798" s="43">
        <v>0</v>
      </c>
      <c r="W798" s="44">
        <f t="shared" si="106"/>
        <v>0</v>
      </c>
      <c r="X798" s="44">
        <f t="shared" si="107"/>
        <v>0</v>
      </c>
      <c r="Y798" s="44">
        <f t="shared" si="108"/>
        <v>0</v>
      </c>
      <c r="Z798" s="84"/>
      <c r="AA798" s="78"/>
      <c r="AB798" s="78"/>
      <c r="AC798" s="78"/>
      <c r="AD798" s="78"/>
      <c r="AE798" s="78"/>
    </row>
    <row r="799" spans="1:31" ht="12.75">
      <c r="A799"/>
      <c r="B799"/>
      <c r="C799"/>
      <c r="D799"/>
      <c r="E799"/>
      <c r="F799"/>
      <c r="G799"/>
      <c r="H799"/>
      <c r="I799"/>
      <c r="J799"/>
      <c r="K799" s="100">
        <f t="shared" si="101"/>
        <v>0</v>
      </c>
      <c r="L799" s="95"/>
      <c r="M799" s="90">
        <f t="shared" si="103"/>
        <v>0</v>
      </c>
      <c r="N799" s="56">
        <v>0</v>
      </c>
      <c r="O799" s="44">
        <f t="shared" si="104"/>
        <v>0</v>
      </c>
      <c r="P799" s="44"/>
      <c r="Q799" s="44"/>
      <c r="R799" s="44"/>
      <c r="S799" s="44">
        <f t="shared" si="102"/>
        <v>0</v>
      </c>
      <c r="T799" s="44">
        <f t="shared" si="105"/>
        <v>0</v>
      </c>
      <c r="U799">
        <v>0</v>
      </c>
      <c r="V799" s="43">
        <v>0</v>
      </c>
      <c r="W799" s="44">
        <f t="shared" si="106"/>
        <v>0</v>
      </c>
      <c r="X799" s="44">
        <f t="shared" si="107"/>
        <v>0</v>
      </c>
      <c r="Y799" s="44">
        <f t="shared" si="108"/>
        <v>0</v>
      </c>
      <c r="Z799" s="84"/>
      <c r="AA799" s="78"/>
      <c r="AB799" s="78"/>
      <c r="AC799" s="78"/>
      <c r="AD799" s="78"/>
      <c r="AE799" s="78"/>
    </row>
    <row r="800" spans="1:31" ht="12.75">
      <c r="A800"/>
      <c r="B800"/>
      <c r="C800"/>
      <c r="D800"/>
      <c r="E800"/>
      <c r="F800"/>
      <c r="G800"/>
      <c r="H800"/>
      <c r="I800"/>
      <c r="J800"/>
      <c r="K800" s="100">
        <f t="shared" si="101"/>
        <v>0</v>
      </c>
      <c r="L800" s="95"/>
      <c r="M800" s="90">
        <f t="shared" si="103"/>
        <v>0</v>
      </c>
      <c r="N800" s="56">
        <v>0</v>
      </c>
      <c r="O800" s="44">
        <f t="shared" si="104"/>
        <v>0</v>
      </c>
      <c r="P800" s="44"/>
      <c r="Q800" s="44"/>
      <c r="R800" s="44"/>
      <c r="S800" s="44">
        <f t="shared" si="102"/>
        <v>0</v>
      </c>
      <c r="T800" s="44">
        <f t="shared" si="105"/>
        <v>0</v>
      </c>
      <c r="U800">
        <v>0</v>
      </c>
      <c r="V800" s="43">
        <v>0</v>
      </c>
      <c r="W800" s="44">
        <f t="shared" si="106"/>
        <v>0</v>
      </c>
      <c r="X800" s="44">
        <f t="shared" si="107"/>
        <v>0</v>
      </c>
      <c r="Y800" s="44">
        <f t="shared" si="108"/>
        <v>0</v>
      </c>
      <c r="Z800" s="84"/>
      <c r="AA800" s="78"/>
      <c r="AB800" s="78"/>
      <c r="AC800" s="78"/>
      <c r="AD800" s="78"/>
      <c r="AE800" s="78"/>
    </row>
    <row r="801" spans="1:31" ht="12.75">
      <c r="A801"/>
      <c r="B801"/>
      <c r="C801"/>
      <c r="D801"/>
      <c r="E801"/>
      <c r="F801"/>
      <c r="G801"/>
      <c r="H801"/>
      <c r="I801"/>
      <c r="J801"/>
      <c r="K801" s="100">
        <f t="shared" si="101"/>
        <v>0</v>
      </c>
      <c r="L801" s="95"/>
      <c r="M801" s="90">
        <f t="shared" si="103"/>
        <v>0</v>
      </c>
      <c r="N801" s="56">
        <v>0</v>
      </c>
      <c r="O801" s="44">
        <f t="shared" si="104"/>
        <v>0</v>
      </c>
      <c r="P801" s="44"/>
      <c r="Q801" s="44"/>
      <c r="R801" s="44"/>
      <c r="S801" s="44">
        <f t="shared" si="102"/>
        <v>0</v>
      </c>
      <c r="T801" s="44">
        <f t="shared" si="105"/>
        <v>0</v>
      </c>
      <c r="U801">
        <v>0</v>
      </c>
      <c r="V801" s="43">
        <v>0</v>
      </c>
      <c r="W801" s="44">
        <f t="shared" si="106"/>
        <v>0</v>
      </c>
      <c r="X801" s="44">
        <f t="shared" si="107"/>
        <v>0</v>
      </c>
      <c r="Y801" s="44">
        <f t="shared" si="108"/>
        <v>0</v>
      </c>
      <c r="Z801" s="84"/>
      <c r="AA801" s="78"/>
      <c r="AB801" s="78"/>
      <c r="AC801" s="78"/>
      <c r="AD801" s="78"/>
      <c r="AE801" s="78"/>
    </row>
    <row r="802" spans="1:31" ht="12.75">
      <c r="A802"/>
      <c r="B802"/>
      <c r="C802"/>
      <c r="D802"/>
      <c r="E802"/>
      <c r="F802"/>
      <c r="G802"/>
      <c r="H802"/>
      <c r="I802"/>
      <c r="J802"/>
      <c r="K802" s="100">
        <f t="shared" si="101"/>
        <v>0</v>
      </c>
      <c r="L802" s="95"/>
      <c r="M802" s="90">
        <f t="shared" si="103"/>
        <v>0</v>
      </c>
      <c r="N802" s="56">
        <v>0</v>
      </c>
      <c r="O802" s="44">
        <f t="shared" si="104"/>
        <v>0</v>
      </c>
      <c r="P802" s="44"/>
      <c r="Q802" s="44"/>
      <c r="R802" s="44"/>
      <c r="S802" s="44">
        <f t="shared" si="102"/>
        <v>0</v>
      </c>
      <c r="T802" s="44">
        <f t="shared" si="105"/>
        <v>0</v>
      </c>
      <c r="U802">
        <v>0</v>
      </c>
      <c r="V802" s="43">
        <v>0</v>
      </c>
      <c r="W802" s="44">
        <f t="shared" si="106"/>
        <v>0</v>
      </c>
      <c r="X802" s="44">
        <f t="shared" si="107"/>
        <v>0</v>
      </c>
      <c r="Y802" s="44">
        <f t="shared" si="108"/>
        <v>0</v>
      </c>
      <c r="Z802" s="84"/>
      <c r="AA802" s="78"/>
      <c r="AB802" s="78"/>
      <c r="AC802" s="78"/>
      <c r="AD802" s="78"/>
      <c r="AE802" s="78"/>
    </row>
    <row r="803" spans="1:31" ht="12.75">
      <c r="A803"/>
      <c r="B803"/>
      <c r="C803"/>
      <c r="D803"/>
      <c r="E803"/>
      <c r="F803"/>
      <c r="G803"/>
      <c r="H803"/>
      <c r="I803"/>
      <c r="J803"/>
      <c r="K803" s="100">
        <f t="shared" si="101"/>
        <v>0</v>
      </c>
      <c r="L803" s="95"/>
      <c r="M803" s="90">
        <f t="shared" si="103"/>
        <v>0</v>
      </c>
      <c r="N803" s="56">
        <v>0</v>
      </c>
      <c r="O803" s="44">
        <f t="shared" si="104"/>
        <v>0</v>
      </c>
      <c r="P803" s="44"/>
      <c r="Q803" s="44"/>
      <c r="R803" s="44"/>
      <c r="S803" s="44">
        <f t="shared" si="102"/>
        <v>0</v>
      </c>
      <c r="T803" s="44">
        <f t="shared" si="105"/>
        <v>0</v>
      </c>
      <c r="U803">
        <v>0</v>
      </c>
      <c r="V803" s="43">
        <v>0</v>
      </c>
      <c r="W803" s="44">
        <f t="shared" si="106"/>
        <v>0</v>
      </c>
      <c r="X803" s="44">
        <f t="shared" si="107"/>
        <v>0</v>
      </c>
      <c r="Y803" s="44">
        <f t="shared" si="108"/>
        <v>0</v>
      </c>
      <c r="Z803" s="84"/>
      <c r="AA803" s="78"/>
      <c r="AB803" s="78"/>
      <c r="AC803" s="78"/>
      <c r="AD803" s="78"/>
      <c r="AE803" s="78"/>
    </row>
    <row r="804" spans="1:31" ht="12.75">
      <c r="A804"/>
      <c r="B804"/>
      <c r="C804"/>
      <c r="D804"/>
      <c r="E804"/>
      <c r="F804"/>
      <c r="G804"/>
      <c r="H804"/>
      <c r="I804"/>
      <c r="J804"/>
      <c r="K804" s="100">
        <f t="shared" si="101"/>
        <v>0</v>
      </c>
      <c r="L804" s="95"/>
      <c r="M804" s="90">
        <f t="shared" si="103"/>
        <v>0</v>
      </c>
      <c r="N804" s="56">
        <v>0</v>
      </c>
      <c r="O804" s="44">
        <f t="shared" si="104"/>
        <v>0</v>
      </c>
      <c r="P804" s="44"/>
      <c r="Q804" s="44"/>
      <c r="R804" s="44"/>
      <c r="S804" s="44">
        <f t="shared" si="102"/>
        <v>0</v>
      </c>
      <c r="T804" s="44">
        <f t="shared" si="105"/>
        <v>0</v>
      </c>
      <c r="U804">
        <v>0</v>
      </c>
      <c r="V804" s="43">
        <v>0</v>
      </c>
      <c r="W804" s="44">
        <f t="shared" si="106"/>
        <v>0</v>
      </c>
      <c r="X804" s="44">
        <f t="shared" si="107"/>
        <v>0</v>
      </c>
      <c r="Y804" s="44">
        <f t="shared" si="108"/>
        <v>0</v>
      </c>
      <c r="Z804" s="84"/>
      <c r="AA804" s="78"/>
      <c r="AB804" s="78"/>
      <c r="AC804" s="78"/>
      <c r="AD804" s="78"/>
      <c r="AE804" s="78"/>
    </row>
    <row r="805" spans="1:31" ht="12.75">
      <c r="A805"/>
      <c r="B805"/>
      <c r="C805"/>
      <c r="D805"/>
      <c r="E805"/>
      <c r="F805"/>
      <c r="G805"/>
      <c r="H805"/>
      <c r="I805"/>
      <c r="J805"/>
      <c r="K805" s="100">
        <f t="shared" si="101"/>
        <v>0</v>
      </c>
      <c r="L805" s="95"/>
      <c r="M805" s="90">
        <f t="shared" si="103"/>
        <v>0</v>
      </c>
      <c r="N805" s="56">
        <v>0</v>
      </c>
      <c r="O805" s="44">
        <f t="shared" si="104"/>
        <v>0</v>
      </c>
      <c r="P805" s="44"/>
      <c r="Q805" s="44"/>
      <c r="R805" s="44"/>
      <c r="S805" s="44">
        <f t="shared" si="102"/>
        <v>0</v>
      </c>
      <c r="T805" s="44">
        <f t="shared" si="105"/>
        <v>0</v>
      </c>
      <c r="U805">
        <v>0</v>
      </c>
      <c r="V805" s="43">
        <v>0</v>
      </c>
      <c r="W805" s="44">
        <f t="shared" si="106"/>
        <v>0</v>
      </c>
      <c r="X805" s="44">
        <f t="shared" si="107"/>
        <v>0</v>
      </c>
      <c r="Y805" s="44">
        <f t="shared" si="108"/>
        <v>0</v>
      </c>
      <c r="Z805" s="84"/>
      <c r="AA805" s="78"/>
      <c r="AB805" s="78"/>
      <c r="AC805" s="78"/>
      <c r="AD805" s="78"/>
      <c r="AE805" s="78"/>
    </row>
    <row r="806" spans="1:31" ht="12.75">
      <c r="A806"/>
      <c r="B806"/>
      <c r="C806"/>
      <c r="D806"/>
      <c r="E806"/>
      <c r="F806"/>
      <c r="G806"/>
      <c r="H806"/>
      <c r="I806"/>
      <c r="J806"/>
      <c r="K806" s="100">
        <f t="shared" ref="K806:K869" si="109">+I806*J806</f>
        <v>0</v>
      </c>
      <c r="L806" s="95"/>
      <c r="M806" s="90">
        <f t="shared" si="103"/>
        <v>0</v>
      </c>
      <c r="N806" s="56">
        <v>0</v>
      </c>
      <c r="O806" s="44">
        <f t="shared" si="104"/>
        <v>0</v>
      </c>
      <c r="P806" s="44"/>
      <c r="Q806" s="44"/>
      <c r="R806" s="44"/>
      <c r="S806" s="44">
        <f t="shared" ref="S806:S869" si="110">IF(R806="y",+P806*0.01,0)</f>
        <v>0</v>
      </c>
      <c r="T806" s="44">
        <f t="shared" si="105"/>
        <v>0</v>
      </c>
      <c r="U806">
        <v>0</v>
      </c>
      <c r="V806" s="43">
        <v>0</v>
      </c>
      <c r="W806" s="44">
        <f t="shared" si="106"/>
        <v>0</v>
      </c>
      <c r="X806" s="44">
        <f t="shared" si="107"/>
        <v>0</v>
      </c>
      <c r="Y806" s="44">
        <f t="shared" si="108"/>
        <v>0</v>
      </c>
      <c r="Z806" s="84"/>
      <c r="AA806" s="78"/>
      <c r="AB806" s="78"/>
      <c r="AC806" s="78"/>
      <c r="AD806" s="78"/>
      <c r="AE806" s="78"/>
    </row>
    <row r="807" spans="1:31" ht="12.75">
      <c r="A807"/>
      <c r="B807"/>
      <c r="C807"/>
      <c r="D807"/>
      <c r="E807"/>
      <c r="F807"/>
      <c r="G807"/>
      <c r="H807"/>
      <c r="I807"/>
      <c r="J807"/>
      <c r="K807" s="100">
        <f t="shared" si="109"/>
        <v>0</v>
      </c>
      <c r="L807" s="95"/>
      <c r="M807" s="90">
        <f t="shared" si="103"/>
        <v>0</v>
      </c>
      <c r="N807" s="56">
        <v>0</v>
      </c>
      <c r="O807" s="44">
        <f t="shared" si="104"/>
        <v>0</v>
      </c>
      <c r="P807" s="44"/>
      <c r="Q807" s="44"/>
      <c r="R807" s="44"/>
      <c r="S807" s="44">
        <f t="shared" si="110"/>
        <v>0</v>
      </c>
      <c r="T807" s="44">
        <f t="shared" si="105"/>
        <v>0</v>
      </c>
      <c r="U807">
        <v>0</v>
      </c>
      <c r="V807" s="43">
        <v>0</v>
      </c>
      <c r="W807" s="44">
        <f t="shared" si="106"/>
        <v>0</v>
      </c>
      <c r="X807" s="44">
        <f t="shared" si="107"/>
        <v>0</v>
      </c>
      <c r="Y807" s="44">
        <f t="shared" si="108"/>
        <v>0</v>
      </c>
      <c r="Z807" s="84"/>
      <c r="AA807" s="78"/>
      <c r="AB807" s="78"/>
      <c r="AC807" s="78"/>
      <c r="AD807" s="78"/>
      <c r="AE807" s="78"/>
    </row>
    <row r="808" spans="1:31" ht="12.75">
      <c r="A808"/>
      <c r="B808"/>
      <c r="C808"/>
      <c r="D808"/>
      <c r="E808"/>
      <c r="F808"/>
      <c r="G808"/>
      <c r="H808"/>
      <c r="I808"/>
      <c r="J808"/>
      <c r="K808" s="100">
        <f t="shared" si="109"/>
        <v>0</v>
      </c>
      <c r="L808" s="95"/>
      <c r="M808" s="90">
        <f t="shared" si="103"/>
        <v>0</v>
      </c>
      <c r="N808" s="56">
        <v>0</v>
      </c>
      <c r="O808" s="44">
        <f t="shared" si="104"/>
        <v>0</v>
      </c>
      <c r="P808" s="44"/>
      <c r="Q808" s="44"/>
      <c r="R808" s="44"/>
      <c r="S808" s="44">
        <f t="shared" si="110"/>
        <v>0</v>
      </c>
      <c r="T808" s="44">
        <f t="shared" si="105"/>
        <v>0</v>
      </c>
      <c r="U808">
        <v>0</v>
      </c>
      <c r="V808" s="43">
        <v>0</v>
      </c>
      <c r="W808" s="44">
        <f t="shared" si="106"/>
        <v>0</v>
      </c>
      <c r="X808" s="44">
        <f t="shared" si="107"/>
        <v>0</v>
      </c>
      <c r="Y808" s="44">
        <f t="shared" si="108"/>
        <v>0</v>
      </c>
      <c r="Z808" s="84"/>
      <c r="AA808" s="78"/>
      <c r="AB808" s="78"/>
      <c r="AC808" s="78"/>
      <c r="AD808" s="78"/>
      <c r="AE808" s="78"/>
    </row>
    <row r="809" spans="1:31" ht="12.75">
      <c r="A809"/>
      <c r="B809"/>
      <c r="C809"/>
      <c r="D809"/>
      <c r="E809"/>
      <c r="F809"/>
      <c r="G809"/>
      <c r="H809"/>
      <c r="I809"/>
      <c r="J809"/>
      <c r="K809" s="100">
        <f t="shared" si="109"/>
        <v>0</v>
      </c>
      <c r="L809" s="95"/>
      <c r="M809" s="90">
        <f t="shared" si="103"/>
        <v>0</v>
      </c>
      <c r="N809" s="56">
        <v>0</v>
      </c>
      <c r="O809" s="44">
        <f t="shared" si="104"/>
        <v>0</v>
      </c>
      <c r="P809" s="44"/>
      <c r="Q809" s="44"/>
      <c r="R809" s="44"/>
      <c r="S809" s="44">
        <f t="shared" si="110"/>
        <v>0</v>
      </c>
      <c r="T809" s="44">
        <f t="shared" si="105"/>
        <v>0</v>
      </c>
      <c r="U809">
        <v>0</v>
      </c>
      <c r="V809" s="43">
        <v>0</v>
      </c>
      <c r="W809" s="44">
        <f t="shared" si="106"/>
        <v>0</v>
      </c>
      <c r="X809" s="44">
        <f t="shared" si="107"/>
        <v>0</v>
      </c>
      <c r="Y809" s="44">
        <f t="shared" si="108"/>
        <v>0</v>
      </c>
      <c r="Z809" s="84"/>
      <c r="AA809" s="78"/>
      <c r="AB809" s="78"/>
      <c r="AC809" s="78"/>
      <c r="AD809" s="78"/>
      <c r="AE809" s="78"/>
    </row>
    <row r="810" spans="1:31" ht="12.75">
      <c r="A810"/>
      <c r="B810"/>
      <c r="C810"/>
      <c r="D810"/>
      <c r="E810"/>
      <c r="F810"/>
      <c r="G810"/>
      <c r="H810"/>
      <c r="I810"/>
      <c r="J810"/>
      <c r="K810" s="100">
        <f t="shared" si="109"/>
        <v>0</v>
      </c>
      <c r="L810" s="95"/>
      <c r="M810" s="90">
        <f t="shared" si="103"/>
        <v>0</v>
      </c>
      <c r="N810" s="56">
        <v>0</v>
      </c>
      <c r="O810" s="44">
        <f t="shared" si="104"/>
        <v>0</v>
      </c>
      <c r="P810" s="44"/>
      <c r="Q810" s="44"/>
      <c r="R810" s="44"/>
      <c r="S810" s="44">
        <f t="shared" si="110"/>
        <v>0</v>
      </c>
      <c r="T810" s="44">
        <f t="shared" si="105"/>
        <v>0</v>
      </c>
      <c r="U810">
        <v>0</v>
      </c>
      <c r="V810" s="43">
        <v>0</v>
      </c>
      <c r="W810" s="44">
        <f t="shared" si="106"/>
        <v>0</v>
      </c>
      <c r="X810" s="44">
        <f t="shared" si="107"/>
        <v>0</v>
      </c>
      <c r="Y810" s="44">
        <f t="shared" si="108"/>
        <v>0</v>
      </c>
      <c r="Z810" s="84"/>
      <c r="AA810" s="78"/>
      <c r="AB810" s="78"/>
      <c r="AC810" s="78"/>
      <c r="AD810" s="78"/>
      <c r="AE810" s="78"/>
    </row>
    <row r="811" spans="1:31" ht="12.75">
      <c r="A811"/>
      <c r="B811"/>
      <c r="C811"/>
      <c r="D811"/>
      <c r="E811"/>
      <c r="F811"/>
      <c r="G811"/>
      <c r="H811"/>
      <c r="I811"/>
      <c r="J811"/>
      <c r="K811" s="100">
        <f t="shared" si="109"/>
        <v>0</v>
      </c>
      <c r="L811" s="95"/>
      <c r="M811" s="90">
        <f t="shared" si="103"/>
        <v>0</v>
      </c>
      <c r="N811" s="56">
        <v>0</v>
      </c>
      <c r="O811" s="44">
        <f t="shared" si="104"/>
        <v>0</v>
      </c>
      <c r="P811" s="44"/>
      <c r="Q811" s="44"/>
      <c r="R811" s="44"/>
      <c r="S811" s="44">
        <f t="shared" si="110"/>
        <v>0</v>
      </c>
      <c r="T811" s="44">
        <f t="shared" si="105"/>
        <v>0</v>
      </c>
      <c r="U811">
        <v>0</v>
      </c>
      <c r="V811" s="43">
        <v>0</v>
      </c>
      <c r="W811" s="44">
        <f t="shared" si="106"/>
        <v>0</v>
      </c>
      <c r="X811" s="44">
        <f t="shared" si="107"/>
        <v>0</v>
      </c>
      <c r="Y811" s="44">
        <f t="shared" si="108"/>
        <v>0</v>
      </c>
      <c r="Z811" s="84"/>
      <c r="AA811" s="78"/>
      <c r="AB811" s="78"/>
      <c r="AC811" s="78"/>
      <c r="AD811" s="78"/>
      <c r="AE811" s="78"/>
    </row>
    <row r="812" spans="1:31" ht="12.75">
      <c r="A812"/>
      <c r="B812"/>
      <c r="C812"/>
      <c r="D812"/>
      <c r="E812"/>
      <c r="F812"/>
      <c r="G812"/>
      <c r="H812"/>
      <c r="I812"/>
      <c r="J812"/>
      <c r="K812" s="100">
        <f t="shared" si="109"/>
        <v>0</v>
      </c>
      <c r="L812" s="95"/>
      <c r="M812" s="90">
        <f t="shared" si="103"/>
        <v>0</v>
      </c>
      <c r="N812" s="56">
        <v>0</v>
      </c>
      <c r="O812" s="44">
        <f t="shared" si="104"/>
        <v>0</v>
      </c>
      <c r="P812" s="44"/>
      <c r="Q812" s="44"/>
      <c r="R812" s="44"/>
      <c r="S812" s="44">
        <f t="shared" si="110"/>
        <v>0</v>
      </c>
      <c r="T812" s="44">
        <f t="shared" si="105"/>
        <v>0</v>
      </c>
      <c r="U812">
        <v>0</v>
      </c>
      <c r="V812" s="43">
        <v>0</v>
      </c>
      <c r="W812" s="44">
        <f t="shared" si="106"/>
        <v>0</v>
      </c>
      <c r="X812" s="44">
        <f t="shared" si="107"/>
        <v>0</v>
      </c>
      <c r="Y812" s="44">
        <f t="shared" si="108"/>
        <v>0</v>
      </c>
      <c r="Z812" s="84"/>
      <c r="AA812" s="78"/>
      <c r="AB812" s="78"/>
      <c r="AC812" s="78"/>
      <c r="AD812" s="78"/>
      <c r="AE812" s="78"/>
    </row>
    <row r="813" spans="1:31" ht="12.75">
      <c r="A813"/>
      <c r="B813"/>
      <c r="C813"/>
      <c r="D813"/>
      <c r="E813"/>
      <c r="F813"/>
      <c r="G813"/>
      <c r="H813"/>
      <c r="I813"/>
      <c r="J813"/>
      <c r="K813" s="100">
        <f t="shared" si="109"/>
        <v>0</v>
      </c>
      <c r="L813" s="95"/>
      <c r="M813" s="90">
        <f t="shared" si="103"/>
        <v>0</v>
      </c>
      <c r="N813" s="56">
        <v>0</v>
      </c>
      <c r="O813" s="44">
        <f t="shared" si="104"/>
        <v>0</v>
      </c>
      <c r="P813" s="44"/>
      <c r="Q813" s="44"/>
      <c r="R813" s="44"/>
      <c r="S813" s="44">
        <f t="shared" si="110"/>
        <v>0</v>
      </c>
      <c r="T813" s="44">
        <f t="shared" si="105"/>
        <v>0</v>
      </c>
      <c r="U813">
        <v>0</v>
      </c>
      <c r="V813" s="43">
        <v>0</v>
      </c>
      <c r="W813" s="44">
        <f t="shared" si="106"/>
        <v>0</v>
      </c>
      <c r="X813" s="44">
        <f t="shared" si="107"/>
        <v>0</v>
      </c>
      <c r="Y813" s="44">
        <f t="shared" si="108"/>
        <v>0</v>
      </c>
      <c r="Z813" s="84"/>
      <c r="AA813" s="78"/>
      <c r="AB813" s="78"/>
      <c r="AC813" s="78"/>
      <c r="AD813" s="78"/>
      <c r="AE813" s="78"/>
    </row>
    <row r="814" spans="1:31" ht="12.75">
      <c r="A814"/>
      <c r="B814"/>
      <c r="C814"/>
      <c r="D814"/>
      <c r="E814"/>
      <c r="F814"/>
      <c r="G814"/>
      <c r="H814"/>
      <c r="I814"/>
      <c r="J814"/>
      <c r="K814" s="100">
        <f t="shared" si="109"/>
        <v>0</v>
      </c>
      <c r="L814" s="95"/>
      <c r="M814" s="90">
        <f t="shared" si="103"/>
        <v>0</v>
      </c>
      <c r="N814" s="56">
        <v>0</v>
      </c>
      <c r="O814" s="44">
        <f t="shared" si="104"/>
        <v>0</v>
      </c>
      <c r="P814" s="44"/>
      <c r="Q814" s="44"/>
      <c r="R814" s="44"/>
      <c r="S814" s="44">
        <f t="shared" si="110"/>
        <v>0</v>
      </c>
      <c r="T814" s="44">
        <f t="shared" si="105"/>
        <v>0</v>
      </c>
      <c r="U814">
        <v>0</v>
      </c>
      <c r="V814" s="43">
        <v>0</v>
      </c>
      <c r="W814" s="44">
        <f t="shared" si="106"/>
        <v>0</v>
      </c>
      <c r="X814" s="44">
        <f t="shared" si="107"/>
        <v>0</v>
      </c>
      <c r="Y814" s="44">
        <f t="shared" si="108"/>
        <v>0</v>
      </c>
      <c r="Z814" s="84"/>
      <c r="AA814" s="78"/>
      <c r="AB814" s="78"/>
      <c r="AC814" s="78"/>
      <c r="AD814" s="78"/>
      <c r="AE814" s="78"/>
    </row>
    <row r="815" spans="1:31" ht="12.75">
      <c r="A815"/>
      <c r="B815"/>
      <c r="C815"/>
      <c r="D815"/>
      <c r="E815"/>
      <c r="F815"/>
      <c r="G815"/>
      <c r="H815"/>
      <c r="I815"/>
      <c r="J815"/>
      <c r="K815" s="100">
        <f t="shared" si="109"/>
        <v>0</v>
      </c>
      <c r="L815" s="95"/>
      <c r="M815" s="90">
        <f t="shared" si="103"/>
        <v>0</v>
      </c>
      <c r="N815" s="56">
        <v>0</v>
      </c>
      <c r="O815" s="44">
        <f t="shared" si="104"/>
        <v>0</v>
      </c>
      <c r="P815" s="44"/>
      <c r="Q815" s="44"/>
      <c r="R815" s="44"/>
      <c r="S815" s="44">
        <f t="shared" si="110"/>
        <v>0</v>
      </c>
      <c r="T815" s="44">
        <f t="shared" si="105"/>
        <v>0</v>
      </c>
      <c r="U815">
        <v>0</v>
      </c>
      <c r="V815" s="43">
        <v>0</v>
      </c>
      <c r="W815" s="44">
        <f t="shared" si="106"/>
        <v>0</v>
      </c>
      <c r="X815" s="44">
        <f t="shared" si="107"/>
        <v>0</v>
      </c>
      <c r="Y815" s="44">
        <f t="shared" si="108"/>
        <v>0</v>
      </c>
      <c r="Z815" s="84"/>
      <c r="AA815" s="78"/>
      <c r="AB815" s="78"/>
      <c r="AC815" s="78"/>
      <c r="AD815" s="78"/>
      <c r="AE815" s="78"/>
    </row>
    <row r="816" spans="1:31" ht="12.75">
      <c r="A816"/>
      <c r="B816"/>
      <c r="C816"/>
      <c r="D816"/>
      <c r="E816"/>
      <c r="F816"/>
      <c r="G816"/>
      <c r="H816"/>
      <c r="I816"/>
      <c r="J816"/>
      <c r="K816" s="100">
        <f t="shared" si="109"/>
        <v>0</v>
      </c>
      <c r="L816" s="95"/>
      <c r="M816" s="90">
        <f t="shared" si="103"/>
        <v>0</v>
      </c>
      <c r="N816" s="56">
        <v>0</v>
      </c>
      <c r="O816" s="44">
        <f t="shared" si="104"/>
        <v>0</v>
      </c>
      <c r="P816" s="44"/>
      <c r="Q816" s="44"/>
      <c r="R816" s="44"/>
      <c r="S816" s="44">
        <f t="shared" si="110"/>
        <v>0</v>
      </c>
      <c r="T816" s="44">
        <f t="shared" si="105"/>
        <v>0</v>
      </c>
      <c r="U816">
        <v>0</v>
      </c>
      <c r="V816" s="43">
        <v>0</v>
      </c>
      <c r="W816" s="44">
        <f t="shared" si="106"/>
        <v>0</v>
      </c>
      <c r="X816" s="44">
        <f t="shared" si="107"/>
        <v>0</v>
      </c>
      <c r="Y816" s="44">
        <f t="shared" si="108"/>
        <v>0</v>
      </c>
      <c r="Z816" s="84"/>
      <c r="AA816" s="78"/>
      <c r="AB816" s="78"/>
      <c r="AC816" s="78"/>
      <c r="AD816" s="78"/>
      <c r="AE816" s="78"/>
    </row>
    <row r="817" spans="1:31" ht="12.75">
      <c r="A817"/>
      <c r="B817"/>
      <c r="C817"/>
      <c r="D817"/>
      <c r="E817"/>
      <c r="F817"/>
      <c r="G817"/>
      <c r="H817"/>
      <c r="I817"/>
      <c r="J817"/>
      <c r="K817" s="100">
        <f t="shared" si="109"/>
        <v>0</v>
      </c>
      <c r="L817" s="95"/>
      <c r="M817" s="90">
        <f t="shared" si="103"/>
        <v>0</v>
      </c>
      <c r="N817" s="56">
        <v>0</v>
      </c>
      <c r="O817" s="44">
        <f t="shared" si="104"/>
        <v>0</v>
      </c>
      <c r="P817" s="44"/>
      <c r="Q817" s="44"/>
      <c r="R817" s="44"/>
      <c r="S817" s="44">
        <f t="shared" si="110"/>
        <v>0</v>
      </c>
      <c r="T817" s="44">
        <f t="shared" si="105"/>
        <v>0</v>
      </c>
      <c r="U817">
        <v>0</v>
      </c>
      <c r="V817" s="43">
        <v>0</v>
      </c>
      <c r="W817" s="44">
        <f t="shared" si="106"/>
        <v>0</v>
      </c>
      <c r="X817" s="44">
        <f t="shared" si="107"/>
        <v>0</v>
      </c>
      <c r="Y817" s="44">
        <f t="shared" si="108"/>
        <v>0</v>
      </c>
      <c r="Z817" s="84"/>
      <c r="AA817" s="78"/>
      <c r="AB817" s="78"/>
      <c r="AC817" s="78"/>
      <c r="AD817" s="78"/>
      <c r="AE817" s="78"/>
    </row>
    <row r="818" spans="1:31" ht="12.75">
      <c r="A818"/>
      <c r="B818"/>
      <c r="C818"/>
      <c r="D818"/>
      <c r="E818"/>
      <c r="F818"/>
      <c r="G818"/>
      <c r="H818"/>
      <c r="I818"/>
      <c r="J818"/>
      <c r="K818" s="100">
        <f t="shared" si="109"/>
        <v>0</v>
      </c>
      <c r="L818" s="95"/>
      <c r="M818" s="90">
        <f t="shared" si="103"/>
        <v>0</v>
      </c>
      <c r="N818" s="56">
        <v>0</v>
      </c>
      <c r="O818" s="44">
        <f t="shared" si="104"/>
        <v>0</v>
      </c>
      <c r="P818" s="44"/>
      <c r="Q818" s="44"/>
      <c r="R818" s="44"/>
      <c r="S818" s="44">
        <f t="shared" si="110"/>
        <v>0</v>
      </c>
      <c r="T818" s="44">
        <f t="shared" si="105"/>
        <v>0</v>
      </c>
      <c r="U818">
        <v>0</v>
      </c>
      <c r="V818" s="43">
        <v>0</v>
      </c>
      <c r="W818" s="44">
        <f t="shared" si="106"/>
        <v>0</v>
      </c>
      <c r="X818" s="44">
        <f t="shared" si="107"/>
        <v>0</v>
      </c>
      <c r="Y818" s="44">
        <f t="shared" si="108"/>
        <v>0</v>
      </c>
      <c r="Z818" s="84"/>
      <c r="AA818" s="78"/>
      <c r="AB818" s="78"/>
      <c r="AC818" s="78"/>
      <c r="AD818" s="78"/>
      <c r="AE818" s="78"/>
    </row>
    <row r="819" spans="1:31" ht="12.75">
      <c r="A819"/>
      <c r="B819"/>
      <c r="C819"/>
      <c r="D819"/>
      <c r="E819"/>
      <c r="F819"/>
      <c r="G819"/>
      <c r="H819"/>
      <c r="I819"/>
      <c r="J819"/>
      <c r="K819" s="100">
        <f t="shared" si="109"/>
        <v>0</v>
      </c>
      <c r="L819" s="95"/>
      <c r="M819" s="90">
        <f t="shared" si="103"/>
        <v>0</v>
      </c>
      <c r="N819" s="56">
        <v>0</v>
      </c>
      <c r="O819" s="44">
        <f t="shared" si="104"/>
        <v>0</v>
      </c>
      <c r="P819" s="44"/>
      <c r="Q819" s="44"/>
      <c r="R819" s="44"/>
      <c r="S819" s="44">
        <f t="shared" si="110"/>
        <v>0</v>
      </c>
      <c r="T819" s="44">
        <f t="shared" si="105"/>
        <v>0</v>
      </c>
      <c r="U819">
        <v>0</v>
      </c>
      <c r="V819" s="43">
        <v>0</v>
      </c>
      <c r="W819" s="44">
        <f t="shared" si="106"/>
        <v>0</v>
      </c>
      <c r="X819" s="44">
        <f t="shared" si="107"/>
        <v>0</v>
      </c>
      <c r="Y819" s="44">
        <f t="shared" si="108"/>
        <v>0</v>
      </c>
      <c r="Z819" s="84"/>
      <c r="AA819" s="78"/>
      <c r="AB819" s="78"/>
      <c r="AC819" s="78"/>
      <c r="AD819" s="78"/>
      <c r="AE819" s="78"/>
    </row>
    <row r="820" spans="1:31" ht="12.75">
      <c r="A820"/>
      <c r="B820"/>
      <c r="C820"/>
      <c r="D820"/>
      <c r="E820"/>
      <c r="F820"/>
      <c r="G820"/>
      <c r="H820"/>
      <c r="I820"/>
      <c r="J820"/>
      <c r="K820" s="100">
        <f t="shared" si="109"/>
        <v>0</v>
      </c>
      <c r="L820" s="95"/>
      <c r="M820" s="90">
        <f t="shared" si="103"/>
        <v>0</v>
      </c>
      <c r="N820" s="56">
        <v>0</v>
      </c>
      <c r="O820" s="44">
        <f t="shared" si="104"/>
        <v>0</v>
      </c>
      <c r="P820" s="44"/>
      <c r="Q820" s="44"/>
      <c r="R820" s="44"/>
      <c r="S820" s="44">
        <f t="shared" si="110"/>
        <v>0</v>
      </c>
      <c r="T820" s="44">
        <f t="shared" si="105"/>
        <v>0</v>
      </c>
      <c r="U820">
        <v>0</v>
      </c>
      <c r="V820" s="43">
        <v>0</v>
      </c>
      <c r="W820" s="44">
        <f t="shared" si="106"/>
        <v>0</v>
      </c>
      <c r="X820" s="44">
        <f t="shared" si="107"/>
        <v>0</v>
      </c>
      <c r="Y820" s="44">
        <f t="shared" si="108"/>
        <v>0</v>
      </c>
      <c r="Z820" s="84"/>
      <c r="AA820" s="78"/>
      <c r="AB820" s="78"/>
      <c r="AC820" s="78"/>
      <c r="AD820" s="78"/>
      <c r="AE820" s="78"/>
    </row>
    <row r="821" spans="1:31" ht="12.75">
      <c r="A821"/>
      <c r="B821"/>
      <c r="C821"/>
      <c r="D821"/>
      <c r="E821"/>
      <c r="F821"/>
      <c r="G821"/>
      <c r="H821"/>
      <c r="I821"/>
      <c r="J821"/>
      <c r="K821" s="100">
        <f t="shared" si="109"/>
        <v>0</v>
      </c>
      <c r="L821" s="95"/>
      <c r="M821" s="90">
        <f t="shared" si="103"/>
        <v>0</v>
      </c>
      <c r="N821" s="56">
        <v>0</v>
      </c>
      <c r="O821" s="44">
        <f t="shared" si="104"/>
        <v>0</v>
      </c>
      <c r="P821" s="44"/>
      <c r="Q821" s="44"/>
      <c r="R821" s="44"/>
      <c r="S821" s="44">
        <f t="shared" si="110"/>
        <v>0</v>
      </c>
      <c r="T821" s="44">
        <f t="shared" si="105"/>
        <v>0</v>
      </c>
      <c r="U821">
        <v>0</v>
      </c>
      <c r="V821" s="43">
        <v>0</v>
      </c>
      <c r="W821" s="44">
        <f t="shared" si="106"/>
        <v>0</v>
      </c>
      <c r="X821" s="44">
        <f t="shared" si="107"/>
        <v>0</v>
      </c>
      <c r="Y821" s="44">
        <f t="shared" si="108"/>
        <v>0</v>
      </c>
      <c r="Z821" s="84"/>
      <c r="AA821" s="78"/>
      <c r="AB821" s="78"/>
      <c r="AC821" s="78"/>
      <c r="AD821" s="78"/>
      <c r="AE821" s="78"/>
    </row>
    <row r="822" spans="1:31" ht="12.75">
      <c r="A822"/>
      <c r="B822"/>
      <c r="C822"/>
      <c r="D822"/>
      <c r="E822"/>
      <c r="F822"/>
      <c r="G822"/>
      <c r="H822"/>
      <c r="I822"/>
      <c r="J822"/>
      <c r="K822" s="100">
        <f t="shared" si="109"/>
        <v>0</v>
      </c>
      <c r="L822" s="95"/>
      <c r="M822" s="90">
        <f t="shared" si="103"/>
        <v>0</v>
      </c>
      <c r="N822" s="56">
        <v>0</v>
      </c>
      <c r="O822" s="44">
        <f t="shared" si="104"/>
        <v>0</v>
      </c>
      <c r="P822" s="44"/>
      <c r="Q822" s="44"/>
      <c r="R822" s="44"/>
      <c r="S822" s="44">
        <f t="shared" si="110"/>
        <v>0</v>
      </c>
      <c r="T822" s="44">
        <f t="shared" si="105"/>
        <v>0</v>
      </c>
      <c r="U822">
        <v>0</v>
      </c>
      <c r="V822" s="43">
        <v>0</v>
      </c>
      <c r="W822" s="44">
        <f t="shared" si="106"/>
        <v>0</v>
      </c>
      <c r="X822" s="44">
        <f t="shared" si="107"/>
        <v>0</v>
      </c>
      <c r="Y822" s="44">
        <f t="shared" si="108"/>
        <v>0</v>
      </c>
      <c r="Z822" s="84"/>
      <c r="AA822" s="78"/>
      <c r="AB822" s="78"/>
      <c r="AC822" s="78"/>
      <c r="AD822" s="78"/>
      <c r="AE822" s="78"/>
    </row>
    <row r="823" spans="1:31" ht="12.75">
      <c r="A823"/>
      <c r="B823"/>
      <c r="C823"/>
      <c r="D823"/>
      <c r="E823"/>
      <c r="F823"/>
      <c r="G823"/>
      <c r="H823"/>
      <c r="I823"/>
      <c r="J823"/>
      <c r="K823" s="100">
        <f t="shared" si="109"/>
        <v>0</v>
      </c>
      <c r="L823" s="95"/>
      <c r="M823" s="90">
        <f t="shared" si="103"/>
        <v>0</v>
      </c>
      <c r="N823" s="56">
        <v>0</v>
      </c>
      <c r="O823" s="44">
        <f t="shared" si="104"/>
        <v>0</v>
      </c>
      <c r="P823" s="44"/>
      <c r="Q823" s="44"/>
      <c r="R823" s="44"/>
      <c r="S823" s="44">
        <f t="shared" si="110"/>
        <v>0</v>
      </c>
      <c r="T823" s="44">
        <f t="shared" si="105"/>
        <v>0</v>
      </c>
      <c r="U823">
        <v>0</v>
      </c>
      <c r="V823" s="43">
        <v>0</v>
      </c>
      <c r="W823" s="44">
        <f t="shared" si="106"/>
        <v>0</v>
      </c>
      <c r="X823" s="44">
        <f t="shared" si="107"/>
        <v>0</v>
      </c>
      <c r="Y823" s="44">
        <f t="shared" si="108"/>
        <v>0</v>
      </c>
      <c r="Z823" s="84"/>
      <c r="AA823" s="78"/>
      <c r="AB823" s="78"/>
      <c r="AC823" s="78"/>
      <c r="AD823" s="78"/>
      <c r="AE823" s="78"/>
    </row>
    <row r="824" spans="1:31" ht="12.75">
      <c r="A824"/>
      <c r="B824"/>
      <c r="C824"/>
      <c r="D824"/>
      <c r="E824"/>
      <c r="F824"/>
      <c r="G824"/>
      <c r="H824"/>
      <c r="I824"/>
      <c r="J824"/>
      <c r="K824" s="100">
        <f t="shared" si="109"/>
        <v>0</v>
      </c>
      <c r="L824" s="95"/>
      <c r="M824" s="90">
        <f t="shared" si="103"/>
        <v>0</v>
      </c>
      <c r="N824" s="56">
        <v>0</v>
      </c>
      <c r="O824" s="44">
        <f t="shared" si="104"/>
        <v>0</v>
      </c>
      <c r="P824" s="44"/>
      <c r="Q824" s="44"/>
      <c r="R824" s="44"/>
      <c r="S824" s="44">
        <f t="shared" si="110"/>
        <v>0</v>
      </c>
      <c r="T824" s="44">
        <f t="shared" si="105"/>
        <v>0</v>
      </c>
      <c r="U824">
        <v>0</v>
      </c>
      <c r="V824" s="43">
        <v>0</v>
      </c>
      <c r="W824" s="44">
        <f t="shared" si="106"/>
        <v>0</v>
      </c>
      <c r="X824" s="44">
        <f t="shared" si="107"/>
        <v>0</v>
      </c>
      <c r="Y824" s="44">
        <f t="shared" si="108"/>
        <v>0</v>
      </c>
      <c r="Z824" s="84"/>
      <c r="AA824" s="78"/>
      <c r="AB824" s="78"/>
      <c r="AC824" s="78"/>
      <c r="AD824" s="78"/>
      <c r="AE824" s="78"/>
    </row>
    <row r="825" spans="1:31" ht="12.75">
      <c r="A825"/>
      <c r="B825"/>
      <c r="C825"/>
      <c r="D825"/>
      <c r="E825"/>
      <c r="F825"/>
      <c r="G825"/>
      <c r="H825"/>
      <c r="I825"/>
      <c r="J825"/>
      <c r="K825" s="100">
        <f t="shared" si="109"/>
        <v>0</v>
      </c>
      <c r="L825" s="95"/>
      <c r="M825" s="90">
        <f t="shared" si="103"/>
        <v>0</v>
      </c>
      <c r="N825" s="56">
        <v>0</v>
      </c>
      <c r="O825" s="44">
        <f t="shared" si="104"/>
        <v>0</v>
      </c>
      <c r="P825" s="44"/>
      <c r="Q825" s="44"/>
      <c r="R825" s="44"/>
      <c r="S825" s="44">
        <f t="shared" si="110"/>
        <v>0</v>
      </c>
      <c r="T825" s="44">
        <f t="shared" si="105"/>
        <v>0</v>
      </c>
      <c r="U825">
        <v>0</v>
      </c>
      <c r="V825" s="43">
        <v>0</v>
      </c>
      <c r="W825" s="44">
        <f t="shared" si="106"/>
        <v>0</v>
      </c>
      <c r="X825" s="44">
        <f t="shared" si="107"/>
        <v>0</v>
      </c>
      <c r="Y825" s="44">
        <f t="shared" si="108"/>
        <v>0</v>
      </c>
      <c r="Z825" s="84"/>
      <c r="AA825" s="78"/>
      <c r="AB825" s="78"/>
      <c r="AC825" s="78"/>
      <c r="AD825" s="78"/>
      <c r="AE825" s="78"/>
    </row>
    <row r="826" spans="1:31" ht="12.75">
      <c r="A826"/>
      <c r="B826"/>
      <c r="C826"/>
      <c r="D826"/>
      <c r="E826"/>
      <c r="F826"/>
      <c r="G826"/>
      <c r="H826"/>
      <c r="I826"/>
      <c r="J826"/>
      <c r="K826" s="100">
        <f t="shared" si="109"/>
        <v>0</v>
      </c>
      <c r="L826" s="95"/>
      <c r="M826" s="90">
        <f t="shared" si="103"/>
        <v>0</v>
      </c>
      <c r="N826" s="56">
        <v>0</v>
      </c>
      <c r="O826" s="44">
        <f t="shared" si="104"/>
        <v>0</v>
      </c>
      <c r="P826" s="44"/>
      <c r="Q826" s="44"/>
      <c r="R826" s="44"/>
      <c r="S826" s="44">
        <f t="shared" si="110"/>
        <v>0</v>
      </c>
      <c r="T826" s="44">
        <f t="shared" si="105"/>
        <v>0</v>
      </c>
      <c r="U826">
        <v>0</v>
      </c>
      <c r="V826" s="43">
        <v>0</v>
      </c>
      <c r="W826" s="44">
        <f t="shared" si="106"/>
        <v>0</v>
      </c>
      <c r="X826" s="44">
        <f t="shared" si="107"/>
        <v>0</v>
      </c>
      <c r="Y826" s="44">
        <f t="shared" si="108"/>
        <v>0</v>
      </c>
      <c r="Z826" s="84"/>
      <c r="AA826" s="78"/>
      <c r="AB826" s="78"/>
      <c r="AC826" s="78"/>
      <c r="AD826" s="78"/>
      <c r="AE826" s="78"/>
    </row>
    <row r="827" spans="1:31" ht="12.75">
      <c r="A827"/>
      <c r="B827"/>
      <c r="C827"/>
      <c r="D827"/>
      <c r="E827"/>
      <c r="F827"/>
      <c r="G827"/>
      <c r="H827"/>
      <c r="I827"/>
      <c r="J827"/>
      <c r="K827" s="100">
        <f t="shared" si="109"/>
        <v>0</v>
      </c>
      <c r="L827" s="95"/>
      <c r="M827" s="90">
        <f t="shared" si="103"/>
        <v>0</v>
      </c>
      <c r="N827" s="56">
        <v>0</v>
      </c>
      <c r="O827" s="44">
        <f t="shared" si="104"/>
        <v>0</v>
      </c>
      <c r="P827" s="44"/>
      <c r="Q827" s="44"/>
      <c r="R827" s="44"/>
      <c r="S827" s="44">
        <f t="shared" si="110"/>
        <v>0</v>
      </c>
      <c r="T827" s="44">
        <f t="shared" si="105"/>
        <v>0</v>
      </c>
      <c r="U827">
        <v>0</v>
      </c>
      <c r="V827" s="43">
        <v>0</v>
      </c>
      <c r="W827" s="44">
        <f t="shared" si="106"/>
        <v>0</v>
      </c>
      <c r="X827" s="44">
        <f t="shared" si="107"/>
        <v>0</v>
      </c>
      <c r="Y827" s="44">
        <f t="shared" si="108"/>
        <v>0</v>
      </c>
      <c r="Z827" s="84"/>
      <c r="AA827" s="78"/>
      <c r="AB827" s="78"/>
      <c r="AC827" s="78"/>
      <c r="AD827" s="78"/>
      <c r="AE827" s="78"/>
    </row>
    <row r="828" spans="1:31" ht="12.75">
      <c r="A828"/>
      <c r="B828"/>
      <c r="C828"/>
      <c r="D828"/>
      <c r="E828"/>
      <c r="F828"/>
      <c r="G828"/>
      <c r="H828"/>
      <c r="I828"/>
      <c r="J828"/>
      <c r="K828" s="100">
        <f t="shared" si="109"/>
        <v>0</v>
      </c>
      <c r="L828" s="95"/>
      <c r="M828" s="90">
        <f t="shared" si="103"/>
        <v>0</v>
      </c>
      <c r="N828" s="56">
        <v>0</v>
      </c>
      <c r="O828" s="44">
        <f t="shared" si="104"/>
        <v>0</v>
      </c>
      <c r="P828" s="44"/>
      <c r="Q828" s="44"/>
      <c r="R828" s="44"/>
      <c r="S828" s="44">
        <f t="shared" si="110"/>
        <v>0</v>
      </c>
      <c r="T828" s="44">
        <f t="shared" si="105"/>
        <v>0</v>
      </c>
      <c r="U828">
        <v>0</v>
      </c>
      <c r="V828" s="43">
        <v>0</v>
      </c>
      <c r="W828" s="44">
        <f t="shared" si="106"/>
        <v>0</v>
      </c>
      <c r="X828" s="44">
        <f t="shared" si="107"/>
        <v>0</v>
      </c>
      <c r="Y828" s="44">
        <f t="shared" si="108"/>
        <v>0</v>
      </c>
      <c r="Z828" s="84"/>
      <c r="AA828" s="78"/>
      <c r="AB828" s="78"/>
      <c r="AC828" s="78"/>
      <c r="AD828" s="78"/>
      <c r="AE828" s="78"/>
    </row>
    <row r="829" spans="1:31" ht="12.75">
      <c r="A829"/>
      <c r="B829"/>
      <c r="C829"/>
      <c r="D829"/>
      <c r="E829"/>
      <c r="F829"/>
      <c r="G829"/>
      <c r="H829"/>
      <c r="I829"/>
      <c r="J829"/>
      <c r="K829" s="100">
        <f t="shared" si="109"/>
        <v>0</v>
      </c>
      <c r="L829" s="95"/>
      <c r="M829" s="90">
        <f t="shared" si="103"/>
        <v>0</v>
      </c>
      <c r="N829" s="56">
        <v>0</v>
      </c>
      <c r="O829" s="44">
        <f t="shared" si="104"/>
        <v>0</v>
      </c>
      <c r="P829" s="44"/>
      <c r="Q829" s="44"/>
      <c r="R829" s="44"/>
      <c r="S829" s="44">
        <f t="shared" si="110"/>
        <v>0</v>
      </c>
      <c r="T829" s="44">
        <f t="shared" si="105"/>
        <v>0</v>
      </c>
      <c r="U829">
        <v>0</v>
      </c>
      <c r="V829" s="43">
        <v>0</v>
      </c>
      <c r="W829" s="44">
        <f t="shared" si="106"/>
        <v>0</v>
      </c>
      <c r="X829" s="44">
        <f t="shared" si="107"/>
        <v>0</v>
      </c>
      <c r="Y829" s="44">
        <f t="shared" si="108"/>
        <v>0</v>
      </c>
      <c r="Z829" s="84"/>
      <c r="AA829" s="78"/>
      <c r="AB829" s="78"/>
      <c r="AC829" s="78"/>
      <c r="AD829" s="78"/>
      <c r="AE829" s="78"/>
    </row>
    <row r="830" spans="1:31" ht="12.75">
      <c r="A830"/>
      <c r="B830"/>
      <c r="C830"/>
      <c r="D830"/>
      <c r="E830"/>
      <c r="F830"/>
      <c r="G830"/>
      <c r="H830"/>
      <c r="I830"/>
      <c r="J830"/>
      <c r="K830" s="100">
        <f t="shared" si="109"/>
        <v>0</v>
      </c>
      <c r="L830" s="95"/>
      <c r="M830" s="90">
        <f t="shared" si="103"/>
        <v>0</v>
      </c>
      <c r="N830" s="56">
        <v>0</v>
      </c>
      <c r="O830" s="44">
        <f t="shared" si="104"/>
        <v>0</v>
      </c>
      <c r="P830" s="44"/>
      <c r="Q830" s="44"/>
      <c r="R830" s="44"/>
      <c r="S830" s="44">
        <f t="shared" si="110"/>
        <v>0</v>
      </c>
      <c r="T830" s="44">
        <f t="shared" si="105"/>
        <v>0</v>
      </c>
      <c r="U830">
        <v>0</v>
      </c>
      <c r="V830" s="43">
        <v>0</v>
      </c>
      <c r="W830" s="44">
        <f t="shared" si="106"/>
        <v>0</v>
      </c>
      <c r="X830" s="44">
        <f t="shared" si="107"/>
        <v>0</v>
      </c>
      <c r="Y830" s="44">
        <f t="shared" si="108"/>
        <v>0</v>
      </c>
      <c r="Z830" s="84"/>
      <c r="AA830" s="78"/>
      <c r="AB830" s="78"/>
      <c r="AC830" s="78"/>
      <c r="AD830" s="78"/>
      <c r="AE830" s="78"/>
    </row>
    <row r="831" spans="1:31" ht="12.75">
      <c r="A831"/>
      <c r="B831"/>
      <c r="C831"/>
      <c r="D831"/>
      <c r="E831"/>
      <c r="F831"/>
      <c r="G831"/>
      <c r="H831"/>
      <c r="I831"/>
      <c r="J831"/>
      <c r="K831" s="100">
        <f t="shared" si="109"/>
        <v>0</v>
      </c>
      <c r="L831" s="95"/>
      <c r="M831" s="90">
        <f t="shared" si="103"/>
        <v>0</v>
      </c>
      <c r="N831" s="56">
        <v>0</v>
      </c>
      <c r="O831" s="44">
        <f t="shared" si="104"/>
        <v>0</v>
      </c>
      <c r="P831" s="44"/>
      <c r="Q831" s="44"/>
      <c r="R831" s="44"/>
      <c r="S831" s="44">
        <f t="shared" si="110"/>
        <v>0</v>
      </c>
      <c r="T831" s="44">
        <f t="shared" si="105"/>
        <v>0</v>
      </c>
      <c r="U831">
        <v>0</v>
      </c>
      <c r="V831" s="43">
        <v>0</v>
      </c>
      <c r="W831" s="44">
        <f t="shared" si="106"/>
        <v>0</v>
      </c>
      <c r="X831" s="44">
        <f t="shared" si="107"/>
        <v>0</v>
      </c>
      <c r="Y831" s="44">
        <f t="shared" si="108"/>
        <v>0</v>
      </c>
      <c r="Z831" s="84"/>
      <c r="AA831" s="78"/>
      <c r="AB831" s="78"/>
      <c r="AC831" s="78"/>
      <c r="AD831" s="78"/>
      <c r="AE831" s="78"/>
    </row>
    <row r="832" spans="1:31" ht="12.75">
      <c r="A832"/>
      <c r="B832"/>
      <c r="C832"/>
      <c r="D832"/>
      <c r="E832"/>
      <c r="F832"/>
      <c r="G832"/>
      <c r="H832"/>
      <c r="I832"/>
      <c r="J832"/>
      <c r="K832" s="100">
        <f t="shared" si="109"/>
        <v>0</v>
      </c>
      <c r="L832" s="95"/>
      <c r="M832" s="90">
        <f t="shared" si="103"/>
        <v>0</v>
      </c>
      <c r="N832" s="56">
        <v>0</v>
      </c>
      <c r="O832" s="44">
        <f t="shared" si="104"/>
        <v>0</v>
      </c>
      <c r="P832" s="44"/>
      <c r="Q832" s="44"/>
      <c r="R832" s="44"/>
      <c r="S832" s="44">
        <f t="shared" si="110"/>
        <v>0</v>
      </c>
      <c r="T832" s="44">
        <f t="shared" si="105"/>
        <v>0</v>
      </c>
      <c r="U832">
        <v>0</v>
      </c>
      <c r="V832" s="43">
        <v>0</v>
      </c>
      <c r="W832" s="44">
        <f t="shared" si="106"/>
        <v>0</v>
      </c>
      <c r="X832" s="44">
        <f t="shared" si="107"/>
        <v>0</v>
      </c>
      <c r="Y832" s="44">
        <f t="shared" si="108"/>
        <v>0</v>
      </c>
      <c r="Z832" s="84"/>
      <c r="AA832" s="78"/>
      <c r="AB832" s="78"/>
      <c r="AC832" s="78"/>
      <c r="AD832" s="78"/>
      <c r="AE832" s="78"/>
    </row>
    <row r="833" spans="1:31" ht="12.75">
      <c r="A833"/>
      <c r="B833"/>
      <c r="C833"/>
      <c r="D833"/>
      <c r="E833"/>
      <c r="F833"/>
      <c r="G833"/>
      <c r="H833"/>
      <c r="I833"/>
      <c r="J833"/>
      <c r="K833" s="100">
        <f t="shared" si="109"/>
        <v>0</v>
      </c>
      <c r="L833" s="95"/>
      <c r="M833" s="90">
        <f t="shared" si="103"/>
        <v>0</v>
      </c>
      <c r="N833" s="56">
        <v>0</v>
      </c>
      <c r="O833" s="44">
        <f t="shared" si="104"/>
        <v>0</v>
      </c>
      <c r="P833" s="44"/>
      <c r="Q833" s="44"/>
      <c r="R833" s="44"/>
      <c r="S833" s="44">
        <f t="shared" si="110"/>
        <v>0</v>
      </c>
      <c r="T833" s="44">
        <f t="shared" si="105"/>
        <v>0</v>
      </c>
      <c r="U833">
        <v>0</v>
      </c>
      <c r="V833" s="43">
        <v>0</v>
      </c>
      <c r="W833" s="44">
        <f t="shared" si="106"/>
        <v>0</v>
      </c>
      <c r="X833" s="44">
        <f t="shared" si="107"/>
        <v>0</v>
      </c>
      <c r="Y833" s="44">
        <f t="shared" si="108"/>
        <v>0</v>
      </c>
      <c r="Z833" s="84"/>
      <c r="AA833" s="78"/>
      <c r="AB833" s="78"/>
      <c r="AC833" s="78"/>
      <c r="AD833" s="78"/>
      <c r="AE833" s="78"/>
    </row>
    <row r="834" spans="1:31" ht="12.75">
      <c r="A834"/>
      <c r="B834"/>
      <c r="C834"/>
      <c r="D834"/>
      <c r="E834"/>
      <c r="F834"/>
      <c r="G834"/>
      <c r="H834"/>
      <c r="I834"/>
      <c r="J834"/>
      <c r="K834" s="100">
        <f t="shared" si="109"/>
        <v>0</v>
      </c>
      <c r="L834" s="95"/>
      <c r="M834" s="90">
        <f t="shared" si="103"/>
        <v>0</v>
      </c>
      <c r="N834" s="56">
        <v>0</v>
      </c>
      <c r="O834" s="44">
        <f t="shared" si="104"/>
        <v>0</v>
      </c>
      <c r="P834" s="44"/>
      <c r="Q834" s="44"/>
      <c r="R834" s="44"/>
      <c r="S834" s="44">
        <f t="shared" si="110"/>
        <v>0</v>
      </c>
      <c r="T834" s="44">
        <f t="shared" si="105"/>
        <v>0</v>
      </c>
      <c r="U834">
        <v>0</v>
      </c>
      <c r="V834" s="43">
        <v>0</v>
      </c>
      <c r="W834" s="44">
        <f t="shared" si="106"/>
        <v>0</v>
      </c>
      <c r="X834" s="44">
        <f t="shared" si="107"/>
        <v>0</v>
      </c>
      <c r="Y834" s="44">
        <f t="shared" si="108"/>
        <v>0</v>
      </c>
      <c r="Z834" s="84"/>
      <c r="AA834" s="78"/>
      <c r="AB834" s="78"/>
      <c r="AC834" s="78"/>
      <c r="AD834" s="78"/>
      <c r="AE834" s="78"/>
    </row>
    <row r="835" spans="1:31" ht="12.75">
      <c r="A835"/>
      <c r="B835"/>
      <c r="C835"/>
      <c r="D835"/>
      <c r="E835"/>
      <c r="F835"/>
      <c r="G835"/>
      <c r="H835"/>
      <c r="I835"/>
      <c r="J835"/>
      <c r="K835" s="100">
        <f t="shared" si="109"/>
        <v>0</v>
      </c>
      <c r="L835" s="95"/>
      <c r="M835" s="90">
        <f t="shared" si="103"/>
        <v>0</v>
      </c>
      <c r="N835" s="56">
        <v>0</v>
      </c>
      <c r="O835" s="44">
        <f t="shared" si="104"/>
        <v>0</v>
      </c>
      <c r="P835" s="44"/>
      <c r="Q835" s="44"/>
      <c r="R835" s="44"/>
      <c r="S835" s="44">
        <f t="shared" si="110"/>
        <v>0</v>
      </c>
      <c r="T835" s="44">
        <f t="shared" si="105"/>
        <v>0</v>
      </c>
      <c r="U835">
        <v>0</v>
      </c>
      <c r="V835" s="43">
        <v>0</v>
      </c>
      <c r="W835" s="44">
        <f t="shared" si="106"/>
        <v>0</v>
      </c>
      <c r="X835" s="44">
        <f t="shared" si="107"/>
        <v>0</v>
      </c>
      <c r="Y835" s="44">
        <f t="shared" si="108"/>
        <v>0</v>
      </c>
      <c r="Z835" s="84"/>
      <c r="AA835" s="78"/>
      <c r="AB835" s="78"/>
      <c r="AC835" s="78"/>
      <c r="AD835" s="78"/>
      <c r="AE835" s="78"/>
    </row>
    <row r="836" spans="1:31" ht="12.75">
      <c r="A836"/>
      <c r="B836"/>
      <c r="C836"/>
      <c r="D836"/>
      <c r="E836"/>
      <c r="F836"/>
      <c r="G836"/>
      <c r="H836"/>
      <c r="I836"/>
      <c r="J836"/>
      <c r="K836" s="100">
        <f t="shared" si="109"/>
        <v>0</v>
      </c>
      <c r="L836" s="95"/>
      <c r="M836" s="90">
        <f t="shared" si="103"/>
        <v>0</v>
      </c>
      <c r="N836" s="56">
        <v>0</v>
      </c>
      <c r="O836" s="44">
        <f t="shared" si="104"/>
        <v>0</v>
      </c>
      <c r="P836" s="44"/>
      <c r="Q836" s="44"/>
      <c r="R836" s="44"/>
      <c r="S836" s="44">
        <f t="shared" si="110"/>
        <v>0</v>
      </c>
      <c r="T836" s="44">
        <f t="shared" si="105"/>
        <v>0</v>
      </c>
      <c r="U836">
        <v>0</v>
      </c>
      <c r="V836" s="43">
        <v>0</v>
      </c>
      <c r="W836" s="44">
        <f t="shared" si="106"/>
        <v>0</v>
      </c>
      <c r="X836" s="44">
        <f t="shared" si="107"/>
        <v>0</v>
      </c>
      <c r="Y836" s="44">
        <f t="shared" si="108"/>
        <v>0</v>
      </c>
      <c r="Z836" s="84"/>
      <c r="AA836" s="78"/>
      <c r="AB836" s="78"/>
      <c r="AC836" s="78"/>
      <c r="AD836" s="78"/>
      <c r="AE836" s="78"/>
    </row>
    <row r="837" spans="1:31" ht="12.75">
      <c r="A837"/>
      <c r="B837"/>
      <c r="C837"/>
      <c r="D837"/>
      <c r="E837"/>
      <c r="F837"/>
      <c r="G837"/>
      <c r="H837"/>
      <c r="I837"/>
      <c r="J837"/>
      <c r="K837" s="100">
        <f t="shared" si="109"/>
        <v>0</v>
      </c>
      <c r="L837" s="95"/>
      <c r="M837" s="90">
        <f t="shared" si="103"/>
        <v>0</v>
      </c>
      <c r="N837" s="56">
        <v>0</v>
      </c>
      <c r="O837" s="44">
        <f t="shared" si="104"/>
        <v>0</v>
      </c>
      <c r="P837" s="44"/>
      <c r="Q837" s="44"/>
      <c r="R837" s="44"/>
      <c r="S837" s="44">
        <f t="shared" si="110"/>
        <v>0</v>
      </c>
      <c r="T837" s="44">
        <f t="shared" si="105"/>
        <v>0</v>
      </c>
      <c r="U837">
        <v>0</v>
      </c>
      <c r="V837" s="43">
        <v>0</v>
      </c>
      <c r="W837" s="44">
        <f t="shared" si="106"/>
        <v>0</v>
      </c>
      <c r="X837" s="44">
        <f t="shared" si="107"/>
        <v>0</v>
      </c>
      <c r="Y837" s="44">
        <f t="shared" si="108"/>
        <v>0</v>
      </c>
      <c r="Z837" s="84"/>
      <c r="AA837" s="78"/>
      <c r="AB837" s="78"/>
      <c r="AC837" s="78"/>
      <c r="AD837" s="78"/>
      <c r="AE837" s="78"/>
    </row>
    <row r="838" spans="1:31" ht="12.75">
      <c r="A838"/>
      <c r="B838"/>
      <c r="C838"/>
      <c r="D838"/>
      <c r="E838"/>
      <c r="F838"/>
      <c r="G838"/>
      <c r="H838"/>
      <c r="I838"/>
      <c r="J838"/>
      <c r="K838" s="100">
        <f t="shared" si="109"/>
        <v>0</v>
      </c>
      <c r="L838" s="95"/>
      <c r="M838" s="90">
        <f t="shared" si="103"/>
        <v>0</v>
      </c>
      <c r="N838" s="56">
        <v>0</v>
      </c>
      <c r="O838" s="44">
        <f t="shared" si="104"/>
        <v>0</v>
      </c>
      <c r="P838" s="44"/>
      <c r="Q838" s="44"/>
      <c r="R838" s="44"/>
      <c r="S838" s="44">
        <f t="shared" si="110"/>
        <v>0</v>
      </c>
      <c r="T838" s="44">
        <f t="shared" si="105"/>
        <v>0</v>
      </c>
      <c r="U838">
        <v>0</v>
      </c>
      <c r="V838" s="43">
        <v>0</v>
      </c>
      <c r="W838" s="44">
        <f t="shared" si="106"/>
        <v>0</v>
      </c>
      <c r="X838" s="44">
        <f t="shared" si="107"/>
        <v>0</v>
      </c>
      <c r="Y838" s="44">
        <f t="shared" si="108"/>
        <v>0</v>
      </c>
      <c r="Z838" s="84"/>
      <c r="AA838" s="78"/>
      <c r="AB838" s="78"/>
      <c r="AC838" s="78"/>
      <c r="AD838" s="78"/>
      <c r="AE838" s="78"/>
    </row>
    <row r="839" spans="1:31" ht="12.75">
      <c r="A839"/>
      <c r="B839"/>
      <c r="C839"/>
      <c r="D839"/>
      <c r="E839"/>
      <c r="F839"/>
      <c r="G839"/>
      <c r="H839"/>
      <c r="I839"/>
      <c r="J839"/>
      <c r="K839" s="100">
        <f t="shared" si="109"/>
        <v>0</v>
      </c>
      <c r="L839" s="95"/>
      <c r="M839" s="90">
        <f t="shared" si="103"/>
        <v>0</v>
      </c>
      <c r="N839" s="56">
        <v>0</v>
      </c>
      <c r="O839" s="44">
        <f t="shared" si="104"/>
        <v>0</v>
      </c>
      <c r="P839" s="44"/>
      <c r="Q839" s="44"/>
      <c r="R839" s="44"/>
      <c r="S839" s="44">
        <f t="shared" si="110"/>
        <v>0</v>
      </c>
      <c r="T839" s="44">
        <f t="shared" si="105"/>
        <v>0</v>
      </c>
      <c r="U839">
        <v>0</v>
      </c>
      <c r="V839" s="43">
        <v>0</v>
      </c>
      <c r="W839" s="44">
        <f t="shared" si="106"/>
        <v>0</v>
      </c>
      <c r="X839" s="44">
        <f t="shared" si="107"/>
        <v>0</v>
      </c>
      <c r="Y839" s="44">
        <f t="shared" si="108"/>
        <v>0</v>
      </c>
      <c r="Z839" s="84"/>
      <c r="AA839" s="78"/>
      <c r="AB839" s="78"/>
      <c r="AC839" s="78"/>
      <c r="AD839" s="78"/>
      <c r="AE839" s="78"/>
    </row>
    <row r="840" spans="1:31" ht="12.75">
      <c r="A840"/>
      <c r="B840"/>
      <c r="C840"/>
      <c r="D840"/>
      <c r="E840"/>
      <c r="F840"/>
      <c r="G840"/>
      <c r="H840"/>
      <c r="I840"/>
      <c r="J840"/>
      <c r="K840" s="100">
        <f t="shared" si="109"/>
        <v>0</v>
      </c>
      <c r="L840" s="95"/>
      <c r="M840" s="90">
        <f t="shared" ref="M840:M903" si="111">ROUND(K840*L840,2)</f>
        <v>0</v>
      </c>
      <c r="N840" s="56">
        <v>0</v>
      </c>
      <c r="O840" s="44">
        <f t="shared" ref="O840:O903" si="112">+M840-(M840*N840)</f>
        <v>0</v>
      </c>
      <c r="P840" s="44"/>
      <c r="Q840" s="44"/>
      <c r="R840" s="44"/>
      <c r="S840" s="44">
        <f t="shared" si="110"/>
        <v>0</v>
      </c>
      <c r="T840" s="44">
        <f t="shared" ref="T840:T903" si="113">+O840+P840+Q840+R840</f>
        <v>0</v>
      </c>
      <c r="U840">
        <v>0</v>
      </c>
      <c r="V840" s="43">
        <v>0</v>
      </c>
      <c r="W840" s="44">
        <f t="shared" ref="W840:W903" si="114">+O840-U840-V840-Z840</f>
        <v>0</v>
      </c>
      <c r="X840" s="44">
        <f t="shared" ref="X840:X903" si="115">(+O840-U840-Z840)*$X$1</f>
        <v>0</v>
      </c>
      <c r="Y840" s="44">
        <f t="shared" ref="Y840:Y903" si="116">+W840-X840</f>
        <v>0</v>
      </c>
      <c r="Z840" s="84"/>
      <c r="AA840" s="78"/>
      <c r="AB840" s="78"/>
      <c r="AC840" s="78"/>
      <c r="AD840" s="78"/>
      <c r="AE840" s="78"/>
    </row>
    <row r="841" spans="1:31" ht="12.75">
      <c r="A841"/>
      <c r="B841"/>
      <c r="C841"/>
      <c r="D841"/>
      <c r="E841"/>
      <c r="F841"/>
      <c r="G841"/>
      <c r="H841"/>
      <c r="I841"/>
      <c r="J841"/>
      <c r="K841" s="100">
        <f t="shared" si="109"/>
        <v>0</v>
      </c>
      <c r="L841" s="95"/>
      <c r="M841" s="90">
        <f t="shared" si="111"/>
        <v>0</v>
      </c>
      <c r="N841" s="56">
        <v>0</v>
      </c>
      <c r="O841" s="44">
        <f t="shared" si="112"/>
        <v>0</v>
      </c>
      <c r="P841" s="44"/>
      <c r="Q841" s="44"/>
      <c r="R841" s="44"/>
      <c r="S841" s="44">
        <f t="shared" si="110"/>
        <v>0</v>
      </c>
      <c r="T841" s="44">
        <f t="shared" si="113"/>
        <v>0</v>
      </c>
      <c r="U841">
        <v>0</v>
      </c>
      <c r="V841" s="43">
        <v>0</v>
      </c>
      <c r="W841" s="44">
        <f t="shared" si="114"/>
        <v>0</v>
      </c>
      <c r="X841" s="44">
        <f t="shared" si="115"/>
        <v>0</v>
      </c>
      <c r="Y841" s="44">
        <f t="shared" si="116"/>
        <v>0</v>
      </c>
      <c r="Z841" s="84"/>
      <c r="AA841" s="78"/>
      <c r="AB841" s="78"/>
      <c r="AC841" s="78"/>
      <c r="AD841" s="78"/>
      <c r="AE841" s="78"/>
    </row>
    <row r="842" spans="1:31" ht="12.75">
      <c r="A842"/>
      <c r="B842"/>
      <c r="C842"/>
      <c r="D842"/>
      <c r="E842"/>
      <c r="F842"/>
      <c r="G842"/>
      <c r="H842"/>
      <c r="I842"/>
      <c r="J842"/>
      <c r="K842" s="100">
        <f t="shared" si="109"/>
        <v>0</v>
      </c>
      <c r="L842" s="95"/>
      <c r="M842" s="90">
        <f t="shared" si="111"/>
        <v>0</v>
      </c>
      <c r="N842" s="56">
        <v>0</v>
      </c>
      <c r="O842" s="44">
        <f t="shared" si="112"/>
        <v>0</v>
      </c>
      <c r="P842" s="44"/>
      <c r="Q842" s="44"/>
      <c r="R842" s="44"/>
      <c r="S842" s="44">
        <f t="shared" si="110"/>
        <v>0</v>
      </c>
      <c r="T842" s="44">
        <f t="shared" si="113"/>
        <v>0</v>
      </c>
      <c r="U842">
        <v>0</v>
      </c>
      <c r="V842" s="43">
        <v>0</v>
      </c>
      <c r="W842" s="44">
        <f t="shared" si="114"/>
        <v>0</v>
      </c>
      <c r="X842" s="44">
        <f t="shared" si="115"/>
        <v>0</v>
      </c>
      <c r="Y842" s="44">
        <f t="shared" si="116"/>
        <v>0</v>
      </c>
      <c r="Z842" s="84"/>
      <c r="AA842" s="78"/>
      <c r="AB842" s="78"/>
      <c r="AC842" s="78"/>
      <c r="AD842" s="78"/>
      <c r="AE842" s="78"/>
    </row>
    <row r="843" spans="1:31" ht="12.75">
      <c r="A843"/>
      <c r="B843"/>
      <c r="C843"/>
      <c r="D843"/>
      <c r="E843"/>
      <c r="F843"/>
      <c r="G843"/>
      <c r="H843"/>
      <c r="I843"/>
      <c r="J843"/>
      <c r="K843" s="100">
        <f t="shared" si="109"/>
        <v>0</v>
      </c>
      <c r="L843" s="95"/>
      <c r="M843" s="90">
        <f t="shared" si="111"/>
        <v>0</v>
      </c>
      <c r="N843" s="56">
        <v>0</v>
      </c>
      <c r="O843" s="44">
        <f t="shared" si="112"/>
        <v>0</v>
      </c>
      <c r="P843" s="44"/>
      <c r="Q843" s="44"/>
      <c r="R843" s="44"/>
      <c r="S843" s="44">
        <f t="shared" si="110"/>
        <v>0</v>
      </c>
      <c r="T843" s="44">
        <f t="shared" si="113"/>
        <v>0</v>
      </c>
      <c r="U843">
        <v>0</v>
      </c>
      <c r="V843" s="43">
        <v>0</v>
      </c>
      <c r="W843" s="44">
        <f t="shared" si="114"/>
        <v>0</v>
      </c>
      <c r="X843" s="44">
        <f t="shared" si="115"/>
        <v>0</v>
      </c>
      <c r="Y843" s="44">
        <f t="shared" si="116"/>
        <v>0</v>
      </c>
      <c r="Z843" s="84"/>
      <c r="AA843" s="78"/>
      <c r="AB843" s="78"/>
      <c r="AC843" s="78"/>
      <c r="AD843" s="78"/>
      <c r="AE843" s="78"/>
    </row>
    <row r="844" spans="1:31" ht="12.75">
      <c r="A844"/>
      <c r="B844"/>
      <c r="C844"/>
      <c r="D844"/>
      <c r="E844"/>
      <c r="F844"/>
      <c r="G844"/>
      <c r="H844"/>
      <c r="I844"/>
      <c r="J844"/>
      <c r="K844" s="100">
        <f t="shared" si="109"/>
        <v>0</v>
      </c>
      <c r="L844" s="95"/>
      <c r="M844" s="90">
        <f t="shared" si="111"/>
        <v>0</v>
      </c>
      <c r="N844" s="56">
        <v>0</v>
      </c>
      <c r="O844" s="44">
        <f t="shared" si="112"/>
        <v>0</v>
      </c>
      <c r="P844" s="44"/>
      <c r="Q844" s="44"/>
      <c r="R844" s="44"/>
      <c r="S844" s="44">
        <f t="shared" si="110"/>
        <v>0</v>
      </c>
      <c r="T844" s="44">
        <f t="shared" si="113"/>
        <v>0</v>
      </c>
      <c r="U844">
        <v>0</v>
      </c>
      <c r="V844" s="43">
        <v>0</v>
      </c>
      <c r="W844" s="44">
        <f t="shared" si="114"/>
        <v>0</v>
      </c>
      <c r="X844" s="44">
        <f t="shared" si="115"/>
        <v>0</v>
      </c>
      <c r="Y844" s="44">
        <f t="shared" si="116"/>
        <v>0</v>
      </c>
      <c r="Z844" s="84"/>
      <c r="AA844" s="78"/>
      <c r="AB844" s="78"/>
      <c r="AC844" s="78"/>
      <c r="AD844" s="78"/>
      <c r="AE844" s="78"/>
    </row>
    <row r="845" spans="1:31" ht="12.75">
      <c r="A845"/>
      <c r="B845"/>
      <c r="C845"/>
      <c r="D845"/>
      <c r="E845"/>
      <c r="F845"/>
      <c r="G845"/>
      <c r="H845"/>
      <c r="I845"/>
      <c r="J845"/>
      <c r="K845" s="100">
        <f t="shared" si="109"/>
        <v>0</v>
      </c>
      <c r="L845" s="95"/>
      <c r="M845" s="90">
        <f t="shared" si="111"/>
        <v>0</v>
      </c>
      <c r="N845" s="56">
        <v>0</v>
      </c>
      <c r="O845" s="44">
        <f t="shared" si="112"/>
        <v>0</v>
      </c>
      <c r="P845" s="44"/>
      <c r="Q845" s="44"/>
      <c r="R845" s="44"/>
      <c r="S845" s="44">
        <f t="shared" si="110"/>
        <v>0</v>
      </c>
      <c r="T845" s="44">
        <f t="shared" si="113"/>
        <v>0</v>
      </c>
      <c r="U845">
        <v>0</v>
      </c>
      <c r="V845" s="43">
        <v>0</v>
      </c>
      <c r="W845" s="44">
        <f t="shared" si="114"/>
        <v>0</v>
      </c>
      <c r="X845" s="44">
        <f t="shared" si="115"/>
        <v>0</v>
      </c>
      <c r="Y845" s="44">
        <f t="shared" si="116"/>
        <v>0</v>
      </c>
      <c r="Z845" s="84"/>
      <c r="AA845" s="78"/>
      <c r="AB845" s="78"/>
      <c r="AC845" s="78"/>
      <c r="AD845" s="78"/>
      <c r="AE845" s="78"/>
    </row>
    <row r="846" spans="1:31" ht="12.75">
      <c r="A846"/>
      <c r="B846"/>
      <c r="C846"/>
      <c r="D846"/>
      <c r="E846"/>
      <c r="F846"/>
      <c r="G846"/>
      <c r="H846"/>
      <c r="I846"/>
      <c r="J846"/>
      <c r="K846" s="100">
        <f t="shared" si="109"/>
        <v>0</v>
      </c>
      <c r="L846" s="95"/>
      <c r="M846" s="90">
        <f t="shared" si="111"/>
        <v>0</v>
      </c>
      <c r="N846" s="56">
        <v>0</v>
      </c>
      <c r="O846" s="44">
        <f t="shared" si="112"/>
        <v>0</v>
      </c>
      <c r="P846" s="44"/>
      <c r="Q846" s="44"/>
      <c r="R846" s="44"/>
      <c r="S846" s="44">
        <f t="shared" si="110"/>
        <v>0</v>
      </c>
      <c r="T846" s="44">
        <f t="shared" si="113"/>
        <v>0</v>
      </c>
      <c r="U846">
        <v>0</v>
      </c>
      <c r="V846" s="43">
        <v>0</v>
      </c>
      <c r="W846" s="44">
        <f t="shared" si="114"/>
        <v>0</v>
      </c>
      <c r="X846" s="44">
        <f t="shared" si="115"/>
        <v>0</v>
      </c>
      <c r="Y846" s="44">
        <f t="shared" si="116"/>
        <v>0</v>
      </c>
      <c r="Z846" s="84"/>
      <c r="AA846" s="78"/>
      <c r="AB846" s="78"/>
      <c r="AC846" s="78"/>
      <c r="AD846" s="78"/>
      <c r="AE846" s="78"/>
    </row>
    <row r="847" spans="1:31" ht="12.75">
      <c r="A847"/>
      <c r="B847"/>
      <c r="C847"/>
      <c r="D847"/>
      <c r="E847"/>
      <c r="F847"/>
      <c r="G847"/>
      <c r="H847"/>
      <c r="I847"/>
      <c r="J847"/>
      <c r="K847" s="100">
        <f t="shared" si="109"/>
        <v>0</v>
      </c>
      <c r="L847" s="95"/>
      <c r="M847" s="90">
        <f t="shared" si="111"/>
        <v>0</v>
      </c>
      <c r="N847" s="56">
        <v>0</v>
      </c>
      <c r="O847" s="44">
        <f t="shared" si="112"/>
        <v>0</v>
      </c>
      <c r="P847" s="44"/>
      <c r="Q847" s="44"/>
      <c r="R847" s="44"/>
      <c r="S847" s="44">
        <f t="shared" si="110"/>
        <v>0</v>
      </c>
      <c r="T847" s="44">
        <f t="shared" si="113"/>
        <v>0</v>
      </c>
      <c r="U847">
        <v>0</v>
      </c>
      <c r="V847" s="43">
        <v>0</v>
      </c>
      <c r="W847" s="44">
        <f t="shared" si="114"/>
        <v>0</v>
      </c>
      <c r="X847" s="44">
        <f t="shared" si="115"/>
        <v>0</v>
      </c>
      <c r="Y847" s="44">
        <f t="shared" si="116"/>
        <v>0</v>
      </c>
      <c r="Z847" s="84"/>
      <c r="AA847" s="78"/>
      <c r="AB847" s="78"/>
      <c r="AC847" s="78"/>
      <c r="AD847" s="78"/>
      <c r="AE847" s="78"/>
    </row>
    <row r="848" spans="1:31" ht="12.75">
      <c r="A848"/>
      <c r="B848"/>
      <c r="C848"/>
      <c r="D848"/>
      <c r="E848"/>
      <c r="F848"/>
      <c r="G848"/>
      <c r="H848"/>
      <c r="I848"/>
      <c r="J848"/>
      <c r="K848" s="100">
        <f t="shared" si="109"/>
        <v>0</v>
      </c>
      <c r="L848" s="95"/>
      <c r="M848" s="90">
        <f t="shared" si="111"/>
        <v>0</v>
      </c>
      <c r="N848" s="56">
        <v>0</v>
      </c>
      <c r="O848" s="44">
        <f t="shared" si="112"/>
        <v>0</v>
      </c>
      <c r="P848" s="44"/>
      <c r="Q848" s="44"/>
      <c r="R848" s="44"/>
      <c r="S848" s="44">
        <f t="shared" si="110"/>
        <v>0</v>
      </c>
      <c r="T848" s="44">
        <f t="shared" si="113"/>
        <v>0</v>
      </c>
      <c r="U848">
        <v>0</v>
      </c>
      <c r="V848" s="43">
        <v>0</v>
      </c>
      <c r="W848" s="44">
        <f t="shared" si="114"/>
        <v>0</v>
      </c>
      <c r="X848" s="44">
        <f t="shared" si="115"/>
        <v>0</v>
      </c>
      <c r="Y848" s="44">
        <f t="shared" si="116"/>
        <v>0</v>
      </c>
      <c r="Z848" s="84"/>
      <c r="AA848" s="78"/>
      <c r="AB848" s="78"/>
      <c r="AC848" s="78"/>
      <c r="AD848" s="78"/>
      <c r="AE848" s="78"/>
    </row>
    <row r="849" spans="1:31" ht="12.75">
      <c r="A849"/>
      <c r="B849"/>
      <c r="C849"/>
      <c r="D849"/>
      <c r="E849"/>
      <c r="F849"/>
      <c r="G849"/>
      <c r="H849"/>
      <c r="I849"/>
      <c r="J849"/>
      <c r="K849" s="100">
        <f t="shared" si="109"/>
        <v>0</v>
      </c>
      <c r="L849" s="95"/>
      <c r="M849" s="90">
        <f t="shared" si="111"/>
        <v>0</v>
      </c>
      <c r="N849" s="56">
        <v>0</v>
      </c>
      <c r="O849" s="44">
        <f t="shared" si="112"/>
        <v>0</v>
      </c>
      <c r="P849" s="44"/>
      <c r="Q849" s="44"/>
      <c r="R849" s="44"/>
      <c r="S849" s="44">
        <f t="shared" si="110"/>
        <v>0</v>
      </c>
      <c r="T849" s="44">
        <f t="shared" si="113"/>
        <v>0</v>
      </c>
      <c r="U849">
        <v>0</v>
      </c>
      <c r="V849" s="43">
        <v>0</v>
      </c>
      <c r="W849" s="44">
        <f t="shared" si="114"/>
        <v>0</v>
      </c>
      <c r="X849" s="44">
        <f t="shared" si="115"/>
        <v>0</v>
      </c>
      <c r="Y849" s="44">
        <f t="shared" si="116"/>
        <v>0</v>
      </c>
      <c r="Z849" s="84"/>
      <c r="AA849" s="78"/>
      <c r="AB849" s="78"/>
      <c r="AC849" s="78"/>
      <c r="AD849" s="78"/>
      <c r="AE849" s="78"/>
    </row>
    <row r="850" spans="1:31" ht="12.75">
      <c r="A850"/>
      <c r="B850"/>
      <c r="C850"/>
      <c r="D850"/>
      <c r="E850"/>
      <c r="F850"/>
      <c r="G850"/>
      <c r="H850"/>
      <c r="I850"/>
      <c r="J850"/>
      <c r="K850" s="100">
        <f t="shared" si="109"/>
        <v>0</v>
      </c>
      <c r="L850" s="95"/>
      <c r="M850" s="90">
        <f t="shared" si="111"/>
        <v>0</v>
      </c>
      <c r="N850" s="56">
        <v>0</v>
      </c>
      <c r="O850" s="44">
        <f t="shared" si="112"/>
        <v>0</v>
      </c>
      <c r="P850" s="44"/>
      <c r="Q850" s="44"/>
      <c r="R850" s="44"/>
      <c r="S850" s="44">
        <f t="shared" si="110"/>
        <v>0</v>
      </c>
      <c r="T850" s="44">
        <f t="shared" si="113"/>
        <v>0</v>
      </c>
      <c r="U850">
        <v>0</v>
      </c>
      <c r="V850" s="43">
        <v>0</v>
      </c>
      <c r="W850" s="44">
        <f t="shared" si="114"/>
        <v>0</v>
      </c>
      <c r="X850" s="44">
        <f t="shared" si="115"/>
        <v>0</v>
      </c>
      <c r="Y850" s="44">
        <f t="shared" si="116"/>
        <v>0</v>
      </c>
      <c r="Z850" s="84"/>
      <c r="AA850" s="78"/>
      <c r="AB850" s="78"/>
      <c r="AC850" s="78"/>
      <c r="AD850" s="78"/>
      <c r="AE850" s="78"/>
    </row>
    <row r="851" spans="1:31" ht="12.75">
      <c r="A851"/>
      <c r="B851"/>
      <c r="C851"/>
      <c r="D851"/>
      <c r="E851"/>
      <c r="F851"/>
      <c r="G851"/>
      <c r="H851"/>
      <c r="I851"/>
      <c r="J851"/>
      <c r="K851" s="100">
        <f t="shared" si="109"/>
        <v>0</v>
      </c>
      <c r="L851" s="95"/>
      <c r="M851" s="90">
        <f t="shared" si="111"/>
        <v>0</v>
      </c>
      <c r="N851" s="56">
        <v>0</v>
      </c>
      <c r="O851" s="44">
        <f t="shared" si="112"/>
        <v>0</v>
      </c>
      <c r="P851" s="44"/>
      <c r="Q851" s="44"/>
      <c r="R851" s="44"/>
      <c r="S851" s="44">
        <f t="shared" si="110"/>
        <v>0</v>
      </c>
      <c r="T851" s="44">
        <f t="shared" si="113"/>
        <v>0</v>
      </c>
      <c r="U851">
        <v>0</v>
      </c>
      <c r="V851" s="43">
        <v>0</v>
      </c>
      <c r="W851" s="44">
        <f t="shared" si="114"/>
        <v>0</v>
      </c>
      <c r="X851" s="44">
        <f t="shared" si="115"/>
        <v>0</v>
      </c>
      <c r="Y851" s="44">
        <f t="shared" si="116"/>
        <v>0</v>
      </c>
      <c r="Z851" s="84"/>
      <c r="AA851" s="78"/>
      <c r="AB851" s="78"/>
      <c r="AC851" s="78"/>
      <c r="AD851" s="78"/>
      <c r="AE851" s="78"/>
    </row>
    <row r="852" spans="1:31" ht="12.75">
      <c r="A852"/>
      <c r="B852"/>
      <c r="C852"/>
      <c r="D852"/>
      <c r="E852"/>
      <c r="F852"/>
      <c r="G852"/>
      <c r="H852"/>
      <c r="I852"/>
      <c r="J852"/>
      <c r="K852" s="100">
        <f t="shared" si="109"/>
        <v>0</v>
      </c>
      <c r="L852" s="95"/>
      <c r="M852" s="90">
        <f t="shared" si="111"/>
        <v>0</v>
      </c>
      <c r="N852" s="56">
        <v>0</v>
      </c>
      <c r="O852" s="44">
        <f t="shared" si="112"/>
        <v>0</v>
      </c>
      <c r="P852" s="44"/>
      <c r="Q852" s="44"/>
      <c r="R852" s="44"/>
      <c r="S852" s="44">
        <f t="shared" si="110"/>
        <v>0</v>
      </c>
      <c r="T852" s="44">
        <f t="shared" si="113"/>
        <v>0</v>
      </c>
      <c r="U852">
        <v>0</v>
      </c>
      <c r="V852" s="43">
        <v>0</v>
      </c>
      <c r="W852" s="44">
        <f t="shared" si="114"/>
        <v>0</v>
      </c>
      <c r="X852" s="44">
        <f t="shared" si="115"/>
        <v>0</v>
      </c>
      <c r="Y852" s="44">
        <f t="shared" si="116"/>
        <v>0</v>
      </c>
      <c r="Z852" s="84"/>
      <c r="AA852" s="78"/>
      <c r="AB852" s="78"/>
      <c r="AC852" s="78"/>
      <c r="AD852" s="78"/>
      <c r="AE852" s="78"/>
    </row>
    <row r="853" spans="1:31" ht="12.75">
      <c r="A853"/>
      <c r="B853"/>
      <c r="C853"/>
      <c r="D853"/>
      <c r="E853"/>
      <c r="F853"/>
      <c r="G853"/>
      <c r="H853"/>
      <c r="I853"/>
      <c r="J853"/>
      <c r="K853" s="100">
        <f t="shared" si="109"/>
        <v>0</v>
      </c>
      <c r="L853" s="95"/>
      <c r="M853" s="90">
        <f t="shared" si="111"/>
        <v>0</v>
      </c>
      <c r="N853" s="56">
        <v>0</v>
      </c>
      <c r="O853" s="44">
        <f t="shared" si="112"/>
        <v>0</v>
      </c>
      <c r="P853" s="44"/>
      <c r="Q853" s="44"/>
      <c r="R853" s="44"/>
      <c r="S853" s="44">
        <f t="shared" si="110"/>
        <v>0</v>
      </c>
      <c r="T853" s="44">
        <f t="shared" si="113"/>
        <v>0</v>
      </c>
      <c r="U853">
        <v>0</v>
      </c>
      <c r="V853" s="43">
        <v>0</v>
      </c>
      <c r="W853" s="44">
        <f t="shared" si="114"/>
        <v>0</v>
      </c>
      <c r="X853" s="44">
        <f t="shared" si="115"/>
        <v>0</v>
      </c>
      <c r="Y853" s="44">
        <f t="shared" si="116"/>
        <v>0</v>
      </c>
      <c r="Z853" s="84"/>
      <c r="AA853" s="78"/>
      <c r="AB853" s="78"/>
      <c r="AC853" s="78"/>
      <c r="AD853" s="78"/>
      <c r="AE853" s="78"/>
    </row>
    <row r="854" spans="1:31" ht="12.75">
      <c r="A854"/>
      <c r="B854"/>
      <c r="C854"/>
      <c r="D854"/>
      <c r="E854"/>
      <c r="F854"/>
      <c r="G854"/>
      <c r="H854"/>
      <c r="I854"/>
      <c r="J854"/>
      <c r="K854" s="100">
        <f t="shared" si="109"/>
        <v>0</v>
      </c>
      <c r="L854" s="95"/>
      <c r="M854" s="90">
        <f t="shared" si="111"/>
        <v>0</v>
      </c>
      <c r="N854" s="56">
        <v>0</v>
      </c>
      <c r="O854" s="44">
        <f t="shared" si="112"/>
        <v>0</v>
      </c>
      <c r="P854" s="44"/>
      <c r="Q854" s="44"/>
      <c r="R854" s="44"/>
      <c r="S854" s="44">
        <f t="shared" si="110"/>
        <v>0</v>
      </c>
      <c r="T854" s="44">
        <f t="shared" si="113"/>
        <v>0</v>
      </c>
      <c r="U854">
        <v>0</v>
      </c>
      <c r="V854" s="43">
        <v>0</v>
      </c>
      <c r="W854" s="44">
        <f t="shared" si="114"/>
        <v>0</v>
      </c>
      <c r="X854" s="44">
        <f t="shared" si="115"/>
        <v>0</v>
      </c>
      <c r="Y854" s="44">
        <f t="shared" si="116"/>
        <v>0</v>
      </c>
      <c r="Z854" s="84"/>
      <c r="AA854" s="78"/>
      <c r="AB854" s="78"/>
      <c r="AC854" s="78"/>
      <c r="AD854" s="78"/>
      <c r="AE854" s="78"/>
    </row>
    <row r="855" spans="1:31" ht="12.75">
      <c r="A855"/>
      <c r="B855"/>
      <c r="C855"/>
      <c r="D855"/>
      <c r="E855"/>
      <c r="F855"/>
      <c r="G855"/>
      <c r="H855"/>
      <c r="I855"/>
      <c r="J855"/>
      <c r="K855" s="100">
        <f t="shared" si="109"/>
        <v>0</v>
      </c>
      <c r="L855" s="95"/>
      <c r="M855" s="90">
        <f t="shared" si="111"/>
        <v>0</v>
      </c>
      <c r="N855" s="56">
        <v>0</v>
      </c>
      <c r="O855" s="44">
        <f t="shared" si="112"/>
        <v>0</v>
      </c>
      <c r="P855" s="44"/>
      <c r="Q855" s="44"/>
      <c r="R855" s="44"/>
      <c r="S855" s="44">
        <f t="shared" si="110"/>
        <v>0</v>
      </c>
      <c r="T855" s="44">
        <f t="shared" si="113"/>
        <v>0</v>
      </c>
      <c r="U855">
        <v>0</v>
      </c>
      <c r="V855" s="43">
        <v>0</v>
      </c>
      <c r="W855" s="44">
        <f t="shared" si="114"/>
        <v>0</v>
      </c>
      <c r="X855" s="44">
        <f t="shared" si="115"/>
        <v>0</v>
      </c>
      <c r="Y855" s="44">
        <f t="shared" si="116"/>
        <v>0</v>
      </c>
      <c r="Z855" s="84"/>
      <c r="AA855" s="78"/>
      <c r="AB855" s="78"/>
      <c r="AC855" s="78"/>
      <c r="AD855" s="78"/>
      <c r="AE855" s="78"/>
    </row>
    <row r="856" spans="1:31" ht="12.75">
      <c r="A856"/>
      <c r="B856"/>
      <c r="C856"/>
      <c r="D856"/>
      <c r="E856"/>
      <c r="F856"/>
      <c r="G856"/>
      <c r="H856"/>
      <c r="I856"/>
      <c r="J856"/>
      <c r="K856" s="100">
        <f t="shared" si="109"/>
        <v>0</v>
      </c>
      <c r="L856" s="95"/>
      <c r="M856" s="90">
        <f t="shared" si="111"/>
        <v>0</v>
      </c>
      <c r="N856" s="56">
        <v>0</v>
      </c>
      <c r="O856" s="44">
        <f t="shared" si="112"/>
        <v>0</v>
      </c>
      <c r="P856" s="44"/>
      <c r="Q856" s="44"/>
      <c r="R856" s="44"/>
      <c r="S856" s="44">
        <f t="shared" si="110"/>
        <v>0</v>
      </c>
      <c r="T856" s="44">
        <f t="shared" si="113"/>
        <v>0</v>
      </c>
      <c r="U856">
        <v>0</v>
      </c>
      <c r="V856" s="43">
        <v>0</v>
      </c>
      <c r="W856" s="44">
        <f t="shared" si="114"/>
        <v>0</v>
      </c>
      <c r="X856" s="44">
        <f t="shared" si="115"/>
        <v>0</v>
      </c>
      <c r="Y856" s="44">
        <f t="shared" si="116"/>
        <v>0</v>
      </c>
      <c r="Z856" s="84"/>
      <c r="AA856" s="78"/>
      <c r="AB856" s="78"/>
      <c r="AC856" s="78"/>
      <c r="AD856" s="78"/>
      <c r="AE856" s="78"/>
    </row>
    <row r="857" spans="1:31" ht="12.75">
      <c r="A857"/>
      <c r="B857"/>
      <c r="C857"/>
      <c r="D857"/>
      <c r="E857"/>
      <c r="F857"/>
      <c r="G857"/>
      <c r="H857"/>
      <c r="I857"/>
      <c r="J857"/>
      <c r="K857" s="100">
        <f t="shared" si="109"/>
        <v>0</v>
      </c>
      <c r="L857" s="95"/>
      <c r="M857" s="90">
        <f t="shared" si="111"/>
        <v>0</v>
      </c>
      <c r="N857" s="56">
        <v>0</v>
      </c>
      <c r="O857" s="44">
        <f t="shared" si="112"/>
        <v>0</v>
      </c>
      <c r="P857" s="44"/>
      <c r="Q857" s="44"/>
      <c r="R857" s="44"/>
      <c r="S857" s="44">
        <f t="shared" si="110"/>
        <v>0</v>
      </c>
      <c r="T857" s="44">
        <f t="shared" si="113"/>
        <v>0</v>
      </c>
      <c r="U857">
        <v>0</v>
      </c>
      <c r="V857" s="43">
        <v>0</v>
      </c>
      <c r="W857" s="44">
        <f t="shared" si="114"/>
        <v>0</v>
      </c>
      <c r="X857" s="44">
        <f t="shared" si="115"/>
        <v>0</v>
      </c>
      <c r="Y857" s="44">
        <f t="shared" si="116"/>
        <v>0</v>
      </c>
      <c r="Z857" s="84"/>
      <c r="AA857" s="78"/>
      <c r="AB857" s="78"/>
      <c r="AC857" s="78"/>
      <c r="AD857" s="78"/>
      <c r="AE857" s="78"/>
    </row>
    <row r="858" spans="1:31" ht="12.75">
      <c r="A858"/>
      <c r="B858"/>
      <c r="C858"/>
      <c r="D858"/>
      <c r="E858"/>
      <c r="F858"/>
      <c r="G858"/>
      <c r="H858"/>
      <c r="I858"/>
      <c r="J858"/>
      <c r="K858" s="100">
        <f t="shared" si="109"/>
        <v>0</v>
      </c>
      <c r="L858" s="95"/>
      <c r="M858" s="90">
        <f t="shared" si="111"/>
        <v>0</v>
      </c>
      <c r="N858" s="56">
        <v>0</v>
      </c>
      <c r="O858" s="44">
        <f t="shared" si="112"/>
        <v>0</v>
      </c>
      <c r="P858" s="44"/>
      <c r="Q858" s="44"/>
      <c r="R858" s="44"/>
      <c r="S858" s="44">
        <f t="shared" si="110"/>
        <v>0</v>
      </c>
      <c r="T858" s="44">
        <f t="shared" si="113"/>
        <v>0</v>
      </c>
      <c r="U858">
        <v>0</v>
      </c>
      <c r="V858" s="43">
        <v>0</v>
      </c>
      <c r="W858" s="44">
        <f t="shared" si="114"/>
        <v>0</v>
      </c>
      <c r="X858" s="44">
        <f t="shared" si="115"/>
        <v>0</v>
      </c>
      <c r="Y858" s="44">
        <f t="shared" si="116"/>
        <v>0</v>
      </c>
      <c r="Z858" s="84"/>
      <c r="AA858" s="78"/>
      <c r="AB858" s="78"/>
      <c r="AC858" s="78"/>
      <c r="AD858" s="78"/>
      <c r="AE858" s="78"/>
    </row>
    <row r="859" spans="1:31" ht="12.75">
      <c r="A859"/>
      <c r="B859"/>
      <c r="C859"/>
      <c r="D859"/>
      <c r="E859"/>
      <c r="F859"/>
      <c r="G859"/>
      <c r="H859"/>
      <c r="I859"/>
      <c r="J859"/>
      <c r="K859" s="100">
        <f t="shared" si="109"/>
        <v>0</v>
      </c>
      <c r="L859" s="95"/>
      <c r="M859" s="90">
        <f t="shared" si="111"/>
        <v>0</v>
      </c>
      <c r="N859" s="56">
        <v>0</v>
      </c>
      <c r="O859" s="44">
        <f t="shared" si="112"/>
        <v>0</v>
      </c>
      <c r="P859" s="44"/>
      <c r="Q859" s="44"/>
      <c r="R859" s="44"/>
      <c r="S859" s="44">
        <f t="shared" si="110"/>
        <v>0</v>
      </c>
      <c r="T859" s="44">
        <f t="shared" si="113"/>
        <v>0</v>
      </c>
      <c r="U859">
        <v>0</v>
      </c>
      <c r="V859" s="43">
        <v>0</v>
      </c>
      <c r="W859" s="44">
        <f t="shared" si="114"/>
        <v>0</v>
      </c>
      <c r="X859" s="44">
        <f t="shared" si="115"/>
        <v>0</v>
      </c>
      <c r="Y859" s="44">
        <f t="shared" si="116"/>
        <v>0</v>
      </c>
      <c r="Z859" s="84"/>
      <c r="AA859" s="78"/>
      <c r="AB859" s="78"/>
      <c r="AC859" s="78"/>
      <c r="AD859" s="78"/>
      <c r="AE859" s="78"/>
    </row>
    <row r="860" spans="1:31" ht="12.75">
      <c r="A860"/>
      <c r="B860"/>
      <c r="C860"/>
      <c r="D860"/>
      <c r="E860"/>
      <c r="F860"/>
      <c r="G860"/>
      <c r="H860"/>
      <c r="I860"/>
      <c r="J860"/>
      <c r="K860" s="100">
        <f t="shared" si="109"/>
        <v>0</v>
      </c>
      <c r="L860" s="95"/>
      <c r="M860" s="90">
        <f t="shared" si="111"/>
        <v>0</v>
      </c>
      <c r="N860" s="56">
        <v>0</v>
      </c>
      <c r="O860" s="44">
        <f t="shared" si="112"/>
        <v>0</v>
      </c>
      <c r="P860" s="44"/>
      <c r="Q860" s="44"/>
      <c r="R860" s="44"/>
      <c r="S860" s="44">
        <f t="shared" si="110"/>
        <v>0</v>
      </c>
      <c r="T860" s="44">
        <f t="shared" si="113"/>
        <v>0</v>
      </c>
      <c r="U860">
        <v>0</v>
      </c>
      <c r="V860" s="43">
        <v>0</v>
      </c>
      <c r="W860" s="44">
        <f t="shared" si="114"/>
        <v>0</v>
      </c>
      <c r="X860" s="44">
        <f t="shared" si="115"/>
        <v>0</v>
      </c>
      <c r="Y860" s="44">
        <f t="shared" si="116"/>
        <v>0</v>
      </c>
      <c r="Z860" s="84"/>
      <c r="AA860" s="78"/>
      <c r="AB860" s="78"/>
      <c r="AC860" s="78"/>
      <c r="AD860" s="78"/>
      <c r="AE860" s="78"/>
    </row>
    <row r="861" spans="1:31" ht="12.75">
      <c r="A861"/>
      <c r="B861"/>
      <c r="C861"/>
      <c r="D861"/>
      <c r="E861"/>
      <c r="F861"/>
      <c r="G861"/>
      <c r="H861"/>
      <c r="I861"/>
      <c r="J861"/>
      <c r="K861" s="100">
        <f t="shared" si="109"/>
        <v>0</v>
      </c>
      <c r="L861" s="95"/>
      <c r="M861" s="90">
        <f t="shared" si="111"/>
        <v>0</v>
      </c>
      <c r="N861" s="56">
        <v>0</v>
      </c>
      <c r="O861" s="44">
        <f t="shared" si="112"/>
        <v>0</v>
      </c>
      <c r="P861" s="44"/>
      <c r="Q861" s="44"/>
      <c r="R861" s="44"/>
      <c r="S861" s="44">
        <f t="shared" si="110"/>
        <v>0</v>
      </c>
      <c r="T861" s="44">
        <f t="shared" si="113"/>
        <v>0</v>
      </c>
      <c r="U861">
        <v>0</v>
      </c>
      <c r="V861" s="43">
        <v>0</v>
      </c>
      <c r="W861" s="44">
        <f t="shared" si="114"/>
        <v>0</v>
      </c>
      <c r="X861" s="44">
        <f t="shared" si="115"/>
        <v>0</v>
      </c>
      <c r="Y861" s="44">
        <f t="shared" si="116"/>
        <v>0</v>
      </c>
      <c r="Z861" s="84"/>
      <c r="AA861" s="78"/>
      <c r="AB861" s="78"/>
      <c r="AC861" s="78"/>
      <c r="AD861" s="78"/>
      <c r="AE861" s="78"/>
    </row>
    <row r="862" spans="1:31" ht="12.75">
      <c r="A862"/>
      <c r="B862"/>
      <c r="C862"/>
      <c r="D862"/>
      <c r="E862"/>
      <c r="F862"/>
      <c r="G862"/>
      <c r="H862"/>
      <c r="I862"/>
      <c r="J862"/>
      <c r="K862" s="100">
        <f t="shared" si="109"/>
        <v>0</v>
      </c>
      <c r="L862" s="95"/>
      <c r="M862" s="90">
        <f t="shared" si="111"/>
        <v>0</v>
      </c>
      <c r="N862" s="56">
        <v>0</v>
      </c>
      <c r="O862" s="44">
        <f t="shared" si="112"/>
        <v>0</v>
      </c>
      <c r="P862" s="44"/>
      <c r="Q862" s="44"/>
      <c r="R862" s="44"/>
      <c r="S862" s="44">
        <f t="shared" si="110"/>
        <v>0</v>
      </c>
      <c r="T862" s="44">
        <f t="shared" si="113"/>
        <v>0</v>
      </c>
      <c r="U862">
        <v>0</v>
      </c>
      <c r="V862" s="43">
        <v>0</v>
      </c>
      <c r="W862" s="44">
        <f t="shared" si="114"/>
        <v>0</v>
      </c>
      <c r="X862" s="44">
        <f t="shared" si="115"/>
        <v>0</v>
      </c>
      <c r="Y862" s="44">
        <f t="shared" si="116"/>
        <v>0</v>
      </c>
      <c r="Z862" s="84"/>
      <c r="AA862" s="78"/>
      <c r="AB862" s="78"/>
      <c r="AC862" s="78"/>
      <c r="AD862" s="78"/>
      <c r="AE862" s="78"/>
    </row>
    <row r="863" spans="1:31" ht="12.75">
      <c r="A863"/>
      <c r="B863"/>
      <c r="C863"/>
      <c r="D863"/>
      <c r="E863"/>
      <c r="F863"/>
      <c r="G863"/>
      <c r="H863"/>
      <c r="I863"/>
      <c r="J863"/>
      <c r="K863" s="100">
        <f t="shared" si="109"/>
        <v>0</v>
      </c>
      <c r="L863" s="95"/>
      <c r="M863" s="90">
        <f t="shared" si="111"/>
        <v>0</v>
      </c>
      <c r="N863" s="56">
        <v>0</v>
      </c>
      <c r="O863" s="44">
        <f t="shared" si="112"/>
        <v>0</v>
      </c>
      <c r="P863" s="44"/>
      <c r="Q863" s="44"/>
      <c r="R863" s="44"/>
      <c r="S863" s="44">
        <f t="shared" si="110"/>
        <v>0</v>
      </c>
      <c r="T863" s="44">
        <f t="shared" si="113"/>
        <v>0</v>
      </c>
      <c r="U863">
        <v>0</v>
      </c>
      <c r="V863" s="43">
        <v>0</v>
      </c>
      <c r="W863" s="44">
        <f t="shared" si="114"/>
        <v>0</v>
      </c>
      <c r="X863" s="44">
        <f t="shared" si="115"/>
        <v>0</v>
      </c>
      <c r="Y863" s="44">
        <f t="shared" si="116"/>
        <v>0</v>
      </c>
      <c r="Z863" s="84"/>
      <c r="AA863" s="78"/>
      <c r="AB863" s="78"/>
      <c r="AC863" s="78"/>
      <c r="AD863" s="78"/>
      <c r="AE863" s="78"/>
    </row>
    <row r="864" spans="1:31" ht="12.75">
      <c r="A864"/>
      <c r="B864"/>
      <c r="C864"/>
      <c r="D864"/>
      <c r="E864"/>
      <c r="F864"/>
      <c r="G864"/>
      <c r="H864"/>
      <c r="I864"/>
      <c r="J864"/>
      <c r="K864" s="100">
        <f t="shared" si="109"/>
        <v>0</v>
      </c>
      <c r="L864" s="95"/>
      <c r="M864" s="90">
        <f t="shared" si="111"/>
        <v>0</v>
      </c>
      <c r="N864" s="56">
        <v>0</v>
      </c>
      <c r="O864" s="44">
        <f t="shared" si="112"/>
        <v>0</v>
      </c>
      <c r="P864" s="44"/>
      <c r="Q864" s="44"/>
      <c r="R864" s="44"/>
      <c r="S864" s="44">
        <f t="shared" si="110"/>
        <v>0</v>
      </c>
      <c r="T864" s="44">
        <f t="shared" si="113"/>
        <v>0</v>
      </c>
      <c r="U864">
        <v>0</v>
      </c>
      <c r="V864" s="43">
        <v>0</v>
      </c>
      <c r="W864" s="44">
        <f t="shared" si="114"/>
        <v>0</v>
      </c>
      <c r="X864" s="44">
        <f t="shared" si="115"/>
        <v>0</v>
      </c>
      <c r="Y864" s="44">
        <f t="shared" si="116"/>
        <v>0</v>
      </c>
      <c r="Z864" s="84"/>
      <c r="AA864" s="78"/>
      <c r="AB864" s="78"/>
      <c r="AC864" s="78"/>
      <c r="AD864" s="78"/>
      <c r="AE864" s="78"/>
    </row>
    <row r="865" spans="1:31" ht="12.75">
      <c r="A865"/>
      <c r="B865"/>
      <c r="C865"/>
      <c r="D865"/>
      <c r="E865"/>
      <c r="F865"/>
      <c r="G865"/>
      <c r="H865"/>
      <c r="I865"/>
      <c r="J865"/>
      <c r="K865" s="100">
        <f t="shared" si="109"/>
        <v>0</v>
      </c>
      <c r="L865" s="95"/>
      <c r="M865" s="90">
        <f t="shared" si="111"/>
        <v>0</v>
      </c>
      <c r="N865" s="56">
        <v>0</v>
      </c>
      <c r="O865" s="44">
        <f t="shared" si="112"/>
        <v>0</v>
      </c>
      <c r="P865" s="44"/>
      <c r="Q865" s="44"/>
      <c r="R865" s="44"/>
      <c r="S865" s="44">
        <f t="shared" si="110"/>
        <v>0</v>
      </c>
      <c r="T865" s="44">
        <f t="shared" si="113"/>
        <v>0</v>
      </c>
      <c r="U865">
        <v>0</v>
      </c>
      <c r="V865" s="43">
        <v>0</v>
      </c>
      <c r="W865" s="44">
        <f t="shared" si="114"/>
        <v>0</v>
      </c>
      <c r="X865" s="44">
        <f t="shared" si="115"/>
        <v>0</v>
      </c>
      <c r="Y865" s="44">
        <f t="shared" si="116"/>
        <v>0</v>
      </c>
      <c r="Z865" s="84"/>
      <c r="AA865" s="78"/>
      <c r="AB865" s="78"/>
      <c r="AC865" s="78"/>
      <c r="AD865" s="78"/>
      <c r="AE865" s="78"/>
    </row>
    <row r="866" spans="1:31" ht="12.75">
      <c r="A866"/>
      <c r="B866"/>
      <c r="C866"/>
      <c r="D866"/>
      <c r="E866"/>
      <c r="F866"/>
      <c r="G866"/>
      <c r="H866"/>
      <c r="I866"/>
      <c r="J866"/>
      <c r="K866" s="100">
        <f t="shared" si="109"/>
        <v>0</v>
      </c>
      <c r="L866" s="95"/>
      <c r="M866" s="90">
        <f t="shared" si="111"/>
        <v>0</v>
      </c>
      <c r="N866" s="56">
        <v>0</v>
      </c>
      <c r="O866" s="44">
        <f t="shared" si="112"/>
        <v>0</v>
      </c>
      <c r="P866" s="44"/>
      <c r="Q866" s="44"/>
      <c r="R866" s="44"/>
      <c r="S866" s="44">
        <f t="shared" si="110"/>
        <v>0</v>
      </c>
      <c r="T866" s="44">
        <f t="shared" si="113"/>
        <v>0</v>
      </c>
      <c r="U866">
        <v>0</v>
      </c>
      <c r="V866" s="43">
        <v>0</v>
      </c>
      <c r="W866" s="44">
        <f t="shared" si="114"/>
        <v>0</v>
      </c>
      <c r="X866" s="44">
        <f t="shared" si="115"/>
        <v>0</v>
      </c>
      <c r="Y866" s="44">
        <f t="shared" si="116"/>
        <v>0</v>
      </c>
      <c r="Z866" s="84"/>
      <c r="AA866" s="78"/>
      <c r="AB866" s="78"/>
      <c r="AC866" s="78"/>
      <c r="AD866" s="78"/>
      <c r="AE866" s="78"/>
    </row>
    <row r="867" spans="1:31" ht="12.75">
      <c r="A867"/>
      <c r="B867"/>
      <c r="C867"/>
      <c r="D867"/>
      <c r="E867"/>
      <c r="F867"/>
      <c r="G867"/>
      <c r="H867"/>
      <c r="I867"/>
      <c r="J867"/>
      <c r="K867" s="100">
        <f t="shared" si="109"/>
        <v>0</v>
      </c>
      <c r="L867" s="95"/>
      <c r="M867" s="90">
        <f t="shared" si="111"/>
        <v>0</v>
      </c>
      <c r="N867" s="56">
        <v>0</v>
      </c>
      <c r="O867" s="44">
        <f t="shared" si="112"/>
        <v>0</v>
      </c>
      <c r="P867" s="44"/>
      <c r="Q867" s="44"/>
      <c r="R867" s="44"/>
      <c r="S867" s="44">
        <f t="shared" si="110"/>
        <v>0</v>
      </c>
      <c r="T867" s="44">
        <f t="shared" si="113"/>
        <v>0</v>
      </c>
      <c r="U867">
        <v>0</v>
      </c>
      <c r="V867" s="43">
        <v>0</v>
      </c>
      <c r="W867" s="44">
        <f t="shared" si="114"/>
        <v>0</v>
      </c>
      <c r="X867" s="44">
        <f t="shared" si="115"/>
        <v>0</v>
      </c>
      <c r="Y867" s="44">
        <f t="shared" si="116"/>
        <v>0</v>
      </c>
      <c r="Z867" s="84"/>
      <c r="AA867" s="78"/>
      <c r="AB867" s="78"/>
      <c r="AC867" s="78"/>
      <c r="AD867" s="78"/>
      <c r="AE867" s="78"/>
    </row>
    <row r="868" spans="1:31" ht="12.75">
      <c r="A868"/>
      <c r="B868"/>
      <c r="C868"/>
      <c r="D868"/>
      <c r="E868"/>
      <c r="F868"/>
      <c r="G868"/>
      <c r="H868"/>
      <c r="I868"/>
      <c r="J868"/>
      <c r="K868" s="100">
        <f t="shared" si="109"/>
        <v>0</v>
      </c>
      <c r="L868" s="95"/>
      <c r="M868" s="90">
        <f t="shared" si="111"/>
        <v>0</v>
      </c>
      <c r="N868" s="56">
        <v>0</v>
      </c>
      <c r="O868" s="44">
        <f t="shared" si="112"/>
        <v>0</v>
      </c>
      <c r="P868" s="44"/>
      <c r="Q868" s="44"/>
      <c r="R868" s="44"/>
      <c r="S868" s="44">
        <f t="shared" si="110"/>
        <v>0</v>
      </c>
      <c r="T868" s="44">
        <f t="shared" si="113"/>
        <v>0</v>
      </c>
      <c r="U868">
        <v>0</v>
      </c>
      <c r="V868" s="43">
        <v>0</v>
      </c>
      <c r="W868" s="44">
        <f t="shared" si="114"/>
        <v>0</v>
      </c>
      <c r="X868" s="44">
        <f t="shared" si="115"/>
        <v>0</v>
      </c>
      <c r="Y868" s="44">
        <f t="shared" si="116"/>
        <v>0</v>
      </c>
      <c r="Z868" s="84"/>
      <c r="AA868" s="78"/>
      <c r="AB868" s="78"/>
      <c r="AC868" s="78"/>
      <c r="AD868" s="78"/>
      <c r="AE868" s="78"/>
    </row>
    <row r="869" spans="1:31" ht="12.75">
      <c r="A869"/>
      <c r="B869"/>
      <c r="C869"/>
      <c r="D869"/>
      <c r="E869"/>
      <c r="F869"/>
      <c r="G869"/>
      <c r="H869"/>
      <c r="I869"/>
      <c r="J869"/>
      <c r="K869" s="100">
        <f t="shared" si="109"/>
        <v>0</v>
      </c>
      <c r="L869" s="95"/>
      <c r="M869" s="90">
        <f t="shared" si="111"/>
        <v>0</v>
      </c>
      <c r="N869" s="56">
        <v>0</v>
      </c>
      <c r="O869" s="44">
        <f t="shared" si="112"/>
        <v>0</v>
      </c>
      <c r="P869" s="44"/>
      <c r="Q869" s="44"/>
      <c r="R869" s="44"/>
      <c r="S869" s="44">
        <f t="shared" si="110"/>
        <v>0</v>
      </c>
      <c r="T869" s="44">
        <f t="shared" si="113"/>
        <v>0</v>
      </c>
      <c r="U869">
        <v>0</v>
      </c>
      <c r="V869" s="43">
        <v>0</v>
      </c>
      <c r="W869" s="44">
        <f t="shared" si="114"/>
        <v>0</v>
      </c>
      <c r="X869" s="44">
        <f t="shared" si="115"/>
        <v>0</v>
      </c>
      <c r="Y869" s="44">
        <f t="shared" si="116"/>
        <v>0</v>
      </c>
      <c r="Z869" s="84"/>
      <c r="AA869" s="78"/>
      <c r="AB869" s="78"/>
      <c r="AC869" s="78"/>
      <c r="AD869" s="78"/>
      <c r="AE869" s="78"/>
    </row>
    <row r="870" spans="1:31" ht="12.75">
      <c r="A870"/>
      <c r="B870"/>
      <c r="C870"/>
      <c r="D870"/>
      <c r="E870"/>
      <c r="F870"/>
      <c r="G870"/>
      <c r="H870"/>
      <c r="I870"/>
      <c r="J870"/>
      <c r="K870" s="100">
        <f t="shared" ref="K870:K896" si="117">+I870*J870</f>
        <v>0</v>
      </c>
      <c r="L870" s="95"/>
      <c r="M870" s="90">
        <f t="shared" si="111"/>
        <v>0</v>
      </c>
      <c r="N870" s="56">
        <v>0</v>
      </c>
      <c r="O870" s="44">
        <f t="shared" si="112"/>
        <v>0</v>
      </c>
      <c r="P870" s="44"/>
      <c r="Q870" s="44"/>
      <c r="R870" s="44"/>
      <c r="S870" s="44">
        <f t="shared" ref="S870:S896" si="118">IF(R870="y",+P870*0.01,0)</f>
        <v>0</v>
      </c>
      <c r="T870" s="44">
        <f t="shared" si="113"/>
        <v>0</v>
      </c>
      <c r="U870">
        <v>0</v>
      </c>
      <c r="V870" s="43">
        <v>0</v>
      </c>
      <c r="W870" s="44">
        <f t="shared" si="114"/>
        <v>0</v>
      </c>
      <c r="X870" s="44">
        <f t="shared" si="115"/>
        <v>0</v>
      </c>
      <c r="Y870" s="44">
        <f t="shared" si="116"/>
        <v>0</v>
      </c>
      <c r="Z870" s="84"/>
      <c r="AA870" s="78"/>
      <c r="AB870" s="78"/>
      <c r="AC870" s="78"/>
      <c r="AD870" s="78"/>
      <c r="AE870" s="78"/>
    </row>
    <row r="871" spans="1:31" ht="12.75">
      <c r="A871"/>
      <c r="B871"/>
      <c r="C871"/>
      <c r="D871"/>
      <c r="E871"/>
      <c r="F871"/>
      <c r="G871"/>
      <c r="H871"/>
      <c r="I871"/>
      <c r="J871"/>
      <c r="K871" s="100">
        <f t="shared" si="117"/>
        <v>0</v>
      </c>
      <c r="L871" s="95"/>
      <c r="M871" s="90">
        <f t="shared" si="111"/>
        <v>0</v>
      </c>
      <c r="N871" s="56">
        <v>0</v>
      </c>
      <c r="O871" s="44">
        <f t="shared" si="112"/>
        <v>0</v>
      </c>
      <c r="P871" s="44"/>
      <c r="Q871" s="44"/>
      <c r="R871" s="44"/>
      <c r="S871" s="44">
        <f t="shared" si="118"/>
        <v>0</v>
      </c>
      <c r="T871" s="44">
        <f t="shared" si="113"/>
        <v>0</v>
      </c>
      <c r="U871">
        <v>0</v>
      </c>
      <c r="V871" s="43">
        <v>0</v>
      </c>
      <c r="W871" s="44">
        <f t="shared" si="114"/>
        <v>0</v>
      </c>
      <c r="X871" s="44">
        <f t="shared" si="115"/>
        <v>0</v>
      </c>
      <c r="Y871" s="44">
        <f t="shared" si="116"/>
        <v>0</v>
      </c>
      <c r="Z871" s="84"/>
      <c r="AA871" s="78"/>
      <c r="AB871" s="78"/>
      <c r="AC871" s="78"/>
      <c r="AD871" s="78"/>
      <c r="AE871" s="78"/>
    </row>
    <row r="872" spans="1:31" ht="12.75">
      <c r="A872"/>
      <c r="B872"/>
      <c r="C872"/>
      <c r="D872"/>
      <c r="E872"/>
      <c r="F872"/>
      <c r="G872"/>
      <c r="H872"/>
      <c r="I872"/>
      <c r="J872"/>
      <c r="K872" s="100">
        <f t="shared" si="117"/>
        <v>0</v>
      </c>
      <c r="L872" s="95"/>
      <c r="M872" s="90">
        <f t="shared" si="111"/>
        <v>0</v>
      </c>
      <c r="N872" s="56">
        <v>0</v>
      </c>
      <c r="O872" s="44">
        <f t="shared" si="112"/>
        <v>0</v>
      </c>
      <c r="P872" s="44"/>
      <c r="Q872" s="44"/>
      <c r="R872" s="44"/>
      <c r="S872" s="44">
        <f t="shared" si="118"/>
        <v>0</v>
      </c>
      <c r="T872" s="44">
        <f t="shared" si="113"/>
        <v>0</v>
      </c>
      <c r="U872">
        <v>0</v>
      </c>
      <c r="V872" s="43">
        <v>0</v>
      </c>
      <c r="W872" s="44">
        <f t="shared" si="114"/>
        <v>0</v>
      </c>
      <c r="X872" s="44">
        <f t="shared" si="115"/>
        <v>0</v>
      </c>
      <c r="Y872" s="44">
        <f t="shared" si="116"/>
        <v>0</v>
      </c>
      <c r="Z872" s="84"/>
      <c r="AA872" s="78"/>
      <c r="AB872" s="78"/>
      <c r="AC872" s="78"/>
      <c r="AD872" s="78"/>
      <c r="AE872" s="78"/>
    </row>
    <row r="873" spans="1:31" ht="12.75">
      <c r="A873"/>
      <c r="B873"/>
      <c r="C873"/>
      <c r="D873"/>
      <c r="E873"/>
      <c r="F873"/>
      <c r="G873"/>
      <c r="H873"/>
      <c r="I873"/>
      <c r="J873"/>
      <c r="K873" s="100">
        <f t="shared" si="117"/>
        <v>0</v>
      </c>
      <c r="L873" s="95"/>
      <c r="M873" s="90">
        <f t="shared" si="111"/>
        <v>0</v>
      </c>
      <c r="N873" s="56">
        <v>0</v>
      </c>
      <c r="O873" s="44">
        <f t="shared" si="112"/>
        <v>0</v>
      </c>
      <c r="P873" s="44"/>
      <c r="Q873" s="44"/>
      <c r="R873" s="44"/>
      <c r="S873" s="44">
        <f t="shared" si="118"/>
        <v>0</v>
      </c>
      <c r="T873" s="44">
        <f t="shared" si="113"/>
        <v>0</v>
      </c>
      <c r="U873">
        <v>0</v>
      </c>
      <c r="V873" s="43">
        <v>0</v>
      </c>
      <c r="W873" s="44">
        <f t="shared" si="114"/>
        <v>0</v>
      </c>
      <c r="X873" s="44">
        <f t="shared" si="115"/>
        <v>0</v>
      </c>
      <c r="Y873" s="44">
        <f t="shared" si="116"/>
        <v>0</v>
      </c>
      <c r="Z873" s="84"/>
      <c r="AA873" s="78"/>
      <c r="AB873" s="78"/>
      <c r="AC873" s="78"/>
      <c r="AD873" s="78"/>
      <c r="AE873" s="78"/>
    </row>
    <row r="874" spans="1:31" ht="12.75">
      <c r="A874"/>
      <c r="B874"/>
      <c r="C874"/>
      <c r="D874"/>
      <c r="E874"/>
      <c r="F874"/>
      <c r="G874"/>
      <c r="H874"/>
      <c r="I874"/>
      <c r="J874"/>
      <c r="K874" s="100">
        <f t="shared" si="117"/>
        <v>0</v>
      </c>
      <c r="L874" s="95"/>
      <c r="M874" s="90">
        <f t="shared" si="111"/>
        <v>0</v>
      </c>
      <c r="N874" s="56">
        <v>0</v>
      </c>
      <c r="O874" s="44">
        <f t="shared" si="112"/>
        <v>0</v>
      </c>
      <c r="P874" s="44"/>
      <c r="Q874" s="44"/>
      <c r="R874" s="44"/>
      <c r="S874" s="44">
        <f t="shared" si="118"/>
        <v>0</v>
      </c>
      <c r="T874" s="44">
        <f t="shared" si="113"/>
        <v>0</v>
      </c>
      <c r="U874">
        <v>0</v>
      </c>
      <c r="V874" s="43">
        <v>0</v>
      </c>
      <c r="W874" s="44">
        <f t="shared" si="114"/>
        <v>0</v>
      </c>
      <c r="X874" s="44">
        <f t="shared" si="115"/>
        <v>0</v>
      </c>
      <c r="Y874" s="44">
        <f t="shared" si="116"/>
        <v>0</v>
      </c>
      <c r="Z874" s="84"/>
      <c r="AA874" s="78"/>
      <c r="AB874" s="78"/>
      <c r="AC874" s="78"/>
      <c r="AD874" s="78"/>
      <c r="AE874" s="78"/>
    </row>
    <row r="875" spans="1:31" ht="12.75">
      <c r="A875"/>
      <c r="B875"/>
      <c r="C875"/>
      <c r="D875"/>
      <c r="E875"/>
      <c r="F875"/>
      <c r="G875"/>
      <c r="H875"/>
      <c r="I875"/>
      <c r="J875"/>
      <c r="K875" s="100">
        <f t="shared" si="117"/>
        <v>0</v>
      </c>
      <c r="L875" s="95"/>
      <c r="M875" s="90">
        <f t="shared" si="111"/>
        <v>0</v>
      </c>
      <c r="N875" s="56">
        <v>0</v>
      </c>
      <c r="O875" s="44">
        <f t="shared" si="112"/>
        <v>0</v>
      </c>
      <c r="P875" s="44"/>
      <c r="Q875" s="44"/>
      <c r="R875" s="44"/>
      <c r="S875" s="44">
        <f t="shared" si="118"/>
        <v>0</v>
      </c>
      <c r="T875" s="44">
        <f t="shared" si="113"/>
        <v>0</v>
      </c>
      <c r="U875">
        <v>0</v>
      </c>
      <c r="V875" s="43">
        <v>0</v>
      </c>
      <c r="W875" s="44">
        <f t="shared" si="114"/>
        <v>0</v>
      </c>
      <c r="X875" s="44">
        <f t="shared" si="115"/>
        <v>0</v>
      </c>
      <c r="Y875" s="44">
        <f t="shared" si="116"/>
        <v>0</v>
      </c>
      <c r="Z875" s="84"/>
      <c r="AA875" s="78"/>
      <c r="AB875" s="78"/>
      <c r="AC875" s="78"/>
      <c r="AD875" s="78"/>
      <c r="AE875" s="78"/>
    </row>
    <row r="876" spans="1:31" ht="12.75">
      <c r="A876"/>
      <c r="B876"/>
      <c r="C876"/>
      <c r="D876"/>
      <c r="E876"/>
      <c r="F876"/>
      <c r="G876"/>
      <c r="H876"/>
      <c r="I876"/>
      <c r="J876"/>
      <c r="K876" s="100">
        <f t="shared" si="117"/>
        <v>0</v>
      </c>
      <c r="L876" s="95"/>
      <c r="M876" s="90">
        <f t="shared" si="111"/>
        <v>0</v>
      </c>
      <c r="N876" s="56">
        <v>0</v>
      </c>
      <c r="O876" s="44">
        <f t="shared" si="112"/>
        <v>0</v>
      </c>
      <c r="P876" s="44"/>
      <c r="Q876" s="44"/>
      <c r="R876" s="44"/>
      <c r="S876" s="44">
        <f t="shared" si="118"/>
        <v>0</v>
      </c>
      <c r="T876" s="44">
        <f t="shared" si="113"/>
        <v>0</v>
      </c>
      <c r="U876">
        <v>0</v>
      </c>
      <c r="V876" s="43">
        <v>0</v>
      </c>
      <c r="W876" s="44">
        <f t="shared" si="114"/>
        <v>0</v>
      </c>
      <c r="X876" s="44">
        <f t="shared" si="115"/>
        <v>0</v>
      </c>
      <c r="Y876" s="44">
        <f t="shared" si="116"/>
        <v>0</v>
      </c>
      <c r="Z876" s="84"/>
      <c r="AA876" s="78"/>
      <c r="AB876" s="78"/>
      <c r="AC876" s="78"/>
      <c r="AD876" s="78"/>
      <c r="AE876" s="78"/>
    </row>
    <row r="877" spans="1:31" ht="12.75">
      <c r="A877"/>
      <c r="B877"/>
      <c r="C877"/>
      <c r="D877"/>
      <c r="E877"/>
      <c r="F877"/>
      <c r="G877"/>
      <c r="H877"/>
      <c r="I877"/>
      <c r="J877"/>
      <c r="K877" s="100">
        <f t="shared" si="117"/>
        <v>0</v>
      </c>
      <c r="L877" s="95"/>
      <c r="M877" s="90">
        <f t="shared" si="111"/>
        <v>0</v>
      </c>
      <c r="N877" s="56">
        <v>0</v>
      </c>
      <c r="O877" s="44">
        <f t="shared" si="112"/>
        <v>0</v>
      </c>
      <c r="P877" s="44"/>
      <c r="Q877" s="44"/>
      <c r="R877" s="44"/>
      <c r="S877" s="44">
        <f t="shared" si="118"/>
        <v>0</v>
      </c>
      <c r="T877" s="44">
        <f t="shared" si="113"/>
        <v>0</v>
      </c>
      <c r="U877">
        <v>0</v>
      </c>
      <c r="V877" s="43">
        <v>0</v>
      </c>
      <c r="W877" s="44">
        <f t="shared" si="114"/>
        <v>0</v>
      </c>
      <c r="X877" s="44">
        <f t="shared" si="115"/>
        <v>0</v>
      </c>
      <c r="Y877" s="44">
        <f t="shared" si="116"/>
        <v>0</v>
      </c>
      <c r="Z877" s="84"/>
      <c r="AA877" s="78"/>
      <c r="AB877" s="78"/>
      <c r="AC877" s="78"/>
      <c r="AD877" s="78"/>
      <c r="AE877" s="78"/>
    </row>
    <row r="878" spans="1:31" ht="12.75">
      <c r="A878"/>
      <c r="B878"/>
      <c r="C878"/>
      <c r="D878"/>
      <c r="E878"/>
      <c r="F878"/>
      <c r="G878"/>
      <c r="H878"/>
      <c r="I878"/>
      <c r="J878"/>
      <c r="K878" s="100">
        <f t="shared" si="117"/>
        <v>0</v>
      </c>
      <c r="L878" s="95"/>
      <c r="M878" s="90">
        <f t="shared" si="111"/>
        <v>0</v>
      </c>
      <c r="N878" s="56">
        <v>0</v>
      </c>
      <c r="O878" s="44">
        <f t="shared" si="112"/>
        <v>0</v>
      </c>
      <c r="P878" s="44"/>
      <c r="Q878" s="44"/>
      <c r="R878" s="44"/>
      <c r="S878" s="44">
        <f t="shared" si="118"/>
        <v>0</v>
      </c>
      <c r="T878" s="44">
        <f t="shared" si="113"/>
        <v>0</v>
      </c>
      <c r="U878">
        <v>0</v>
      </c>
      <c r="V878" s="43">
        <v>0</v>
      </c>
      <c r="W878" s="44">
        <f t="shared" si="114"/>
        <v>0</v>
      </c>
      <c r="X878" s="44">
        <f t="shared" si="115"/>
        <v>0</v>
      </c>
      <c r="Y878" s="44">
        <f t="shared" si="116"/>
        <v>0</v>
      </c>
      <c r="Z878" s="84"/>
      <c r="AA878" s="78"/>
      <c r="AB878" s="78"/>
      <c r="AC878" s="78"/>
      <c r="AD878" s="78"/>
      <c r="AE878" s="78"/>
    </row>
    <row r="879" spans="1:31" ht="12.75">
      <c r="A879"/>
      <c r="B879"/>
      <c r="C879"/>
      <c r="D879"/>
      <c r="E879"/>
      <c r="F879"/>
      <c r="G879"/>
      <c r="H879"/>
      <c r="I879"/>
      <c r="J879"/>
      <c r="K879" s="100">
        <f t="shared" si="117"/>
        <v>0</v>
      </c>
      <c r="L879" s="95"/>
      <c r="M879" s="90">
        <f t="shared" si="111"/>
        <v>0</v>
      </c>
      <c r="N879" s="56">
        <v>0</v>
      </c>
      <c r="O879" s="44">
        <f t="shared" si="112"/>
        <v>0</v>
      </c>
      <c r="P879" s="44"/>
      <c r="Q879" s="44"/>
      <c r="R879" s="44"/>
      <c r="S879" s="44">
        <f t="shared" si="118"/>
        <v>0</v>
      </c>
      <c r="T879" s="44">
        <f t="shared" si="113"/>
        <v>0</v>
      </c>
      <c r="U879">
        <v>0</v>
      </c>
      <c r="V879" s="43">
        <v>0</v>
      </c>
      <c r="W879" s="44">
        <f t="shared" si="114"/>
        <v>0</v>
      </c>
      <c r="X879" s="44">
        <f t="shared" si="115"/>
        <v>0</v>
      </c>
      <c r="Y879" s="44">
        <f t="shared" si="116"/>
        <v>0</v>
      </c>
      <c r="Z879" s="84"/>
      <c r="AA879" s="78"/>
      <c r="AB879" s="78"/>
      <c r="AC879" s="78"/>
      <c r="AD879" s="78"/>
      <c r="AE879" s="78"/>
    </row>
    <row r="880" spans="1:31" ht="12.75">
      <c r="A880"/>
      <c r="B880"/>
      <c r="C880"/>
      <c r="D880"/>
      <c r="E880"/>
      <c r="F880"/>
      <c r="G880"/>
      <c r="H880"/>
      <c r="I880"/>
      <c r="J880"/>
      <c r="K880" s="100">
        <f t="shared" si="117"/>
        <v>0</v>
      </c>
      <c r="L880" s="95"/>
      <c r="M880" s="90">
        <f t="shared" si="111"/>
        <v>0</v>
      </c>
      <c r="N880" s="56">
        <v>0</v>
      </c>
      <c r="O880" s="44">
        <f t="shared" si="112"/>
        <v>0</v>
      </c>
      <c r="P880" s="44"/>
      <c r="Q880" s="44"/>
      <c r="R880" s="44"/>
      <c r="S880" s="44">
        <f t="shared" si="118"/>
        <v>0</v>
      </c>
      <c r="T880" s="44">
        <f t="shared" si="113"/>
        <v>0</v>
      </c>
      <c r="U880">
        <v>0</v>
      </c>
      <c r="V880" s="43">
        <v>0</v>
      </c>
      <c r="W880" s="44">
        <f t="shared" si="114"/>
        <v>0</v>
      </c>
      <c r="X880" s="44">
        <f t="shared" si="115"/>
        <v>0</v>
      </c>
      <c r="Y880" s="44">
        <f t="shared" si="116"/>
        <v>0</v>
      </c>
      <c r="Z880" s="84"/>
      <c r="AA880" s="78"/>
      <c r="AB880" s="78"/>
      <c r="AC880" s="78"/>
      <c r="AD880" s="78"/>
      <c r="AE880" s="78"/>
    </row>
    <row r="881" spans="1:31" ht="12.75">
      <c r="A881"/>
      <c r="B881"/>
      <c r="C881"/>
      <c r="D881"/>
      <c r="E881"/>
      <c r="F881"/>
      <c r="G881"/>
      <c r="H881"/>
      <c r="I881"/>
      <c r="J881"/>
      <c r="K881" s="100">
        <f t="shared" si="117"/>
        <v>0</v>
      </c>
      <c r="L881" s="95"/>
      <c r="M881" s="90">
        <f t="shared" si="111"/>
        <v>0</v>
      </c>
      <c r="N881" s="56">
        <v>0</v>
      </c>
      <c r="O881" s="44">
        <f t="shared" si="112"/>
        <v>0</v>
      </c>
      <c r="P881" s="44"/>
      <c r="Q881" s="44"/>
      <c r="R881" s="44"/>
      <c r="S881" s="44">
        <f t="shared" si="118"/>
        <v>0</v>
      </c>
      <c r="T881" s="44">
        <f t="shared" si="113"/>
        <v>0</v>
      </c>
      <c r="U881">
        <v>0</v>
      </c>
      <c r="V881" s="43">
        <v>0</v>
      </c>
      <c r="W881" s="44">
        <f t="shared" si="114"/>
        <v>0</v>
      </c>
      <c r="X881" s="44">
        <f t="shared" si="115"/>
        <v>0</v>
      </c>
      <c r="Y881" s="44">
        <f t="shared" si="116"/>
        <v>0</v>
      </c>
      <c r="Z881" s="84"/>
      <c r="AA881" s="78"/>
      <c r="AB881" s="78"/>
      <c r="AC881" s="78"/>
      <c r="AD881" s="78"/>
      <c r="AE881" s="78"/>
    </row>
    <row r="882" spans="1:31" ht="12.75">
      <c r="A882"/>
      <c r="B882"/>
      <c r="C882"/>
      <c r="D882"/>
      <c r="E882"/>
      <c r="F882"/>
      <c r="G882"/>
      <c r="H882"/>
      <c r="I882"/>
      <c r="J882"/>
      <c r="K882" s="100">
        <f t="shared" si="117"/>
        <v>0</v>
      </c>
      <c r="L882" s="95"/>
      <c r="M882" s="90">
        <f t="shared" si="111"/>
        <v>0</v>
      </c>
      <c r="N882" s="56">
        <v>0</v>
      </c>
      <c r="O882" s="44">
        <f t="shared" si="112"/>
        <v>0</v>
      </c>
      <c r="P882" s="44"/>
      <c r="Q882" s="44"/>
      <c r="R882" s="44"/>
      <c r="S882" s="44">
        <f t="shared" si="118"/>
        <v>0</v>
      </c>
      <c r="T882" s="44">
        <f t="shared" si="113"/>
        <v>0</v>
      </c>
      <c r="U882">
        <v>0</v>
      </c>
      <c r="V882" s="43">
        <v>0</v>
      </c>
      <c r="W882" s="44">
        <f t="shared" si="114"/>
        <v>0</v>
      </c>
      <c r="X882" s="44">
        <f t="shared" si="115"/>
        <v>0</v>
      </c>
      <c r="Y882" s="44">
        <f t="shared" si="116"/>
        <v>0</v>
      </c>
      <c r="Z882" s="84"/>
      <c r="AA882" s="78"/>
      <c r="AB882" s="78"/>
      <c r="AC882" s="78"/>
      <c r="AD882" s="78"/>
      <c r="AE882" s="78"/>
    </row>
    <row r="883" spans="1:31" ht="12.75">
      <c r="A883"/>
      <c r="B883"/>
      <c r="C883"/>
      <c r="D883"/>
      <c r="E883"/>
      <c r="F883"/>
      <c r="G883"/>
      <c r="H883"/>
      <c r="I883"/>
      <c r="J883"/>
      <c r="K883" s="100">
        <f t="shared" si="117"/>
        <v>0</v>
      </c>
      <c r="L883" s="95"/>
      <c r="M883" s="90">
        <f t="shared" si="111"/>
        <v>0</v>
      </c>
      <c r="N883" s="56">
        <v>0</v>
      </c>
      <c r="O883" s="44">
        <f t="shared" si="112"/>
        <v>0</v>
      </c>
      <c r="P883" s="44"/>
      <c r="Q883" s="44"/>
      <c r="R883" s="44"/>
      <c r="S883" s="44">
        <f t="shared" si="118"/>
        <v>0</v>
      </c>
      <c r="T883" s="44">
        <f t="shared" si="113"/>
        <v>0</v>
      </c>
      <c r="U883">
        <v>0</v>
      </c>
      <c r="V883" s="43">
        <v>0</v>
      </c>
      <c r="W883" s="44">
        <f t="shared" si="114"/>
        <v>0</v>
      </c>
      <c r="X883" s="44">
        <f t="shared" si="115"/>
        <v>0</v>
      </c>
      <c r="Y883" s="44">
        <f t="shared" si="116"/>
        <v>0</v>
      </c>
      <c r="Z883" s="84"/>
      <c r="AA883" s="78"/>
      <c r="AB883" s="78"/>
      <c r="AC883" s="78"/>
      <c r="AD883" s="78"/>
      <c r="AE883" s="78"/>
    </row>
    <row r="884" spans="1:31" ht="12.75">
      <c r="A884"/>
      <c r="B884"/>
      <c r="C884"/>
      <c r="D884"/>
      <c r="E884"/>
      <c r="F884"/>
      <c r="G884"/>
      <c r="H884"/>
      <c r="I884"/>
      <c r="J884"/>
      <c r="K884" s="100">
        <f t="shared" si="117"/>
        <v>0</v>
      </c>
      <c r="L884" s="95"/>
      <c r="M884" s="90">
        <f t="shared" si="111"/>
        <v>0</v>
      </c>
      <c r="N884" s="56">
        <v>0</v>
      </c>
      <c r="O884" s="44">
        <f t="shared" si="112"/>
        <v>0</v>
      </c>
      <c r="P884" s="44"/>
      <c r="Q884" s="44"/>
      <c r="R884" s="44"/>
      <c r="S884" s="44">
        <f t="shared" si="118"/>
        <v>0</v>
      </c>
      <c r="T884" s="44">
        <f t="shared" si="113"/>
        <v>0</v>
      </c>
      <c r="U884">
        <v>0</v>
      </c>
      <c r="V884" s="43">
        <v>0</v>
      </c>
      <c r="W884" s="44">
        <f t="shared" si="114"/>
        <v>0</v>
      </c>
      <c r="X884" s="44">
        <f t="shared" si="115"/>
        <v>0</v>
      </c>
      <c r="Y884" s="44">
        <f t="shared" si="116"/>
        <v>0</v>
      </c>
      <c r="Z884" s="84"/>
      <c r="AA884" s="78"/>
      <c r="AB884" s="78"/>
      <c r="AC884" s="78"/>
      <c r="AD884" s="78"/>
      <c r="AE884" s="78"/>
    </row>
    <row r="885" spans="1:31" ht="12.75">
      <c r="A885"/>
      <c r="B885"/>
      <c r="C885"/>
      <c r="D885"/>
      <c r="E885"/>
      <c r="F885"/>
      <c r="G885"/>
      <c r="H885"/>
      <c r="I885"/>
      <c r="J885"/>
      <c r="K885" s="100">
        <f t="shared" si="117"/>
        <v>0</v>
      </c>
      <c r="L885" s="95"/>
      <c r="M885" s="90">
        <f t="shared" si="111"/>
        <v>0</v>
      </c>
      <c r="N885" s="56">
        <v>0</v>
      </c>
      <c r="O885" s="44">
        <f t="shared" si="112"/>
        <v>0</v>
      </c>
      <c r="P885" s="44"/>
      <c r="Q885" s="44"/>
      <c r="R885" s="44"/>
      <c r="S885" s="44">
        <f t="shared" si="118"/>
        <v>0</v>
      </c>
      <c r="T885" s="44">
        <f t="shared" si="113"/>
        <v>0</v>
      </c>
      <c r="U885">
        <v>0</v>
      </c>
      <c r="V885" s="43">
        <v>0</v>
      </c>
      <c r="W885" s="44">
        <f t="shared" si="114"/>
        <v>0</v>
      </c>
      <c r="X885" s="44">
        <f t="shared" si="115"/>
        <v>0</v>
      </c>
      <c r="Y885" s="44">
        <f t="shared" si="116"/>
        <v>0</v>
      </c>
      <c r="Z885" s="84"/>
      <c r="AA885" s="78"/>
      <c r="AB885" s="78"/>
      <c r="AC885" s="78"/>
      <c r="AD885" s="78"/>
      <c r="AE885" s="78"/>
    </row>
    <row r="886" spans="1:31" ht="12.75">
      <c r="A886"/>
      <c r="B886"/>
      <c r="C886"/>
      <c r="D886"/>
      <c r="E886"/>
      <c r="F886"/>
      <c r="G886"/>
      <c r="H886"/>
      <c r="I886"/>
      <c r="J886"/>
      <c r="K886" s="100">
        <f t="shared" si="117"/>
        <v>0</v>
      </c>
      <c r="L886" s="95"/>
      <c r="M886" s="90">
        <f t="shared" si="111"/>
        <v>0</v>
      </c>
      <c r="N886" s="56">
        <v>0</v>
      </c>
      <c r="O886" s="44">
        <f t="shared" si="112"/>
        <v>0</v>
      </c>
      <c r="P886" s="44"/>
      <c r="Q886" s="44"/>
      <c r="R886" s="44"/>
      <c r="S886" s="44">
        <f t="shared" si="118"/>
        <v>0</v>
      </c>
      <c r="T886" s="44">
        <f t="shared" si="113"/>
        <v>0</v>
      </c>
      <c r="U886">
        <v>0</v>
      </c>
      <c r="V886" s="43">
        <v>0</v>
      </c>
      <c r="W886" s="44">
        <f t="shared" si="114"/>
        <v>0</v>
      </c>
      <c r="X886" s="44">
        <f t="shared" si="115"/>
        <v>0</v>
      </c>
      <c r="Y886" s="44">
        <f t="shared" si="116"/>
        <v>0</v>
      </c>
      <c r="Z886" s="84"/>
      <c r="AA886" s="78"/>
      <c r="AB886" s="78"/>
      <c r="AC886" s="78"/>
      <c r="AD886" s="78"/>
      <c r="AE886" s="78"/>
    </row>
    <row r="887" spans="1:31" ht="12.75">
      <c r="A887"/>
      <c r="B887"/>
      <c r="C887"/>
      <c r="D887"/>
      <c r="E887"/>
      <c r="F887"/>
      <c r="G887"/>
      <c r="H887"/>
      <c r="I887"/>
      <c r="J887"/>
      <c r="K887" s="100">
        <f t="shared" si="117"/>
        <v>0</v>
      </c>
      <c r="L887" s="95"/>
      <c r="M887" s="90">
        <f t="shared" si="111"/>
        <v>0</v>
      </c>
      <c r="N887" s="56">
        <v>0</v>
      </c>
      <c r="O887" s="44">
        <f t="shared" si="112"/>
        <v>0</v>
      </c>
      <c r="P887" s="44"/>
      <c r="Q887" s="44"/>
      <c r="R887" s="44"/>
      <c r="S887" s="44">
        <f t="shared" si="118"/>
        <v>0</v>
      </c>
      <c r="T887" s="44">
        <f t="shared" si="113"/>
        <v>0</v>
      </c>
      <c r="U887">
        <v>0</v>
      </c>
      <c r="V887" s="43">
        <v>0</v>
      </c>
      <c r="W887" s="44">
        <f t="shared" si="114"/>
        <v>0</v>
      </c>
      <c r="X887" s="44">
        <f t="shared" si="115"/>
        <v>0</v>
      </c>
      <c r="Y887" s="44">
        <f t="shared" si="116"/>
        <v>0</v>
      </c>
      <c r="Z887" s="84"/>
      <c r="AA887" s="78"/>
      <c r="AB887" s="78"/>
      <c r="AC887" s="78"/>
      <c r="AD887" s="78"/>
      <c r="AE887" s="78"/>
    </row>
    <row r="888" spans="1:31" ht="12.75">
      <c r="A888"/>
      <c r="B888"/>
      <c r="C888"/>
      <c r="D888"/>
      <c r="E888"/>
      <c r="F888"/>
      <c r="G888"/>
      <c r="H888"/>
      <c r="I888"/>
      <c r="J888"/>
      <c r="K888" s="100">
        <f t="shared" si="117"/>
        <v>0</v>
      </c>
      <c r="L888" s="95"/>
      <c r="M888" s="90">
        <f t="shared" si="111"/>
        <v>0</v>
      </c>
      <c r="N888" s="56">
        <v>0</v>
      </c>
      <c r="O888" s="44">
        <f t="shared" si="112"/>
        <v>0</v>
      </c>
      <c r="P888" s="44"/>
      <c r="Q888" s="44"/>
      <c r="R888" s="44"/>
      <c r="S888" s="44">
        <f t="shared" si="118"/>
        <v>0</v>
      </c>
      <c r="T888" s="44">
        <f t="shared" si="113"/>
        <v>0</v>
      </c>
      <c r="U888">
        <v>0</v>
      </c>
      <c r="V888" s="43">
        <v>0</v>
      </c>
      <c r="W888" s="44">
        <f t="shared" si="114"/>
        <v>0</v>
      </c>
      <c r="X888" s="44">
        <f t="shared" si="115"/>
        <v>0</v>
      </c>
      <c r="Y888" s="44">
        <f t="shared" si="116"/>
        <v>0</v>
      </c>
      <c r="Z888" s="84"/>
      <c r="AA888" s="78"/>
      <c r="AB888" s="78"/>
      <c r="AC888" s="78"/>
      <c r="AD888" s="78"/>
      <c r="AE888" s="78"/>
    </row>
    <row r="889" spans="1:31" ht="12.75">
      <c r="A889"/>
      <c r="B889"/>
      <c r="C889"/>
      <c r="D889"/>
      <c r="E889"/>
      <c r="F889"/>
      <c r="G889"/>
      <c r="H889"/>
      <c r="I889"/>
      <c r="J889"/>
      <c r="K889" s="100">
        <f t="shared" si="117"/>
        <v>0</v>
      </c>
      <c r="L889" s="95"/>
      <c r="M889" s="90">
        <f t="shared" si="111"/>
        <v>0</v>
      </c>
      <c r="N889" s="56">
        <v>0</v>
      </c>
      <c r="O889" s="44">
        <f t="shared" si="112"/>
        <v>0</v>
      </c>
      <c r="P889" s="44"/>
      <c r="Q889" s="44"/>
      <c r="R889" s="44"/>
      <c r="S889" s="44">
        <f t="shared" si="118"/>
        <v>0</v>
      </c>
      <c r="T889" s="44">
        <f t="shared" si="113"/>
        <v>0</v>
      </c>
      <c r="U889">
        <v>0</v>
      </c>
      <c r="V889" s="43">
        <v>0</v>
      </c>
      <c r="W889" s="44">
        <f t="shared" si="114"/>
        <v>0</v>
      </c>
      <c r="X889" s="44">
        <f t="shared" si="115"/>
        <v>0</v>
      </c>
      <c r="Y889" s="44">
        <f t="shared" si="116"/>
        <v>0</v>
      </c>
      <c r="Z889" s="84"/>
      <c r="AA889" s="78"/>
      <c r="AB889" s="78"/>
      <c r="AC889" s="78"/>
      <c r="AD889" s="78"/>
      <c r="AE889" s="78"/>
    </row>
    <row r="890" spans="1:31" ht="12.75">
      <c r="A890"/>
      <c r="B890"/>
      <c r="C890"/>
      <c r="D890"/>
      <c r="E890"/>
      <c r="F890"/>
      <c r="G890"/>
      <c r="H890"/>
      <c r="I890"/>
      <c r="J890"/>
      <c r="K890" s="100">
        <f t="shared" si="117"/>
        <v>0</v>
      </c>
      <c r="L890" s="95"/>
      <c r="M890" s="90">
        <f t="shared" si="111"/>
        <v>0</v>
      </c>
      <c r="N890" s="56">
        <v>0</v>
      </c>
      <c r="O890" s="44">
        <f t="shared" si="112"/>
        <v>0</v>
      </c>
      <c r="P890" s="44"/>
      <c r="Q890" s="44"/>
      <c r="R890" s="44"/>
      <c r="S890" s="44">
        <f t="shared" si="118"/>
        <v>0</v>
      </c>
      <c r="T890" s="44">
        <f t="shared" si="113"/>
        <v>0</v>
      </c>
      <c r="U890">
        <v>0</v>
      </c>
      <c r="V890" s="43">
        <v>0</v>
      </c>
      <c r="W890" s="44">
        <f t="shared" si="114"/>
        <v>0</v>
      </c>
      <c r="X890" s="44">
        <f t="shared" si="115"/>
        <v>0</v>
      </c>
      <c r="Y890" s="44">
        <f t="shared" si="116"/>
        <v>0</v>
      </c>
      <c r="Z890" s="84"/>
      <c r="AA890" s="78"/>
      <c r="AB890" s="78"/>
      <c r="AC890" s="78"/>
      <c r="AD890" s="78"/>
      <c r="AE890" s="78"/>
    </row>
    <row r="891" spans="1:31" ht="12.75">
      <c r="A891"/>
      <c r="B891"/>
      <c r="C891"/>
      <c r="D891"/>
      <c r="E891"/>
      <c r="F891"/>
      <c r="G891"/>
      <c r="H891"/>
      <c r="I891"/>
      <c r="J891"/>
      <c r="K891" s="100">
        <f t="shared" si="117"/>
        <v>0</v>
      </c>
      <c r="L891" s="95"/>
      <c r="M891" s="90">
        <f t="shared" si="111"/>
        <v>0</v>
      </c>
      <c r="N891" s="56">
        <v>0</v>
      </c>
      <c r="O891" s="44">
        <f t="shared" si="112"/>
        <v>0</v>
      </c>
      <c r="P891" s="44"/>
      <c r="Q891" s="44"/>
      <c r="R891" s="44"/>
      <c r="S891" s="44">
        <f t="shared" si="118"/>
        <v>0</v>
      </c>
      <c r="T891" s="44">
        <f t="shared" si="113"/>
        <v>0</v>
      </c>
      <c r="U891">
        <v>0</v>
      </c>
      <c r="V891" s="43">
        <v>0</v>
      </c>
      <c r="W891" s="44">
        <f t="shared" si="114"/>
        <v>0</v>
      </c>
      <c r="X891" s="44">
        <f t="shared" si="115"/>
        <v>0</v>
      </c>
      <c r="Y891" s="44">
        <f t="shared" si="116"/>
        <v>0</v>
      </c>
      <c r="Z891" s="84"/>
      <c r="AA891" s="78"/>
      <c r="AB891" s="78"/>
      <c r="AC891" s="78"/>
      <c r="AD891" s="78"/>
      <c r="AE891" s="78"/>
    </row>
    <row r="892" spans="1:31" ht="12.75">
      <c r="A892"/>
      <c r="B892"/>
      <c r="C892"/>
      <c r="D892"/>
      <c r="E892"/>
      <c r="F892"/>
      <c r="G892"/>
      <c r="H892"/>
      <c r="I892"/>
      <c r="J892"/>
      <c r="K892" s="100">
        <f t="shared" si="117"/>
        <v>0</v>
      </c>
      <c r="L892" s="95"/>
      <c r="M892" s="90">
        <f t="shared" si="111"/>
        <v>0</v>
      </c>
      <c r="N892" s="56">
        <v>0</v>
      </c>
      <c r="O892" s="44">
        <f t="shared" si="112"/>
        <v>0</v>
      </c>
      <c r="P892" s="44"/>
      <c r="Q892" s="44"/>
      <c r="R892" s="44"/>
      <c r="S892" s="44">
        <f t="shared" si="118"/>
        <v>0</v>
      </c>
      <c r="T892" s="44">
        <f t="shared" si="113"/>
        <v>0</v>
      </c>
      <c r="U892">
        <v>0</v>
      </c>
      <c r="V892" s="43">
        <v>0</v>
      </c>
      <c r="W892" s="44">
        <f t="shared" si="114"/>
        <v>0</v>
      </c>
      <c r="X892" s="44">
        <f t="shared" si="115"/>
        <v>0</v>
      </c>
      <c r="Y892" s="44">
        <f t="shared" si="116"/>
        <v>0</v>
      </c>
      <c r="Z892" s="84"/>
      <c r="AA892" s="78"/>
      <c r="AB892" s="78"/>
      <c r="AC892" s="78"/>
      <c r="AD892" s="78"/>
      <c r="AE892" s="78"/>
    </row>
    <row r="893" spans="1:31" ht="12.75">
      <c r="A893"/>
      <c r="B893"/>
      <c r="C893"/>
      <c r="D893"/>
      <c r="E893"/>
      <c r="F893"/>
      <c r="G893"/>
      <c r="H893"/>
      <c r="I893"/>
      <c r="J893"/>
      <c r="K893" s="100">
        <f t="shared" si="117"/>
        <v>0</v>
      </c>
      <c r="L893" s="95"/>
      <c r="M893" s="90">
        <f t="shared" si="111"/>
        <v>0</v>
      </c>
      <c r="N893" s="56">
        <v>0</v>
      </c>
      <c r="O893" s="44">
        <f t="shared" si="112"/>
        <v>0</v>
      </c>
      <c r="P893" s="44"/>
      <c r="Q893" s="44"/>
      <c r="R893" s="44"/>
      <c r="S893" s="44">
        <f t="shared" si="118"/>
        <v>0</v>
      </c>
      <c r="T893" s="44">
        <f t="shared" si="113"/>
        <v>0</v>
      </c>
      <c r="U893">
        <v>0</v>
      </c>
      <c r="V893" s="43">
        <v>0</v>
      </c>
      <c r="W893" s="44">
        <f t="shared" si="114"/>
        <v>0</v>
      </c>
      <c r="X893" s="44">
        <f t="shared" si="115"/>
        <v>0</v>
      </c>
      <c r="Y893" s="44">
        <f t="shared" si="116"/>
        <v>0</v>
      </c>
      <c r="Z893" s="84"/>
      <c r="AA893" s="78"/>
      <c r="AB893" s="78"/>
      <c r="AC893" s="78"/>
      <c r="AD893" s="78"/>
      <c r="AE893" s="78"/>
    </row>
    <row r="894" spans="1:31" ht="12.75">
      <c r="A894"/>
      <c r="B894"/>
      <c r="C894"/>
      <c r="D894"/>
      <c r="E894"/>
      <c r="F894"/>
      <c r="G894"/>
      <c r="H894"/>
      <c r="I894"/>
      <c r="J894"/>
      <c r="K894" s="100">
        <f t="shared" si="117"/>
        <v>0</v>
      </c>
      <c r="L894" s="95"/>
      <c r="M894" s="90">
        <f t="shared" si="111"/>
        <v>0</v>
      </c>
      <c r="N894" s="56">
        <v>0</v>
      </c>
      <c r="O894" s="44">
        <f t="shared" si="112"/>
        <v>0</v>
      </c>
      <c r="P894" s="44"/>
      <c r="Q894" s="44"/>
      <c r="R894" s="44"/>
      <c r="S894" s="44">
        <f t="shared" si="118"/>
        <v>0</v>
      </c>
      <c r="T894" s="44">
        <f t="shared" si="113"/>
        <v>0</v>
      </c>
      <c r="U894">
        <v>0</v>
      </c>
      <c r="V894" s="43">
        <v>0</v>
      </c>
      <c r="W894" s="44">
        <f t="shared" si="114"/>
        <v>0</v>
      </c>
      <c r="X894" s="44">
        <f t="shared" si="115"/>
        <v>0</v>
      </c>
      <c r="Y894" s="44">
        <f t="shared" si="116"/>
        <v>0</v>
      </c>
      <c r="Z894" s="84"/>
      <c r="AA894" s="78"/>
      <c r="AB894" s="78"/>
      <c r="AC894" s="78"/>
      <c r="AD894" s="78"/>
      <c r="AE894" s="78"/>
    </row>
    <row r="895" spans="1:31" ht="12.75">
      <c r="A895"/>
      <c r="B895"/>
      <c r="C895"/>
      <c r="D895"/>
      <c r="E895"/>
      <c r="F895"/>
      <c r="G895"/>
      <c r="H895"/>
      <c r="I895"/>
      <c r="J895"/>
      <c r="K895" s="100">
        <f t="shared" si="117"/>
        <v>0</v>
      </c>
      <c r="L895" s="95"/>
      <c r="M895" s="90">
        <f t="shared" si="111"/>
        <v>0</v>
      </c>
      <c r="N895" s="56">
        <v>0</v>
      </c>
      <c r="O895" s="44">
        <f t="shared" si="112"/>
        <v>0</v>
      </c>
      <c r="P895" s="44"/>
      <c r="Q895" s="44"/>
      <c r="R895" s="44"/>
      <c r="S895" s="44">
        <f t="shared" si="118"/>
        <v>0</v>
      </c>
      <c r="T895" s="44">
        <f t="shared" si="113"/>
        <v>0</v>
      </c>
      <c r="U895">
        <v>0</v>
      </c>
      <c r="V895" s="43">
        <v>0</v>
      </c>
      <c r="W895" s="44">
        <f t="shared" si="114"/>
        <v>0</v>
      </c>
      <c r="X895" s="44">
        <f t="shared" si="115"/>
        <v>0</v>
      </c>
      <c r="Y895" s="44">
        <f t="shared" si="116"/>
        <v>0</v>
      </c>
      <c r="Z895" s="84"/>
      <c r="AA895" s="78"/>
      <c r="AB895" s="78"/>
      <c r="AC895" s="78"/>
      <c r="AD895" s="78"/>
      <c r="AE895" s="78"/>
    </row>
    <row r="896" spans="1:31" ht="12.75">
      <c r="A896"/>
      <c r="B896"/>
      <c r="C896"/>
      <c r="D896"/>
      <c r="E896"/>
      <c r="F896"/>
      <c r="G896"/>
      <c r="H896"/>
      <c r="I896"/>
      <c r="J896"/>
      <c r="K896" s="100">
        <f t="shared" si="117"/>
        <v>0</v>
      </c>
      <c r="L896" s="95"/>
      <c r="M896" s="90">
        <f t="shared" si="111"/>
        <v>0</v>
      </c>
      <c r="N896" s="56">
        <v>0</v>
      </c>
      <c r="O896" s="44">
        <f t="shared" si="112"/>
        <v>0</v>
      </c>
      <c r="P896" s="44"/>
      <c r="Q896" s="44"/>
      <c r="R896" s="44"/>
      <c r="S896" s="44">
        <f t="shared" si="118"/>
        <v>0</v>
      </c>
      <c r="T896" s="44">
        <f t="shared" si="113"/>
        <v>0</v>
      </c>
      <c r="U896">
        <v>0</v>
      </c>
      <c r="V896" s="43">
        <v>0</v>
      </c>
      <c r="W896" s="44">
        <f t="shared" si="114"/>
        <v>0</v>
      </c>
      <c r="X896" s="44">
        <f t="shared" si="115"/>
        <v>0</v>
      </c>
      <c r="Y896" s="44">
        <f t="shared" si="116"/>
        <v>0</v>
      </c>
      <c r="Z896" s="84"/>
      <c r="AA896" s="78"/>
      <c r="AB896" s="78"/>
      <c r="AC896" s="78"/>
      <c r="AD896" s="78"/>
      <c r="AE896" s="78"/>
    </row>
    <row r="897" spans="1:31" ht="12.75">
      <c r="A897"/>
      <c r="B897"/>
      <c r="C897"/>
      <c r="D897"/>
      <c r="E897"/>
      <c r="F897"/>
      <c r="G897"/>
      <c r="H897"/>
      <c r="I897"/>
      <c r="J897"/>
      <c r="K897" s="100">
        <f>+I897*J897</f>
        <v>0</v>
      </c>
      <c r="L897" s="95"/>
      <c r="M897" s="90">
        <f t="shared" si="111"/>
        <v>0</v>
      </c>
      <c r="N897" s="56">
        <v>0</v>
      </c>
      <c r="O897" s="44">
        <f t="shared" si="112"/>
        <v>0</v>
      </c>
      <c r="P897" s="44"/>
      <c r="Q897" s="44"/>
      <c r="R897" s="44"/>
      <c r="S897" s="44">
        <f>IF(R897="y",+P897*0.01,0)</f>
        <v>0</v>
      </c>
      <c r="T897" s="44">
        <f t="shared" si="113"/>
        <v>0</v>
      </c>
      <c r="U897">
        <v>0</v>
      </c>
      <c r="V897" s="43">
        <v>0</v>
      </c>
      <c r="W897" s="44">
        <f t="shared" si="114"/>
        <v>0</v>
      </c>
      <c r="X897" s="44">
        <f t="shared" si="115"/>
        <v>0</v>
      </c>
      <c r="Y897" s="44">
        <f t="shared" si="116"/>
        <v>0</v>
      </c>
      <c r="Z897" s="84"/>
      <c r="AA897" s="78"/>
      <c r="AB897" s="78"/>
      <c r="AC897" s="78"/>
      <c r="AD897" s="78"/>
      <c r="AE897" s="78"/>
    </row>
    <row r="898" spans="1:31" ht="12.75">
      <c r="A898"/>
      <c r="B898"/>
      <c r="C898"/>
      <c r="D898"/>
      <c r="E898"/>
      <c r="F898"/>
      <c r="G898"/>
      <c r="H898"/>
      <c r="I898"/>
      <c r="J898"/>
      <c r="K898" s="100">
        <f t="shared" ref="K898:K927" si="119">+I898*J898</f>
        <v>0</v>
      </c>
      <c r="L898" s="95"/>
      <c r="M898" s="90">
        <f t="shared" si="111"/>
        <v>0</v>
      </c>
      <c r="N898" s="56">
        <v>0</v>
      </c>
      <c r="O898" s="44">
        <f t="shared" si="112"/>
        <v>0</v>
      </c>
      <c r="P898" s="44"/>
      <c r="Q898" s="44"/>
      <c r="R898" s="44"/>
      <c r="S898" s="44">
        <f t="shared" ref="S898:S927" si="120">IF(R898="y",+P898*0.01,0)</f>
        <v>0</v>
      </c>
      <c r="T898" s="44">
        <f t="shared" si="113"/>
        <v>0</v>
      </c>
      <c r="U898">
        <v>0</v>
      </c>
      <c r="V898" s="43">
        <v>0</v>
      </c>
      <c r="W898" s="44">
        <f t="shared" si="114"/>
        <v>0</v>
      </c>
      <c r="X898" s="44">
        <f t="shared" si="115"/>
        <v>0</v>
      </c>
      <c r="Y898" s="44">
        <f t="shared" si="116"/>
        <v>0</v>
      </c>
      <c r="Z898" s="84"/>
      <c r="AA898" s="78"/>
      <c r="AB898" s="78"/>
      <c r="AC898" s="78"/>
      <c r="AD898" s="78"/>
      <c r="AE898" s="78"/>
    </row>
    <row r="899" spans="1:31" ht="12.75">
      <c r="A899"/>
      <c r="B899"/>
      <c r="C899"/>
      <c r="D899"/>
      <c r="E899"/>
      <c r="F899"/>
      <c r="G899"/>
      <c r="H899"/>
      <c r="I899"/>
      <c r="J899"/>
      <c r="K899" s="100">
        <f t="shared" si="119"/>
        <v>0</v>
      </c>
      <c r="L899" s="95"/>
      <c r="M899" s="90">
        <f t="shared" si="111"/>
        <v>0</v>
      </c>
      <c r="N899" s="56">
        <v>0</v>
      </c>
      <c r="O899" s="44">
        <f t="shared" si="112"/>
        <v>0</v>
      </c>
      <c r="P899" s="44"/>
      <c r="Q899" s="44"/>
      <c r="R899" s="44"/>
      <c r="S899" s="44">
        <f t="shared" si="120"/>
        <v>0</v>
      </c>
      <c r="T899" s="44">
        <f t="shared" si="113"/>
        <v>0</v>
      </c>
      <c r="U899">
        <v>0</v>
      </c>
      <c r="V899" s="43">
        <v>0</v>
      </c>
      <c r="W899" s="44">
        <f t="shared" si="114"/>
        <v>0</v>
      </c>
      <c r="X899" s="44">
        <f t="shared" si="115"/>
        <v>0</v>
      </c>
      <c r="Y899" s="44">
        <f t="shared" si="116"/>
        <v>0</v>
      </c>
      <c r="Z899" s="84"/>
      <c r="AA899" s="78"/>
      <c r="AB899" s="78"/>
      <c r="AC899" s="78"/>
      <c r="AD899" s="78"/>
      <c r="AE899" s="78"/>
    </row>
    <row r="900" spans="1:31" ht="12.75">
      <c r="A900"/>
      <c r="B900"/>
      <c r="C900"/>
      <c r="D900"/>
      <c r="E900"/>
      <c r="F900"/>
      <c r="G900"/>
      <c r="H900"/>
      <c r="I900"/>
      <c r="J900"/>
      <c r="K900" s="100">
        <f t="shared" si="119"/>
        <v>0</v>
      </c>
      <c r="L900" s="95"/>
      <c r="M900" s="90">
        <f t="shared" si="111"/>
        <v>0</v>
      </c>
      <c r="N900" s="56">
        <v>0</v>
      </c>
      <c r="O900" s="44">
        <f t="shared" si="112"/>
        <v>0</v>
      </c>
      <c r="P900" s="44"/>
      <c r="Q900" s="44"/>
      <c r="R900" s="44"/>
      <c r="S900" s="44">
        <f t="shared" si="120"/>
        <v>0</v>
      </c>
      <c r="T900" s="44">
        <f t="shared" si="113"/>
        <v>0</v>
      </c>
      <c r="U900">
        <v>0</v>
      </c>
      <c r="V900" s="43">
        <v>0</v>
      </c>
      <c r="W900" s="44">
        <f t="shared" si="114"/>
        <v>0</v>
      </c>
      <c r="X900" s="44">
        <f t="shared" si="115"/>
        <v>0</v>
      </c>
      <c r="Y900" s="44">
        <f t="shared" si="116"/>
        <v>0</v>
      </c>
      <c r="Z900" s="84"/>
      <c r="AA900" s="78"/>
      <c r="AB900" s="78"/>
      <c r="AC900" s="78"/>
      <c r="AD900" s="78"/>
      <c r="AE900" s="78"/>
    </row>
    <row r="901" spans="1:31" ht="12.75">
      <c r="A901"/>
      <c r="B901"/>
      <c r="C901"/>
      <c r="D901"/>
      <c r="E901"/>
      <c r="F901"/>
      <c r="G901"/>
      <c r="H901"/>
      <c r="I901"/>
      <c r="J901"/>
      <c r="K901" s="100">
        <f t="shared" si="119"/>
        <v>0</v>
      </c>
      <c r="L901" s="95"/>
      <c r="M901" s="90">
        <f t="shared" si="111"/>
        <v>0</v>
      </c>
      <c r="N901" s="56">
        <v>0</v>
      </c>
      <c r="O901" s="44">
        <f t="shared" si="112"/>
        <v>0</v>
      </c>
      <c r="P901" s="44"/>
      <c r="Q901" s="44"/>
      <c r="R901" s="44"/>
      <c r="S901" s="44">
        <f t="shared" si="120"/>
        <v>0</v>
      </c>
      <c r="T901" s="44">
        <f t="shared" si="113"/>
        <v>0</v>
      </c>
      <c r="U901">
        <v>0</v>
      </c>
      <c r="V901" s="43">
        <v>0</v>
      </c>
      <c r="W901" s="44">
        <f t="shared" si="114"/>
        <v>0</v>
      </c>
      <c r="X901" s="44">
        <f t="shared" si="115"/>
        <v>0</v>
      </c>
      <c r="Y901" s="44">
        <f t="shared" si="116"/>
        <v>0</v>
      </c>
      <c r="Z901" s="84"/>
      <c r="AA901" s="78"/>
      <c r="AB901" s="78"/>
      <c r="AC901" s="78"/>
      <c r="AD901" s="78"/>
      <c r="AE901" s="78"/>
    </row>
    <row r="902" spans="1:31" ht="12.75">
      <c r="A902"/>
      <c r="B902"/>
      <c r="C902"/>
      <c r="D902"/>
      <c r="E902"/>
      <c r="F902"/>
      <c r="G902"/>
      <c r="H902"/>
      <c r="I902"/>
      <c r="J902"/>
      <c r="K902" s="100">
        <f t="shared" si="119"/>
        <v>0</v>
      </c>
      <c r="L902" s="95"/>
      <c r="M902" s="90">
        <f t="shared" si="111"/>
        <v>0</v>
      </c>
      <c r="N902" s="56">
        <v>0</v>
      </c>
      <c r="O902" s="44">
        <f t="shared" si="112"/>
        <v>0</v>
      </c>
      <c r="P902" s="44"/>
      <c r="Q902" s="44"/>
      <c r="R902" s="44"/>
      <c r="S902" s="44">
        <f t="shared" si="120"/>
        <v>0</v>
      </c>
      <c r="T902" s="44">
        <f t="shared" si="113"/>
        <v>0</v>
      </c>
      <c r="U902">
        <v>0</v>
      </c>
      <c r="V902" s="43">
        <v>0</v>
      </c>
      <c r="W902" s="44">
        <f t="shared" si="114"/>
        <v>0</v>
      </c>
      <c r="X902" s="44">
        <f t="shared" si="115"/>
        <v>0</v>
      </c>
      <c r="Y902" s="44">
        <f t="shared" si="116"/>
        <v>0</v>
      </c>
      <c r="Z902" s="84"/>
      <c r="AA902" s="78"/>
      <c r="AB902" s="78"/>
      <c r="AC902" s="78"/>
      <c r="AD902" s="78"/>
      <c r="AE902" s="78"/>
    </row>
    <row r="903" spans="1:31" ht="12.75">
      <c r="A903"/>
      <c r="B903"/>
      <c r="C903"/>
      <c r="D903"/>
      <c r="E903"/>
      <c r="F903"/>
      <c r="G903"/>
      <c r="H903"/>
      <c r="I903"/>
      <c r="J903"/>
      <c r="K903" s="100">
        <f t="shared" si="119"/>
        <v>0</v>
      </c>
      <c r="L903" s="95"/>
      <c r="M903" s="90">
        <f t="shared" si="111"/>
        <v>0</v>
      </c>
      <c r="N903" s="56">
        <v>0</v>
      </c>
      <c r="O903" s="44">
        <f t="shared" si="112"/>
        <v>0</v>
      </c>
      <c r="P903" s="44"/>
      <c r="Q903" s="44"/>
      <c r="R903" s="44"/>
      <c r="S903" s="44">
        <f t="shared" si="120"/>
        <v>0</v>
      </c>
      <c r="T903" s="44">
        <f t="shared" si="113"/>
        <v>0</v>
      </c>
      <c r="U903">
        <v>0</v>
      </c>
      <c r="V903" s="43">
        <v>0</v>
      </c>
      <c r="W903" s="44">
        <f t="shared" si="114"/>
        <v>0</v>
      </c>
      <c r="X903" s="44">
        <f t="shared" si="115"/>
        <v>0</v>
      </c>
      <c r="Y903" s="44">
        <f t="shared" si="116"/>
        <v>0</v>
      </c>
      <c r="Z903" s="84"/>
      <c r="AA903" s="78"/>
      <c r="AB903" s="78"/>
      <c r="AC903" s="78"/>
      <c r="AD903" s="78"/>
      <c r="AE903" s="78"/>
    </row>
    <row r="904" spans="1:31" ht="12.75">
      <c r="A904"/>
      <c r="B904"/>
      <c r="C904"/>
      <c r="D904"/>
      <c r="E904"/>
      <c r="F904"/>
      <c r="G904"/>
      <c r="H904"/>
      <c r="I904"/>
      <c r="J904"/>
      <c r="K904" s="100">
        <f t="shared" si="119"/>
        <v>0</v>
      </c>
      <c r="L904" s="95"/>
      <c r="M904" s="90">
        <f t="shared" ref="M904:M967" si="121">ROUND(K904*L904,2)</f>
        <v>0</v>
      </c>
      <c r="N904" s="56">
        <v>0</v>
      </c>
      <c r="O904" s="44">
        <f t="shared" ref="O904:O967" si="122">+M904-(M904*N904)</f>
        <v>0</v>
      </c>
      <c r="P904" s="44"/>
      <c r="Q904" s="44"/>
      <c r="R904" s="44"/>
      <c r="S904" s="44">
        <f t="shared" si="120"/>
        <v>0</v>
      </c>
      <c r="T904" s="44">
        <f t="shared" ref="T904:T967" si="123">+O904+P904+Q904+R904</f>
        <v>0</v>
      </c>
      <c r="U904">
        <v>0</v>
      </c>
      <c r="V904" s="43">
        <v>0</v>
      </c>
      <c r="W904" s="44">
        <f t="shared" ref="W904:W967" si="124">+O904-U904-V904-Z904</f>
        <v>0</v>
      </c>
      <c r="X904" s="44">
        <f t="shared" ref="X904:X967" si="125">(+O904-U904-Z904)*$X$1</f>
        <v>0</v>
      </c>
      <c r="Y904" s="44">
        <f t="shared" ref="Y904:Y967" si="126">+W904-X904</f>
        <v>0</v>
      </c>
      <c r="Z904" s="84"/>
      <c r="AA904" s="78"/>
      <c r="AB904" s="78"/>
      <c r="AC904" s="78"/>
      <c r="AD904" s="78"/>
      <c r="AE904" s="78"/>
    </row>
    <row r="905" spans="1:31" ht="12.75">
      <c r="A905"/>
      <c r="B905"/>
      <c r="C905"/>
      <c r="D905"/>
      <c r="E905"/>
      <c r="F905"/>
      <c r="G905"/>
      <c r="H905"/>
      <c r="I905"/>
      <c r="J905"/>
      <c r="K905" s="100">
        <f t="shared" si="119"/>
        <v>0</v>
      </c>
      <c r="L905" s="95"/>
      <c r="M905" s="90">
        <f t="shared" si="121"/>
        <v>0</v>
      </c>
      <c r="N905" s="56">
        <v>0</v>
      </c>
      <c r="O905" s="44">
        <f t="shared" si="122"/>
        <v>0</v>
      </c>
      <c r="P905" s="44"/>
      <c r="Q905" s="44"/>
      <c r="R905" s="44"/>
      <c r="S905" s="44">
        <f t="shared" si="120"/>
        <v>0</v>
      </c>
      <c r="T905" s="44">
        <f t="shared" si="123"/>
        <v>0</v>
      </c>
      <c r="U905">
        <v>0</v>
      </c>
      <c r="V905" s="43">
        <v>0</v>
      </c>
      <c r="W905" s="44">
        <f t="shared" si="124"/>
        <v>0</v>
      </c>
      <c r="X905" s="44">
        <f t="shared" si="125"/>
        <v>0</v>
      </c>
      <c r="Y905" s="44">
        <f t="shared" si="126"/>
        <v>0</v>
      </c>
      <c r="Z905" s="84"/>
      <c r="AA905" s="78"/>
      <c r="AB905" s="78"/>
      <c r="AC905" s="78"/>
      <c r="AD905" s="78"/>
      <c r="AE905" s="78"/>
    </row>
    <row r="906" spans="1:31" ht="12.75">
      <c r="A906"/>
      <c r="B906"/>
      <c r="C906"/>
      <c r="D906"/>
      <c r="E906"/>
      <c r="F906"/>
      <c r="G906"/>
      <c r="H906"/>
      <c r="I906"/>
      <c r="J906"/>
      <c r="K906" s="100">
        <f t="shared" si="119"/>
        <v>0</v>
      </c>
      <c r="L906" s="95"/>
      <c r="M906" s="90">
        <f t="shared" si="121"/>
        <v>0</v>
      </c>
      <c r="N906" s="56">
        <v>0</v>
      </c>
      <c r="O906" s="44">
        <f t="shared" si="122"/>
        <v>0</v>
      </c>
      <c r="P906" s="44"/>
      <c r="Q906" s="44"/>
      <c r="R906" s="44"/>
      <c r="S906" s="44">
        <f t="shared" si="120"/>
        <v>0</v>
      </c>
      <c r="T906" s="44">
        <f t="shared" si="123"/>
        <v>0</v>
      </c>
      <c r="U906">
        <v>0</v>
      </c>
      <c r="V906" s="43">
        <v>0</v>
      </c>
      <c r="W906" s="44">
        <f t="shared" si="124"/>
        <v>0</v>
      </c>
      <c r="X906" s="44">
        <f t="shared" si="125"/>
        <v>0</v>
      </c>
      <c r="Y906" s="44">
        <f t="shared" si="126"/>
        <v>0</v>
      </c>
      <c r="Z906" s="84"/>
      <c r="AA906" s="78"/>
      <c r="AB906" s="78"/>
      <c r="AC906" s="78"/>
      <c r="AD906" s="78"/>
      <c r="AE906" s="78"/>
    </row>
    <row r="907" spans="1:31" ht="12.75">
      <c r="A907"/>
      <c r="B907"/>
      <c r="C907"/>
      <c r="D907"/>
      <c r="E907"/>
      <c r="F907"/>
      <c r="G907"/>
      <c r="H907"/>
      <c r="I907"/>
      <c r="J907"/>
      <c r="K907" s="100">
        <f t="shared" si="119"/>
        <v>0</v>
      </c>
      <c r="L907" s="95"/>
      <c r="M907" s="90">
        <f t="shared" si="121"/>
        <v>0</v>
      </c>
      <c r="N907" s="56">
        <v>0</v>
      </c>
      <c r="O907" s="44">
        <f t="shared" si="122"/>
        <v>0</v>
      </c>
      <c r="P907" s="44"/>
      <c r="Q907" s="44"/>
      <c r="R907" s="44"/>
      <c r="S907" s="44">
        <f t="shared" si="120"/>
        <v>0</v>
      </c>
      <c r="T907" s="44">
        <f t="shared" si="123"/>
        <v>0</v>
      </c>
      <c r="U907">
        <v>0</v>
      </c>
      <c r="V907" s="43">
        <v>0</v>
      </c>
      <c r="W907" s="44">
        <f t="shared" si="124"/>
        <v>0</v>
      </c>
      <c r="X907" s="44">
        <f t="shared" si="125"/>
        <v>0</v>
      </c>
      <c r="Y907" s="44">
        <f t="shared" si="126"/>
        <v>0</v>
      </c>
      <c r="Z907" s="84"/>
      <c r="AA907" s="78"/>
      <c r="AB907" s="78"/>
      <c r="AC907" s="78"/>
      <c r="AD907" s="78"/>
      <c r="AE907" s="78"/>
    </row>
    <row r="908" spans="1:31" ht="12.75">
      <c r="A908"/>
      <c r="B908"/>
      <c r="C908"/>
      <c r="D908"/>
      <c r="E908"/>
      <c r="F908"/>
      <c r="G908"/>
      <c r="H908"/>
      <c r="I908"/>
      <c r="J908"/>
      <c r="K908" s="100">
        <f t="shared" si="119"/>
        <v>0</v>
      </c>
      <c r="L908" s="95"/>
      <c r="M908" s="90">
        <f t="shared" si="121"/>
        <v>0</v>
      </c>
      <c r="N908" s="56">
        <v>0</v>
      </c>
      <c r="O908" s="44">
        <f t="shared" si="122"/>
        <v>0</v>
      </c>
      <c r="P908" s="44"/>
      <c r="Q908" s="44"/>
      <c r="R908" s="44"/>
      <c r="S908" s="44">
        <f t="shared" si="120"/>
        <v>0</v>
      </c>
      <c r="T908" s="44">
        <f t="shared" si="123"/>
        <v>0</v>
      </c>
      <c r="U908">
        <v>0</v>
      </c>
      <c r="V908" s="43">
        <v>0</v>
      </c>
      <c r="W908" s="44">
        <f t="shared" si="124"/>
        <v>0</v>
      </c>
      <c r="X908" s="44">
        <f t="shared" si="125"/>
        <v>0</v>
      </c>
      <c r="Y908" s="44">
        <f t="shared" si="126"/>
        <v>0</v>
      </c>
      <c r="Z908" s="84"/>
      <c r="AA908" s="78"/>
      <c r="AB908" s="78"/>
      <c r="AC908" s="78"/>
      <c r="AD908" s="78"/>
      <c r="AE908" s="78"/>
    </row>
    <row r="909" spans="1:31" ht="12.75">
      <c r="A909"/>
      <c r="B909"/>
      <c r="C909"/>
      <c r="D909"/>
      <c r="E909"/>
      <c r="F909"/>
      <c r="G909"/>
      <c r="H909"/>
      <c r="I909"/>
      <c r="J909"/>
      <c r="K909" s="100">
        <f t="shared" si="119"/>
        <v>0</v>
      </c>
      <c r="L909" s="95"/>
      <c r="M909" s="90">
        <f t="shared" si="121"/>
        <v>0</v>
      </c>
      <c r="N909" s="56">
        <v>0</v>
      </c>
      <c r="O909" s="44">
        <f t="shared" si="122"/>
        <v>0</v>
      </c>
      <c r="P909" s="44"/>
      <c r="Q909" s="44"/>
      <c r="R909" s="44"/>
      <c r="S909" s="44">
        <f t="shared" si="120"/>
        <v>0</v>
      </c>
      <c r="T909" s="44">
        <f t="shared" si="123"/>
        <v>0</v>
      </c>
      <c r="U909">
        <v>0</v>
      </c>
      <c r="V909" s="43">
        <v>0</v>
      </c>
      <c r="W909" s="44">
        <f t="shared" si="124"/>
        <v>0</v>
      </c>
      <c r="X909" s="44">
        <f t="shared" si="125"/>
        <v>0</v>
      </c>
      <c r="Y909" s="44">
        <f t="shared" si="126"/>
        <v>0</v>
      </c>
      <c r="Z909" s="84"/>
      <c r="AA909" s="78"/>
      <c r="AB909" s="78"/>
      <c r="AC909" s="78"/>
      <c r="AD909" s="78"/>
      <c r="AE909" s="78"/>
    </row>
    <row r="910" spans="1:31" ht="12.75">
      <c r="A910"/>
      <c r="B910"/>
      <c r="C910"/>
      <c r="D910"/>
      <c r="E910"/>
      <c r="F910"/>
      <c r="G910"/>
      <c r="H910"/>
      <c r="I910"/>
      <c r="J910"/>
      <c r="K910" s="100">
        <f t="shared" si="119"/>
        <v>0</v>
      </c>
      <c r="L910" s="95"/>
      <c r="M910" s="90">
        <f t="shared" si="121"/>
        <v>0</v>
      </c>
      <c r="N910" s="56">
        <v>0</v>
      </c>
      <c r="O910" s="44">
        <f t="shared" si="122"/>
        <v>0</v>
      </c>
      <c r="P910" s="44"/>
      <c r="Q910" s="44"/>
      <c r="R910" s="44"/>
      <c r="S910" s="44">
        <f t="shared" si="120"/>
        <v>0</v>
      </c>
      <c r="T910" s="44">
        <f t="shared" si="123"/>
        <v>0</v>
      </c>
      <c r="U910">
        <v>0</v>
      </c>
      <c r="V910" s="43">
        <v>0</v>
      </c>
      <c r="W910" s="44">
        <f t="shared" si="124"/>
        <v>0</v>
      </c>
      <c r="X910" s="44">
        <f t="shared" si="125"/>
        <v>0</v>
      </c>
      <c r="Y910" s="44">
        <f t="shared" si="126"/>
        <v>0</v>
      </c>
      <c r="Z910" s="84"/>
      <c r="AA910" s="78"/>
      <c r="AB910" s="78"/>
      <c r="AC910" s="78"/>
      <c r="AD910" s="78"/>
      <c r="AE910" s="78"/>
    </row>
    <row r="911" spans="1:31" ht="12.75">
      <c r="A911"/>
      <c r="B911"/>
      <c r="C911"/>
      <c r="D911"/>
      <c r="E911"/>
      <c r="F911"/>
      <c r="G911"/>
      <c r="H911"/>
      <c r="I911"/>
      <c r="J911"/>
      <c r="K911" s="100">
        <f t="shared" si="119"/>
        <v>0</v>
      </c>
      <c r="L911" s="95"/>
      <c r="M911" s="90">
        <f t="shared" si="121"/>
        <v>0</v>
      </c>
      <c r="N911" s="56">
        <v>0</v>
      </c>
      <c r="O911" s="44">
        <f t="shared" si="122"/>
        <v>0</v>
      </c>
      <c r="P911" s="44"/>
      <c r="Q911" s="44"/>
      <c r="R911" s="44"/>
      <c r="S911" s="44">
        <f t="shared" si="120"/>
        <v>0</v>
      </c>
      <c r="T911" s="44">
        <f t="shared" si="123"/>
        <v>0</v>
      </c>
      <c r="U911">
        <v>0</v>
      </c>
      <c r="V911" s="43">
        <v>0</v>
      </c>
      <c r="W911" s="44">
        <f t="shared" si="124"/>
        <v>0</v>
      </c>
      <c r="X911" s="44">
        <f t="shared" si="125"/>
        <v>0</v>
      </c>
      <c r="Y911" s="44">
        <f t="shared" si="126"/>
        <v>0</v>
      </c>
      <c r="Z911" s="84"/>
      <c r="AA911" s="78"/>
      <c r="AB911" s="78"/>
      <c r="AC911" s="78"/>
      <c r="AD911" s="78"/>
      <c r="AE911" s="78"/>
    </row>
    <row r="912" spans="1:31" ht="12.75">
      <c r="A912"/>
      <c r="B912"/>
      <c r="C912"/>
      <c r="D912"/>
      <c r="E912"/>
      <c r="F912"/>
      <c r="G912"/>
      <c r="H912"/>
      <c r="I912"/>
      <c r="J912"/>
      <c r="K912" s="100">
        <f t="shared" si="119"/>
        <v>0</v>
      </c>
      <c r="L912" s="95"/>
      <c r="M912" s="90">
        <f t="shared" si="121"/>
        <v>0</v>
      </c>
      <c r="N912" s="56">
        <v>0</v>
      </c>
      <c r="O912" s="44">
        <f t="shared" si="122"/>
        <v>0</v>
      </c>
      <c r="P912" s="44"/>
      <c r="Q912" s="44"/>
      <c r="R912" s="44"/>
      <c r="S912" s="44">
        <f t="shared" si="120"/>
        <v>0</v>
      </c>
      <c r="T912" s="44">
        <f t="shared" si="123"/>
        <v>0</v>
      </c>
      <c r="U912">
        <v>0</v>
      </c>
      <c r="V912" s="43">
        <v>0</v>
      </c>
      <c r="W912" s="44">
        <f t="shared" si="124"/>
        <v>0</v>
      </c>
      <c r="X912" s="44">
        <f t="shared" si="125"/>
        <v>0</v>
      </c>
      <c r="Y912" s="44">
        <f t="shared" si="126"/>
        <v>0</v>
      </c>
      <c r="Z912" s="84"/>
      <c r="AA912" s="78"/>
      <c r="AB912" s="78"/>
      <c r="AC912" s="78"/>
      <c r="AD912" s="78"/>
      <c r="AE912" s="78"/>
    </row>
    <row r="913" spans="1:31" ht="12.75">
      <c r="A913"/>
      <c r="B913"/>
      <c r="C913"/>
      <c r="D913"/>
      <c r="E913"/>
      <c r="F913"/>
      <c r="G913"/>
      <c r="H913"/>
      <c r="I913"/>
      <c r="J913"/>
      <c r="K913" s="100">
        <f t="shared" si="119"/>
        <v>0</v>
      </c>
      <c r="L913" s="95"/>
      <c r="M913" s="90">
        <f t="shared" si="121"/>
        <v>0</v>
      </c>
      <c r="N913" s="56">
        <v>0</v>
      </c>
      <c r="O913" s="44">
        <f t="shared" si="122"/>
        <v>0</v>
      </c>
      <c r="P913" s="44"/>
      <c r="Q913" s="44"/>
      <c r="R913" s="44"/>
      <c r="S913" s="44">
        <f t="shared" si="120"/>
        <v>0</v>
      </c>
      <c r="T913" s="44">
        <f t="shared" si="123"/>
        <v>0</v>
      </c>
      <c r="U913">
        <v>0</v>
      </c>
      <c r="V913" s="43">
        <v>0</v>
      </c>
      <c r="W913" s="44">
        <f t="shared" si="124"/>
        <v>0</v>
      </c>
      <c r="X913" s="44">
        <f t="shared" si="125"/>
        <v>0</v>
      </c>
      <c r="Y913" s="44">
        <f t="shared" si="126"/>
        <v>0</v>
      </c>
      <c r="Z913" s="84"/>
      <c r="AA913" s="78"/>
      <c r="AB913" s="78"/>
      <c r="AC913" s="78"/>
      <c r="AD913" s="78"/>
      <c r="AE913" s="78"/>
    </row>
    <row r="914" spans="1:31" ht="12.75">
      <c r="A914"/>
      <c r="B914"/>
      <c r="C914"/>
      <c r="D914"/>
      <c r="E914"/>
      <c r="F914"/>
      <c r="G914"/>
      <c r="H914"/>
      <c r="I914"/>
      <c r="J914"/>
      <c r="K914" s="100">
        <f t="shared" si="119"/>
        <v>0</v>
      </c>
      <c r="L914" s="95"/>
      <c r="M914" s="90">
        <f t="shared" si="121"/>
        <v>0</v>
      </c>
      <c r="N914" s="56">
        <v>0</v>
      </c>
      <c r="O914" s="44">
        <f t="shared" si="122"/>
        <v>0</v>
      </c>
      <c r="P914" s="44"/>
      <c r="Q914" s="44"/>
      <c r="R914" s="44"/>
      <c r="S914" s="44">
        <f t="shared" si="120"/>
        <v>0</v>
      </c>
      <c r="T914" s="44">
        <f t="shared" si="123"/>
        <v>0</v>
      </c>
      <c r="U914">
        <v>0</v>
      </c>
      <c r="V914" s="43">
        <v>0</v>
      </c>
      <c r="W914" s="44">
        <f t="shared" si="124"/>
        <v>0</v>
      </c>
      <c r="X914" s="44">
        <f t="shared" si="125"/>
        <v>0</v>
      </c>
      <c r="Y914" s="44">
        <f t="shared" si="126"/>
        <v>0</v>
      </c>
      <c r="Z914" s="84"/>
      <c r="AA914" s="78"/>
      <c r="AB914" s="78"/>
      <c r="AC914" s="78"/>
      <c r="AD914" s="78"/>
      <c r="AE914" s="78"/>
    </row>
    <row r="915" spans="1:31" ht="12.75">
      <c r="A915"/>
      <c r="B915"/>
      <c r="C915"/>
      <c r="D915"/>
      <c r="E915"/>
      <c r="F915"/>
      <c r="G915"/>
      <c r="H915"/>
      <c r="I915"/>
      <c r="J915"/>
      <c r="K915" s="100">
        <f t="shared" si="119"/>
        <v>0</v>
      </c>
      <c r="L915" s="95"/>
      <c r="M915" s="90">
        <f t="shared" si="121"/>
        <v>0</v>
      </c>
      <c r="N915" s="56">
        <v>0</v>
      </c>
      <c r="O915" s="44">
        <f t="shared" si="122"/>
        <v>0</v>
      </c>
      <c r="P915" s="44"/>
      <c r="Q915" s="44"/>
      <c r="R915" s="44"/>
      <c r="S915" s="44">
        <f t="shared" si="120"/>
        <v>0</v>
      </c>
      <c r="T915" s="44">
        <f t="shared" si="123"/>
        <v>0</v>
      </c>
      <c r="U915">
        <v>0</v>
      </c>
      <c r="V915" s="43">
        <v>0</v>
      </c>
      <c r="W915" s="44">
        <f t="shared" si="124"/>
        <v>0</v>
      </c>
      <c r="X915" s="44">
        <f t="shared" si="125"/>
        <v>0</v>
      </c>
      <c r="Y915" s="44">
        <f t="shared" si="126"/>
        <v>0</v>
      </c>
      <c r="Z915" s="84"/>
      <c r="AA915" s="78"/>
      <c r="AB915" s="78"/>
      <c r="AC915" s="78"/>
      <c r="AD915" s="78"/>
      <c r="AE915" s="78"/>
    </row>
    <row r="916" spans="1:31" ht="12.75">
      <c r="A916"/>
      <c r="B916"/>
      <c r="C916"/>
      <c r="D916"/>
      <c r="E916"/>
      <c r="F916"/>
      <c r="G916"/>
      <c r="H916"/>
      <c r="I916"/>
      <c r="J916"/>
      <c r="K916" s="100">
        <f t="shared" si="119"/>
        <v>0</v>
      </c>
      <c r="L916" s="95"/>
      <c r="M916" s="90">
        <f t="shared" si="121"/>
        <v>0</v>
      </c>
      <c r="N916" s="56">
        <v>0</v>
      </c>
      <c r="O916" s="44">
        <f t="shared" si="122"/>
        <v>0</v>
      </c>
      <c r="P916" s="44"/>
      <c r="Q916" s="44"/>
      <c r="R916" s="44"/>
      <c r="S916" s="44">
        <f t="shared" si="120"/>
        <v>0</v>
      </c>
      <c r="T916" s="44">
        <f t="shared" si="123"/>
        <v>0</v>
      </c>
      <c r="U916">
        <v>0</v>
      </c>
      <c r="V916" s="43">
        <v>0</v>
      </c>
      <c r="W916" s="44">
        <f t="shared" si="124"/>
        <v>0</v>
      </c>
      <c r="X916" s="44">
        <f t="shared" si="125"/>
        <v>0</v>
      </c>
      <c r="Y916" s="44">
        <f t="shared" si="126"/>
        <v>0</v>
      </c>
      <c r="Z916" s="84"/>
      <c r="AA916" s="78"/>
      <c r="AB916" s="78"/>
      <c r="AC916" s="78"/>
      <c r="AD916" s="78"/>
      <c r="AE916" s="78"/>
    </row>
    <row r="917" spans="1:31" ht="12.75">
      <c r="A917"/>
      <c r="B917"/>
      <c r="C917"/>
      <c r="D917"/>
      <c r="E917"/>
      <c r="F917"/>
      <c r="G917"/>
      <c r="H917"/>
      <c r="I917"/>
      <c r="J917"/>
      <c r="K917" s="100">
        <f t="shared" si="119"/>
        <v>0</v>
      </c>
      <c r="L917" s="95"/>
      <c r="M917" s="90">
        <f t="shared" si="121"/>
        <v>0</v>
      </c>
      <c r="N917" s="56">
        <v>0</v>
      </c>
      <c r="O917" s="44">
        <f t="shared" si="122"/>
        <v>0</v>
      </c>
      <c r="P917" s="44"/>
      <c r="Q917" s="44"/>
      <c r="R917" s="44"/>
      <c r="S917" s="44">
        <f t="shared" si="120"/>
        <v>0</v>
      </c>
      <c r="T917" s="44">
        <f t="shared" si="123"/>
        <v>0</v>
      </c>
      <c r="U917">
        <v>0</v>
      </c>
      <c r="V917" s="43">
        <v>0</v>
      </c>
      <c r="W917" s="44">
        <f t="shared" si="124"/>
        <v>0</v>
      </c>
      <c r="X917" s="44">
        <f t="shared" si="125"/>
        <v>0</v>
      </c>
      <c r="Y917" s="44">
        <f t="shared" si="126"/>
        <v>0</v>
      </c>
      <c r="Z917" s="84"/>
      <c r="AA917" s="78"/>
      <c r="AB917" s="78"/>
      <c r="AC917" s="78"/>
      <c r="AD917" s="78"/>
      <c r="AE917" s="78"/>
    </row>
    <row r="918" spans="1:31" ht="12.75">
      <c r="A918"/>
      <c r="B918"/>
      <c r="C918"/>
      <c r="D918"/>
      <c r="E918"/>
      <c r="F918"/>
      <c r="G918"/>
      <c r="H918"/>
      <c r="I918"/>
      <c r="J918"/>
      <c r="K918" s="100">
        <f t="shared" si="119"/>
        <v>0</v>
      </c>
      <c r="L918" s="95"/>
      <c r="M918" s="90">
        <f t="shared" si="121"/>
        <v>0</v>
      </c>
      <c r="N918" s="56">
        <v>0</v>
      </c>
      <c r="O918" s="44">
        <f t="shared" si="122"/>
        <v>0</v>
      </c>
      <c r="P918" s="44"/>
      <c r="Q918" s="44"/>
      <c r="R918" s="44"/>
      <c r="S918" s="44">
        <f t="shared" si="120"/>
        <v>0</v>
      </c>
      <c r="T918" s="44">
        <f t="shared" si="123"/>
        <v>0</v>
      </c>
      <c r="U918">
        <v>0</v>
      </c>
      <c r="V918" s="43">
        <v>0</v>
      </c>
      <c r="W918" s="44">
        <f t="shared" si="124"/>
        <v>0</v>
      </c>
      <c r="X918" s="44">
        <f t="shared" si="125"/>
        <v>0</v>
      </c>
      <c r="Y918" s="44">
        <f t="shared" si="126"/>
        <v>0</v>
      </c>
      <c r="Z918" s="84"/>
      <c r="AA918" s="78"/>
      <c r="AB918" s="78"/>
      <c r="AC918" s="78"/>
      <c r="AD918" s="78"/>
      <c r="AE918" s="78"/>
    </row>
    <row r="919" spans="1:31" ht="12.75">
      <c r="A919"/>
      <c r="B919"/>
      <c r="C919"/>
      <c r="D919"/>
      <c r="E919"/>
      <c r="F919"/>
      <c r="G919"/>
      <c r="H919"/>
      <c r="I919"/>
      <c r="J919"/>
      <c r="K919" s="100">
        <f t="shared" si="119"/>
        <v>0</v>
      </c>
      <c r="L919" s="95"/>
      <c r="M919" s="90">
        <f t="shared" si="121"/>
        <v>0</v>
      </c>
      <c r="N919" s="56">
        <v>0</v>
      </c>
      <c r="O919" s="44">
        <f t="shared" si="122"/>
        <v>0</v>
      </c>
      <c r="P919" s="44"/>
      <c r="Q919" s="44"/>
      <c r="R919" s="44"/>
      <c r="S919" s="44">
        <f t="shared" si="120"/>
        <v>0</v>
      </c>
      <c r="T919" s="44">
        <f t="shared" si="123"/>
        <v>0</v>
      </c>
      <c r="U919">
        <v>0</v>
      </c>
      <c r="V919" s="43">
        <v>0</v>
      </c>
      <c r="W919" s="44">
        <f t="shared" si="124"/>
        <v>0</v>
      </c>
      <c r="X919" s="44">
        <f t="shared" si="125"/>
        <v>0</v>
      </c>
      <c r="Y919" s="44">
        <f t="shared" si="126"/>
        <v>0</v>
      </c>
      <c r="Z919" s="84"/>
      <c r="AA919" s="78"/>
      <c r="AB919" s="78"/>
      <c r="AC919" s="78"/>
      <c r="AD919" s="78"/>
      <c r="AE919" s="78"/>
    </row>
    <row r="920" spans="1:31" ht="12.75">
      <c r="A920"/>
      <c r="B920"/>
      <c r="C920"/>
      <c r="D920"/>
      <c r="E920"/>
      <c r="F920"/>
      <c r="G920"/>
      <c r="H920"/>
      <c r="I920"/>
      <c r="J920"/>
      <c r="K920" s="100">
        <f t="shared" si="119"/>
        <v>0</v>
      </c>
      <c r="L920" s="95"/>
      <c r="M920" s="90">
        <f t="shared" si="121"/>
        <v>0</v>
      </c>
      <c r="N920" s="56">
        <v>0</v>
      </c>
      <c r="O920" s="44">
        <f t="shared" si="122"/>
        <v>0</v>
      </c>
      <c r="P920" s="44"/>
      <c r="Q920" s="44"/>
      <c r="R920" s="44"/>
      <c r="S920" s="44">
        <f t="shared" si="120"/>
        <v>0</v>
      </c>
      <c r="T920" s="44">
        <f t="shared" si="123"/>
        <v>0</v>
      </c>
      <c r="U920">
        <v>0</v>
      </c>
      <c r="V920" s="43">
        <v>0</v>
      </c>
      <c r="W920" s="44">
        <f t="shared" si="124"/>
        <v>0</v>
      </c>
      <c r="X920" s="44">
        <f t="shared" si="125"/>
        <v>0</v>
      </c>
      <c r="Y920" s="44">
        <f t="shared" si="126"/>
        <v>0</v>
      </c>
      <c r="Z920" s="84"/>
      <c r="AA920" s="78"/>
      <c r="AB920" s="78"/>
      <c r="AC920" s="78"/>
      <c r="AD920" s="78"/>
      <c r="AE920" s="78"/>
    </row>
    <row r="921" spans="1:31" ht="12.75">
      <c r="A921"/>
      <c r="B921"/>
      <c r="C921"/>
      <c r="D921"/>
      <c r="E921"/>
      <c r="F921"/>
      <c r="G921"/>
      <c r="H921"/>
      <c r="I921"/>
      <c r="J921"/>
      <c r="K921" s="100">
        <f t="shared" si="119"/>
        <v>0</v>
      </c>
      <c r="L921" s="95"/>
      <c r="M921" s="90">
        <f t="shared" si="121"/>
        <v>0</v>
      </c>
      <c r="N921" s="56">
        <v>0</v>
      </c>
      <c r="O921" s="44">
        <f t="shared" si="122"/>
        <v>0</v>
      </c>
      <c r="P921" s="44"/>
      <c r="Q921" s="44"/>
      <c r="R921" s="44"/>
      <c r="S921" s="44">
        <f t="shared" si="120"/>
        <v>0</v>
      </c>
      <c r="T921" s="44">
        <f t="shared" si="123"/>
        <v>0</v>
      </c>
      <c r="U921">
        <v>0</v>
      </c>
      <c r="V921" s="43">
        <v>0</v>
      </c>
      <c r="W921" s="44">
        <f t="shared" si="124"/>
        <v>0</v>
      </c>
      <c r="X921" s="44">
        <f t="shared" si="125"/>
        <v>0</v>
      </c>
      <c r="Y921" s="44">
        <f t="shared" si="126"/>
        <v>0</v>
      </c>
      <c r="Z921" s="84"/>
      <c r="AA921" s="78"/>
      <c r="AB921" s="78"/>
      <c r="AC921" s="78"/>
      <c r="AD921" s="78"/>
      <c r="AE921" s="78"/>
    </row>
    <row r="922" spans="1:31" ht="12.75">
      <c r="A922"/>
      <c r="B922"/>
      <c r="C922"/>
      <c r="D922"/>
      <c r="E922"/>
      <c r="F922"/>
      <c r="G922"/>
      <c r="H922"/>
      <c r="I922"/>
      <c r="J922"/>
      <c r="K922" s="100">
        <f t="shared" si="119"/>
        <v>0</v>
      </c>
      <c r="L922" s="95"/>
      <c r="M922" s="90">
        <f t="shared" si="121"/>
        <v>0</v>
      </c>
      <c r="N922" s="56">
        <v>0</v>
      </c>
      <c r="O922" s="44">
        <f t="shared" si="122"/>
        <v>0</v>
      </c>
      <c r="P922" s="44"/>
      <c r="Q922" s="44"/>
      <c r="R922" s="44"/>
      <c r="S922" s="44">
        <f t="shared" si="120"/>
        <v>0</v>
      </c>
      <c r="T922" s="44">
        <f t="shared" si="123"/>
        <v>0</v>
      </c>
      <c r="U922">
        <v>0</v>
      </c>
      <c r="V922" s="43">
        <v>0</v>
      </c>
      <c r="W922" s="44">
        <f t="shared" si="124"/>
        <v>0</v>
      </c>
      <c r="X922" s="44">
        <f t="shared" si="125"/>
        <v>0</v>
      </c>
      <c r="Y922" s="44">
        <f t="shared" si="126"/>
        <v>0</v>
      </c>
      <c r="Z922" s="84"/>
      <c r="AA922" s="78"/>
      <c r="AB922" s="78"/>
      <c r="AC922" s="78"/>
      <c r="AD922" s="78"/>
      <c r="AE922" s="78"/>
    </row>
    <row r="923" spans="1:31" ht="12.75">
      <c r="A923"/>
      <c r="B923"/>
      <c r="C923"/>
      <c r="D923"/>
      <c r="E923"/>
      <c r="F923"/>
      <c r="G923"/>
      <c r="H923"/>
      <c r="I923"/>
      <c r="J923"/>
      <c r="K923" s="100">
        <f t="shared" si="119"/>
        <v>0</v>
      </c>
      <c r="L923" s="95"/>
      <c r="M923" s="90">
        <f t="shared" si="121"/>
        <v>0</v>
      </c>
      <c r="N923" s="56">
        <v>0</v>
      </c>
      <c r="O923" s="44">
        <f t="shared" si="122"/>
        <v>0</v>
      </c>
      <c r="P923" s="44"/>
      <c r="Q923" s="44"/>
      <c r="R923" s="44"/>
      <c r="S923" s="44">
        <f t="shared" si="120"/>
        <v>0</v>
      </c>
      <c r="T923" s="44">
        <f t="shared" si="123"/>
        <v>0</v>
      </c>
      <c r="U923">
        <v>0</v>
      </c>
      <c r="V923" s="43">
        <v>0</v>
      </c>
      <c r="W923" s="44">
        <f t="shared" si="124"/>
        <v>0</v>
      </c>
      <c r="X923" s="44">
        <f t="shared" si="125"/>
        <v>0</v>
      </c>
      <c r="Y923" s="44">
        <f t="shared" si="126"/>
        <v>0</v>
      </c>
      <c r="Z923" s="84"/>
      <c r="AA923" s="78"/>
      <c r="AB923" s="78"/>
      <c r="AC923" s="78"/>
      <c r="AD923" s="78"/>
      <c r="AE923" s="78"/>
    </row>
    <row r="924" spans="1:31" ht="12.75">
      <c r="A924"/>
      <c r="B924"/>
      <c r="C924"/>
      <c r="D924"/>
      <c r="E924"/>
      <c r="F924"/>
      <c r="G924"/>
      <c r="H924"/>
      <c r="I924"/>
      <c r="J924"/>
      <c r="K924" s="100">
        <f t="shared" si="119"/>
        <v>0</v>
      </c>
      <c r="L924" s="95"/>
      <c r="M924" s="90">
        <f t="shared" si="121"/>
        <v>0</v>
      </c>
      <c r="N924" s="56">
        <v>0</v>
      </c>
      <c r="O924" s="44">
        <f t="shared" si="122"/>
        <v>0</v>
      </c>
      <c r="P924" s="44"/>
      <c r="Q924" s="44"/>
      <c r="R924" s="44"/>
      <c r="S924" s="44">
        <f t="shared" si="120"/>
        <v>0</v>
      </c>
      <c r="T924" s="44">
        <f t="shared" si="123"/>
        <v>0</v>
      </c>
      <c r="U924">
        <v>0</v>
      </c>
      <c r="V924" s="43">
        <v>0</v>
      </c>
      <c r="W924" s="44">
        <f t="shared" si="124"/>
        <v>0</v>
      </c>
      <c r="X924" s="44">
        <f t="shared" si="125"/>
        <v>0</v>
      </c>
      <c r="Y924" s="44">
        <f t="shared" si="126"/>
        <v>0</v>
      </c>
      <c r="Z924" s="84"/>
      <c r="AA924" s="78"/>
      <c r="AB924" s="78"/>
      <c r="AC924" s="78"/>
      <c r="AD924" s="78"/>
      <c r="AE924" s="78"/>
    </row>
    <row r="925" spans="1:31" ht="12.75">
      <c r="A925"/>
      <c r="B925"/>
      <c r="C925"/>
      <c r="D925"/>
      <c r="E925"/>
      <c r="F925"/>
      <c r="G925"/>
      <c r="H925"/>
      <c r="I925"/>
      <c r="J925"/>
      <c r="K925" s="100">
        <f t="shared" si="119"/>
        <v>0</v>
      </c>
      <c r="L925" s="95"/>
      <c r="M925" s="90">
        <f t="shared" si="121"/>
        <v>0</v>
      </c>
      <c r="N925" s="56">
        <v>0</v>
      </c>
      <c r="O925" s="44">
        <f t="shared" si="122"/>
        <v>0</v>
      </c>
      <c r="P925" s="44"/>
      <c r="Q925" s="44"/>
      <c r="R925" s="44"/>
      <c r="S925" s="44">
        <f t="shared" si="120"/>
        <v>0</v>
      </c>
      <c r="T925" s="44">
        <f t="shared" si="123"/>
        <v>0</v>
      </c>
      <c r="U925">
        <v>0</v>
      </c>
      <c r="V925" s="43">
        <v>0</v>
      </c>
      <c r="W925" s="44">
        <f t="shared" si="124"/>
        <v>0</v>
      </c>
      <c r="X925" s="44">
        <f t="shared" si="125"/>
        <v>0</v>
      </c>
      <c r="Y925" s="44">
        <f t="shared" si="126"/>
        <v>0</v>
      </c>
      <c r="Z925" s="84"/>
      <c r="AA925" s="78"/>
      <c r="AB925" s="78"/>
      <c r="AC925" s="78"/>
      <c r="AD925" s="78"/>
      <c r="AE925" s="78"/>
    </row>
    <row r="926" spans="1:31" ht="12.75">
      <c r="A926"/>
      <c r="B926"/>
      <c r="C926"/>
      <c r="D926"/>
      <c r="E926"/>
      <c r="F926"/>
      <c r="G926"/>
      <c r="H926"/>
      <c r="I926"/>
      <c r="J926"/>
      <c r="K926" s="100">
        <f t="shared" si="119"/>
        <v>0</v>
      </c>
      <c r="L926" s="95"/>
      <c r="M926" s="90">
        <f t="shared" si="121"/>
        <v>0</v>
      </c>
      <c r="N926" s="56">
        <v>0</v>
      </c>
      <c r="O926" s="44">
        <f t="shared" si="122"/>
        <v>0</v>
      </c>
      <c r="P926" s="44"/>
      <c r="Q926" s="44"/>
      <c r="R926" s="44"/>
      <c r="S926" s="44">
        <f t="shared" si="120"/>
        <v>0</v>
      </c>
      <c r="T926" s="44">
        <f t="shared" si="123"/>
        <v>0</v>
      </c>
      <c r="U926">
        <v>0</v>
      </c>
      <c r="V926" s="43">
        <v>0</v>
      </c>
      <c r="W926" s="44">
        <f t="shared" si="124"/>
        <v>0</v>
      </c>
      <c r="X926" s="44">
        <f t="shared" si="125"/>
        <v>0</v>
      </c>
      <c r="Y926" s="44">
        <f t="shared" si="126"/>
        <v>0</v>
      </c>
      <c r="Z926" s="84"/>
      <c r="AA926" s="78"/>
      <c r="AB926" s="78"/>
      <c r="AC926" s="78"/>
      <c r="AD926" s="78"/>
      <c r="AE926" s="78"/>
    </row>
    <row r="927" spans="1:31" ht="12.75">
      <c r="A927"/>
      <c r="B927"/>
      <c r="C927"/>
      <c r="D927"/>
      <c r="E927"/>
      <c r="F927"/>
      <c r="G927"/>
      <c r="H927"/>
      <c r="I927"/>
      <c r="J927"/>
      <c r="K927" s="100">
        <f t="shared" si="119"/>
        <v>0</v>
      </c>
      <c r="L927" s="95"/>
      <c r="M927" s="90">
        <f t="shared" si="121"/>
        <v>0</v>
      </c>
      <c r="N927" s="56">
        <v>0</v>
      </c>
      <c r="O927" s="44">
        <f t="shared" si="122"/>
        <v>0</v>
      </c>
      <c r="P927" s="44"/>
      <c r="Q927" s="44"/>
      <c r="R927" s="44"/>
      <c r="S927" s="44">
        <f t="shared" si="120"/>
        <v>0</v>
      </c>
      <c r="T927" s="44">
        <f t="shared" si="123"/>
        <v>0</v>
      </c>
      <c r="U927">
        <v>0</v>
      </c>
      <c r="V927" s="43">
        <v>0</v>
      </c>
      <c r="W927" s="44">
        <f t="shared" si="124"/>
        <v>0</v>
      </c>
      <c r="X927" s="44">
        <f t="shared" si="125"/>
        <v>0</v>
      </c>
      <c r="Y927" s="44">
        <f t="shared" si="126"/>
        <v>0</v>
      </c>
      <c r="Z927" s="84"/>
      <c r="AA927" s="78"/>
      <c r="AB927" s="78"/>
      <c r="AC927" s="78"/>
      <c r="AD927" s="78"/>
      <c r="AE927" s="78"/>
    </row>
    <row r="928" spans="1:31" ht="12.75">
      <c r="A928"/>
      <c r="B928"/>
      <c r="C928"/>
      <c r="D928"/>
      <c r="E928"/>
      <c r="F928"/>
      <c r="G928"/>
      <c r="H928"/>
      <c r="I928"/>
      <c r="J928"/>
      <c r="K928" s="100">
        <f t="shared" ref="K928:K945" si="127">+I928*J928</f>
        <v>0</v>
      </c>
      <c r="L928" s="95"/>
      <c r="M928" s="90">
        <f t="shared" si="121"/>
        <v>0</v>
      </c>
      <c r="N928" s="56">
        <v>0</v>
      </c>
      <c r="O928" s="44">
        <f t="shared" si="122"/>
        <v>0</v>
      </c>
      <c r="P928" s="44"/>
      <c r="Q928" s="44"/>
      <c r="R928" s="44"/>
      <c r="S928" s="44">
        <f t="shared" ref="S928:S945" si="128">IF(R928="y",+P928*0.01,0)</f>
        <v>0</v>
      </c>
      <c r="T928" s="44">
        <f t="shared" si="123"/>
        <v>0</v>
      </c>
      <c r="U928">
        <v>0</v>
      </c>
      <c r="V928" s="43">
        <v>0</v>
      </c>
      <c r="W928" s="44">
        <f t="shared" si="124"/>
        <v>0</v>
      </c>
      <c r="X928" s="44">
        <f t="shared" si="125"/>
        <v>0</v>
      </c>
      <c r="Y928" s="44">
        <f t="shared" si="126"/>
        <v>0</v>
      </c>
      <c r="Z928" s="84"/>
      <c r="AA928" s="78"/>
      <c r="AB928" s="78"/>
      <c r="AC928" s="78"/>
      <c r="AD928" s="78"/>
      <c r="AE928" s="78"/>
    </row>
    <row r="929" spans="1:31" ht="12.75">
      <c r="A929"/>
      <c r="B929"/>
      <c r="C929"/>
      <c r="D929"/>
      <c r="E929"/>
      <c r="F929"/>
      <c r="G929"/>
      <c r="H929"/>
      <c r="I929"/>
      <c r="J929"/>
      <c r="K929" s="100">
        <f t="shared" si="127"/>
        <v>0</v>
      </c>
      <c r="L929" s="95"/>
      <c r="M929" s="90">
        <f t="shared" si="121"/>
        <v>0</v>
      </c>
      <c r="N929" s="56">
        <v>0</v>
      </c>
      <c r="O929" s="44">
        <f t="shared" si="122"/>
        <v>0</v>
      </c>
      <c r="P929" s="44"/>
      <c r="Q929" s="44"/>
      <c r="R929" s="44"/>
      <c r="S929" s="44">
        <f t="shared" si="128"/>
        <v>0</v>
      </c>
      <c r="T929" s="44">
        <f t="shared" si="123"/>
        <v>0</v>
      </c>
      <c r="U929">
        <v>0</v>
      </c>
      <c r="V929" s="43">
        <v>0</v>
      </c>
      <c r="W929" s="44">
        <f t="shared" si="124"/>
        <v>0</v>
      </c>
      <c r="X929" s="44">
        <f t="shared" si="125"/>
        <v>0</v>
      </c>
      <c r="Y929" s="44">
        <f t="shared" si="126"/>
        <v>0</v>
      </c>
      <c r="Z929" s="84"/>
      <c r="AA929" s="78"/>
      <c r="AB929" s="78"/>
      <c r="AC929" s="78"/>
      <c r="AD929" s="78"/>
      <c r="AE929" s="78"/>
    </row>
    <row r="930" spans="1:31" ht="12.75">
      <c r="A930"/>
      <c r="B930"/>
      <c r="C930"/>
      <c r="D930"/>
      <c r="E930"/>
      <c r="F930"/>
      <c r="G930"/>
      <c r="H930"/>
      <c r="I930"/>
      <c r="J930"/>
      <c r="K930" s="100">
        <f t="shared" si="127"/>
        <v>0</v>
      </c>
      <c r="L930" s="95"/>
      <c r="M930" s="90">
        <f t="shared" si="121"/>
        <v>0</v>
      </c>
      <c r="N930" s="56">
        <v>0</v>
      </c>
      <c r="O930" s="44">
        <f t="shared" si="122"/>
        <v>0</v>
      </c>
      <c r="P930" s="44"/>
      <c r="Q930" s="44"/>
      <c r="R930" s="44"/>
      <c r="S930" s="44">
        <f t="shared" si="128"/>
        <v>0</v>
      </c>
      <c r="T930" s="44">
        <f t="shared" si="123"/>
        <v>0</v>
      </c>
      <c r="U930">
        <v>0</v>
      </c>
      <c r="V930" s="43">
        <v>0</v>
      </c>
      <c r="W930" s="44">
        <f t="shared" si="124"/>
        <v>0</v>
      </c>
      <c r="X930" s="44">
        <f t="shared" si="125"/>
        <v>0</v>
      </c>
      <c r="Y930" s="44">
        <f t="shared" si="126"/>
        <v>0</v>
      </c>
      <c r="Z930" s="84"/>
      <c r="AA930" s="78"/>
      <c r="AB930" s="78"/>
      <c r="AC930" s="78"/>
      <c r="AD930" s="78"/>
      <c r="AE930" s="78"/>
    </row>
    <row r="931" spans="1:31" ht="12.75">
      <c r="A931"/>
      <c r="B931"/>
      <c r="C931"/>
      <c r="D931"/>
      <c r="E931"/>
      <c r="F931"/>
      <c r="G931"/>
      <c r="H931"/>
      <c r="I931"/>
      <c r="J931"/>
      <c r="K931" s="100">
        <f t="shared" si="127"/>
        <v>0</v>
      </c>
      <c r="L931" s="95"/>
      <c r="M931" s="90">
        <f t="shared" si="121"/>
        <v>0</v>
      </c>
      <c r="N931" s="56">
        <v>0</v>
      </c>
      <c r="O931" s="44">
        <f t="shared" si="122"/>
        <v>0</v>
      </c>
      <c r="P931" s="44"/>
      <c r="Q931" s="44"/>
      <c r="R931" s="44"/>
      <c r="S931" s="44">
        <f t="shared" si="128"/>
        <v>0</v>
      </c>
      <c r="T931" s="44">
        <f t="shared" si="123"/>
        <v>0</v>
      </c>
      <c r="U931">
        <v>0</v>
      </c>
      <c r="V931" s="43">
        <v>0</v>
      </c>
      <c r="W931" s="44">
        <f t="shared" si="124"/>
        <v>0</v>
      </c>
      <c r="X931" s="44">
        <f t="shared" si="125"/>
        <v>0</v>
      </c>
      <c r="Y931" s="44">
        <f t="shared" si="126"/>
        <v>0</v>
      </c>
      <c r="Z931" s="84"/>
      <c r="AA931" s="78"/>
      <c r="AB931" s="78"/>
      <c r="AC931" s="78"/>
      <c r="AD931" s="78"/>
      <c r="AE931" s="78"/>
    </row>
    <row r="932" spans="1:31" ht="12.75">
      <c r="A932"/>
      <c r="B932"/>
      <c r="C932"/>
      <c r="D932"/>
      <c r="E932"/>
      <c r="F932"/>
      <c r="G932"/>
      <c r="H932"/>
      <c r="I932"/>
      <c r="J932"/>
      <c r="K932" s="100">
        <f t="shared" si="127"/>
        <v>0</v>
      </c>
      <c r="L932" s="95"/>
      <c r="M932" s="90">
        <f t="shared" si="121"/>
        <v>0</v>
      </c>
      <c r="N932" s="56">
        <v>0</v>
      </c>
      <c r="O932" s="44">
        <f t="shared" si="122"/>
        <v>0</v>
      </c>
      <c r="P932" s="44"/>
      <c r="Q932" s="44"/>
      <c r="R932" s="44"/>
      <c r="S932" s="44">
        <f t="shared" si="128"/>
        <v>0</v>
      </c>
      <c r="T932" s="44">
        <f t="shared" si="123"/>
        <v>0</v>
      </c>
      <c r="U932">
        <v>0</v>
      </c>
      <c r="V932" s="43">
        <v>0</v>
      </c>
      <c r="W932" s="44">
        <f t="shared" si="124"/>
        <v>0</v>
      </c>
      <c r="X932" s="44">
        <f t="shared" si="125"/>
        <v>0</v>
      </c>
      <c r="Y932" s="44">
        <f t="shared" si="126"/>
        <v>0</v>
      </c>
      <c r="Z932" s="84"/>
      <c r="AA932" s="78"/>
      <c r="AB932" s="78"/>
      <c r="AC932" s="78"/>
      <c r="AD932" s="78"/>
      <c r="AE932" s="78"/>
    </row>
    <row r="933" spans="1:31" ht="12.75">
      <c r="A933"/>
      <c r="B933"/>
      <c r="C933"/>
      <c r="D933"/>
      <c r="E933"/>
      <c r="F933"/>
      <c r="G933"/>
      <c r="H933"/>
      <c r="I933"/>
      <c r="J933"/>
      <c r="K933" s="100">
        <f t="shared" si="127"/>
        <v>0</v>
      </c>
      <c r="L933" s="95"/>
      <c r="M933" s="90">
        <f t="shared" si="121"/>
        <v>0</v>
      </c>
      <c r="N933" s="56">
        <v>0</v>
      </c>
      <c r="O933" s="44">
        <f t="shared" si="122"/>
        <v>0</v>
      </c>
      <c r="P933" s="44"/>
      <c r="Q933" s="44"/>
      <c r="R933" s="44"/>
      <c r="S933" s="44">
        <f t="shared" si="128"/>
        <v>0</v>
      </c>
      <c r="T933" s="44">
        <f t="shared" si="123"/>
        <v>0</v>
      </c>
      <c r="U933">
        <v>0</v>
      </c>
      <c r="V933" s="43">
        <v>0</v>
      </c>
      <c r="W933" s="44">
        <f t="shared" si="124"/>
        <v>0</v>
      </c>
      <c r="X933" s="44">
        <f t="shared" si="125"/>
        <v>0</v>
      </c>
      <c r="Y933" s="44">
        <f t="shared" si="126"/>
        <v>0</v>
      </c>
      <c r="Z933" s="84"/>
      <c r="AA933" s="78"/>
      <c r="AB933" s="78"/>
      <c r="AC933" s="78"/>
      <c r="AD933" s="78"/>
      <c r="AE933" s="78"/>
    </row>
    <row r="934" spans="1:31" ht="12.75">
      <c r="A934"/>
      <c r="B934"/>
      <c r="C934"/>
      <c r="D934"/>
      <c r="E934"/>
      <c r="F934"/>
      <c r="G934"/>
      <c r="H934"/>
      <c r="I934"/>
      <c r="J934"/>
      <c r="K934" s="100">
        <f t="shared" si="127"/>
        <v>0</v>
      </c>
      <c r="L934" s="95"/>
      <c r="M934" s="90">
        <f t="shared" si="121"/>
        <v>0</v>
      </c>
      <c r="N934" s="56">
        <v>0</v>
      </c>
      <c r="O934" s="44">
        <f t="shared" si="122"/>
        <v>0</v>
      </c>
      <c r="P934" s="44"/>
      <c r="Q934" s="44"/>
      <c r="R934" s="44"/>
      <c r="S934" s="44">
        <f t="shared" si="128"/>
        <v>0</v>
      </c>
      <c r="T934" s="44">
        <f t="shared" si="123"/>
        <v>0</v>
      </c>
      <c r="U934">
        <v>0</v>
      </c>
      <c r="V934" s="43">
        <v>0</v>
      </c>
      <c r="W934" s="44">
        <f t="shared" si="124"/>
        <v>0</v>
      </c>
      <c r="X934" s="44">
        <f t="shared" si="125"/>
        <v>0</v>
      </c>
      <c r="Y934" s="44">
        <f t="shared" si="126"/>
        <v>0</v>
      </c>
      <c r="Z934" s="84"/>
      <c r="AA934" s="78"/>
      <c r="AB934" s="78"/>
      <c r="AC934" s="78"/>
      <c r="AD934" s="78"/>
      <c r="AE934" s="78"/>
    </row>
    <row r="935" spans="1:31" ht="12.75">
      <c r="A935"/>
      <c r="B935"/>
      <c r="C935"/>
      <c r="D935"/>
      <c r="E935"/>
      <c r="F935"/>
      <c r="G935"/>
      <c r="H935"/>
      <c r="I935"/>
      <c r="J935"/>
      <c r="K935" s="100">
        <f t="shared" si="127"/>
        <v>0</v>
      </c>
      <c r="L935" s="95"/>
      <c r="M935" s="90">
        <f t="shared" si="121"/>
        <v>0</v>
      </c>
      <c r="N935" s="56">
        <v>0</v>
      </c>
      <c r="O935" s="44">
        <f t="shared" si="122"/>
        <v>0</v>
      </c>
      <c r="P935" s="44"/>
      <c r="Q935" s="44"/>
      <c r="R935" s="44"/>
      <c r="S935" s="44">
        <f t="shared" si="128"/>
        <v>0</v>
      </c>
      <c r="T935" s="44">
        <f t="shared" si="123"/>
        <v>0</v>
      </c>
      <c r="U935">
        <v>0</v>
      </c>
      <c r="V935" s="43">
        <v>0</v>
      </c>
      <c r="W935" s="44">
        <f t="shared" si="124"/>
        <v>0</v>
      </c>
      <c r="X935" s="44">
        <f t="shared" si="125"/>
        <v>0</v>
      </c>
      <c r="Y935" s="44">
        <f t="shared" si="126"/>
        <v>0</v>
      </c>
      <c r="Z935" s="84"/>
      <c r="AA935" s="78"/>
      <c r="AB935" s="78"/>
      <c r="AC935" s="78"/>
      <c r="AD935" s="78"/>
      <c r="AE935" s="78"/>
    </row>
    <row r="936" spans="1:31" ht="12.75">
      <c r="A936"/>
      <c r="B936"/>
      <c r="C936"/>
      <c r="D936"/>
      <c r="E936"/>
      <c r="F936"/>
      <c r="G936"/>
      <c r="H936"/>
      <c r="I936"/>
      <c r="J936"/>
      <c r="K936" s="100">
        <f t="shared" si="127"/>
        <v>0</v>
      </c>
      <c r="L936" s="95"/>
      <c r="M936" s="90">
        <f t="shared" si="121"/>
        <v>0</v>
      </c>
      <c r="N936" s="56">
        <v>0</v>
      </c>
      <c r="O936" s="44">
        <f t="shared" si="122"/>
        <v>0</v>
      </c>
      <c r="P936" s="44"/>
      <c r="Q936" s="44"/>
      <c r="R936" s="44"/>
      <c r="S936" s="44">
        <f t="shared" si="128"/>
        <v>0</v>
      </c>
      <c r="T936" s="44">
        <f t="shared" si="123"/>
        <v>0</v>
      </c>
      <c r="U936">
        <v>0</v>
      </c>
      <c r="V936" s="43">
        <v>0</v>
      </c>
      <c r="W936" s="44">
        <f t="shared" si="124"/>
        <v>0</v>
      </c>
      <c r="X936" s="44">
        <f t="shared" si="125"/>
        <v>0</v>
      </c>
      <c r="Y936" s="44">
        <f t="shared" si="126"/>
        <v>0</v>
      </c>
      <c r="Z936" s="84"/>
      <c r="AA936" s="78"/>
      <c r="AB936" s="78"/>
      <c r="AC936" s="78"/>
      <c r="AD936" s="78"/>
      <c r="AE936" s="78"/>
    </row>
    <row r="937" spans="1:31" ht="12.75">
      <c r="A937"/>
      <c r="B937"/>
      <c r="C937"/>
      <c r="D937"/>
      <c r="E937"/>
      <c r="F937"/>
      <c r="G937"/>
      <c r="H937"/>
      <c r="I937"/>
      <c r="J937"/>
      <c r="K937" s="100">
        <f t="shared" si="127"/>
        <v>0</v>
      </c>
      <c r="L937" s="95"/>
      <c r="M937" s="90">
        <f t="shared" si="121"/>
        <v>0</v>
      </c>
      <c r="N937" s="56">
        <v>0</v>
      </c>
      <c r="O937" s="44">
        <f t="shared" si="122"/>
        <v>0</v>
      </c>
      <c r="P937" s="44"/>
      <c r="Q937" s="44"/>
      <c r="R937" s="44"/>
      <c r="S937" s="44">
        <f t="shared" si="128"/>
        <v>0</v>
      </c>
      <c r="T937" s="44">
        <f t="shared" si="123"/>
        <v>0</v>
      </c>
      <c r="U937">
        <v>0</v>
      </c>
      <c r="V937" s="43">
        <v>0</v>
      </c>
      <c r="W937" s="44">
        <f t="shared" si="124"/>
        <v>0</v>
      </c>
      <c r="X937" s="44">
        <f t="shared" si="125"/>
        <v>0</v>
      </c>
      <c r="Y937" s="44">
        <f t="shared" si="126"/>
        <v>0</v>
      </c>
      <c r="Z937" s="84"/>
      <c r="AA937" s="78"/>
      <c r="AB937" s="78"/>
      <c r="AC937" s="78"/>
      <c r="AD937" s="78"/>
      <c r="AE937" s="78"/>
    </row>
    <row r="938" spans="1:31" ht="12.75">
      <c r="A938"/>
      <c r="B938"/>
      <c r="C938"/>
      <c r="D938"/>
      <c r="E938"/>
      <c r="F938"/>
      <c r="G938"/>
      <c r="H938"/>
      <c r="I938"/>
      <c r="J938"/>
      <c r="K938" s="100">
        <f t="shared" si="127"/>
        <v>0</v>
      </c>
      <c r="L938" s="95"/>
      <c r="M938" s="90">
        <f t="shared" si="121"/>
        <v>0</v>
      </c>
      <c r="N938" s="56">
        <v>0</v>
      </c>
      <c r="O938" s="44">
        <f t="shared" si="122"/>
        <v>0</v>
      </c>
      <c r="P938" s="44"/>
      <c r="Q938" s="44"/>
      <c r="R938" s="44"/>
      <c r="S938" s="44">
        <f t="shared" si="128"/>
        <v>0</v>
      </c>
      <c r="T938" s="44">
        <f t="shared" si="123"/>
        <v>0</v>
      </c>
      <c r="U938">
        <v>0</v>
      </c>
      <c r="V938" s="43">
        <v>0</v>
      </c>
      <c r="W938" s="44">
        <f t="shared" si="124"/>
        <v>0</v>
      </c>
      <c r="X938" s="44">
        <f t="shared" si="125"/>
        <v>0</v>
      </c>
      <c r="Y938" s="44">
        <f t="shared" si="126"/>
        <v>0</v>
      </c>
      <c r="Z938" s="84"/>
      <c r="AA938" s="78"/>
      <c r="AB938" s="78"/>
      <c r="AC938" s="78"/>
      <c r="AD938" s="78"/>
      <c r="AE938" s="78"/>
    </row>
    <row r="939" spans="1:31" ht="12.75">
      <c r="A939"/>
      <c r="B939"/>
      <c r="C939"/>
      <c r="D939"/>
      <c r="E939"/>
      <c r="F939"/>
      <c r="G939"/>
      <c r="H939"/>
      <c r="I939"/>
      <c r="J939"/>
      <c r="K939" s="100">
        <f t="shared" si="127"/>
        <v>0</v>
      </c>
      <c r="L939" s="95"/>
      <c r="M939" s="90">
        <f t="shared" si="121"/>
        <v>0</v>
      </c>
      <c r="N939" s="56">
        <v>0</v>
      </c>
      <c r="O939" s="44">
        <f t="shared" si="122"/>
        <v>0</v>
      </c>
      <c r="P939" s="44"/>
      <c r="Q939" s="44"/>
      <c r="R939" s="44"/>
      <c r="S939" s="44">
        <f t="shared" si="128"/>
        <v>0</v>
      </c>
      <c r="T939" s="44">
        <f t="shared" si="123"/>
        <v>0</v>
      </c>
      <c r="U939">
        <v>0</v>
      </c>
      <c r="V939" s="43">
        <v>0</v>
      </c>
      <c r="W939" s="44">
        <f t="shared" si="124"/>
        <v>0</v>
      </c>
      <c r="X939" s="44">
        <f t="shared" si="125"/>
        <v>0</v>
      </c>
      <c r="Y939" s="44">
        <f t="shared" si="126"/>
        <v>0</v>
      </c>
      <c r="Z939" s="84"/>
      <c r="AA939" s="78"/>
      <c r="AB939" s="78"/>
      <c r="AC939" s="78"/>
      <c r="AD939" s="78"/>
      <c r="AE939" s="78"/>
    </row>
    <row r="940" spans="1:31" ht="12.75">
      <c r="A940"/>
      <c r="B940"/>
      <c r="C940"/>
      <c r="D940"/>
      <c r="E940"/>
      <c r="F940"/>
      <c r="G940"/>
      <c r="H940"/>
      <c r="I940"/>
      <c r="J940"/>
      <c r="K940" s="100">
        <f t="shared" si="127"/>
        <v>0</v>
      </c>
      <c r="L940" s="95"/>
      <c r="M940" s="90">
        <f t="shared" si="121"/>
        <v>0</v>
      </c>
      <c r="N940" s="56">
        <v>0</v>
      </c>
      <c r="O940" s="44">
        <f t="shared" si="122"/>
        <v>0</v>
      </c>
      <c r="P940" s="44"/>
      <c r="Q940" s="44"/>
      <c r="R940" s="44"/>
      <c r="S940" s="44">
        <f t="shared" si="128"/>
        <v>0</v>
      </c>
      <c r="T940" s="44">
        <f t="shared" si="123"/>
        <v>0</v>
      </c>
      <c r="U940">
        <v>0</v>
      </c>
      <c r="V940" s="43">
        <v>0</v>
      </c>
      <c r="W940" s="44">
        <f t="shared" si="124"/>
        <v>0</v>
      </c>
      <c r="X940" s="44">
        <f t="shared" si="125"/>
        <v>0</v>
      </c>
      <c r="Y940" s="44">
        <f t="shared" si="126"/>
        <v>0</v>
      </c>
      <c r="Z940" s="84"/>
      <c r="AA940" s="78"/>
      <c r="AB940" s="78"/>
      <c r="AC940" s="78"/>
      <c r="AD940" s="78"/>
      <c r="AE940" s="78"/>
    </row>
    <row r="941" spans="1:31" ht="12.75">
      <c r="A941"/>
      <c r="B941"/>
      <c r="C941"/>
      <c r="D941"/>
      <c r="E941"/>
      <c r="F941"/>
      <c r="G941"/>
      <c r="H941"/>
      <c r="I941"/>
      <c r="J941"/>
      <c r="K941" s="100">
        <f t="shared" si="127"/>
        <v>0</v>
      </c>
      <c r="L941" s="95"/>
      <c r="M941" s="90">
        <f t="shared" si="121"/>
        <v>0</v>
      </c>
      <c r="N941" s="56">
        <v>0</v>
      </c>
      <c r="O941" s="44">
        <f t="shared" si="122"/>
        <v>0</v>
      </c>
      <c r="P941" s="44"/>
      <c r="Q941" s="44"/>
      <c r="R941" s="44"/>
      <c r="S941" s="44">
        <f t="shared" si="128"/>
        <v>0</v>
      </c>
      <c r="T941" s="44">
        <f t="shared" si="123"/>
        <v>0</v>
      </c>
      <c r="U941">
        <v>0</v>
      </c>
      <c r="V941" s="43">
        <v>0</v>
      </c>
      <c r="W941" s="44">
        <f t="shared" si="124"/>
        <v>0</v>
      </c>
      <c r="X941" s="44">
        <f t="shared" si="125"/>
        <v>0</v>
      </c>
      <c r="Y941" s="44">
        <f t="shared" si="126"/>
        <v>0</v>
      </c>
      <c r="Z941" s="84"/>
      <c r="AA941" s="78"/>
      <c r="AB941" s="78"/>
      <c r="AC941" s="78"/>
      <c r="AD941" s="78"/>
      <c r="AE941" s="78"/>
    </row>
    <row r="942" spans="1:31" ht="12.75">
      <c r="A942"/>
      <c r="B942"/>
      <c r="C942"/>
      <c r="D942"/>
      <c r="E942"/>
      <c r="F942"/>
      <c r="G942"/>
      <c r="H942"/>
      <c r="I942"/>
      <c r="J942"/>
      <c r="K942" s="100">
        <f t="shared" si="127"/>
        <v>0</v>
      </c>
      <c r="L942" s="95"/>
      <c r="M942" s="90">
        <f t="shared" si="121"/>
        <v>0</v>
      </c>
      <c r="N942" s="56">
        <v>0</v>
      </c>
      <c r="O942" s="44">
        <f t="shared" si="122"/>
        <v>0</v>
      </c>
      <c r="P942" s="44"/>
      <c r="Q942" s="44"/>
      <c r="R942" s="44"/>
      <c r="S942" s="44">
        <f t="shared" si="128"/>
        <v>0</v>
      </c>
      <c r="T942" s="44">
        <f t="shared" si="123"/>
        <v>0</v>
      </c>
      <c r="U942">
        <v>0</v>
      </c>
      <c r="V942" s="43">
        <v>0</v>
      </c>
      <c r="W942" s="44">
        <f t="shared" si="124"/>
        <v>0</v>
      </c>
      <c r="X942" s="44">
        <f t="shared" si="125"/>
        <v>0</v>
      </c>
      <c r="Y942" s="44">
        <f t="shared" si="126"/>
        <v>0</v>
      </c>
      <c r="Z942" s="84"/>
      <c r="AA942" s="78"/>
      <c r="AB942" s="78"/>
      <c r="AC942" s="78"/>
      <c r="AD942" s="78"/>
      <c r="AE942" s="78"/>
    </row>
    <row r="943" spans="1:31" ht="12.75">
      <c r="A943"/>
      <c r="B943"/>
      <c r="C943"/>
      <c r="D943"/>
      <c r="E943"/>
      <c r="F943"/>
      <c r="G943"/>
      <c r="H943"/>
      <c r="I943"/>
      <c r="J943"/>
      <c r="K943" s="100">
        <f t="shared" si="127"/>
        <v>0</v>
      </c>
      <c r="L943" s="95"/>
      <c r="M943" s="90">
        <f t="shared" si="121"/>
        <v>0</v>
      </c>
      <c r="N943" s="56">
        <v>0</v>
      </c>
      <c r="O943" s="44">
        <f t="shared" si="122"/>
        <v>0</v>
      </c>
      <c r="P943" s="44"/>
      <c r="Q943" s="44"/>
      <c r="R943" s="44"/>
      <c r="S943" s="44">
        <f t="shared" si="128"/>
        <v>0</v>
      </c>
      <c r="T943" s="44">
        <f t="shared" si="123"/>
        <v>0</v>
      </c>
      <c r="U943">
        <v>0</v>
      </c>
      <c r="V943" s="43">
        <v>0</v>
      </c>
      <c r="W943" s="44">
        <f t="shared" si="124"/>
        <v>0</v>
      </c>
      <c r="X943" s="44">
        <f t="shared" si="125"/>
        <v>0</v>
      </c>
      <c r="Y943" s="44">
        <f t="shared" si="126"/>
        <v>0</v>
      </c>
      <c r="Z943" s="84"/>
      <c r="AA943" s="78"/>
      <c r="AB943" s="78"/>
      <c r="AC943" s="78"/>
      <c r="AD943" s="78"/>
      <c r="AE943" s="78"/>
    </row>
    <row r="944" spans="1:31" ht="12.75">
      <c r="A944"/>
      <c r="B944"/>
      <c r="C944"/>
      <c r="D944"/>
      <c r="E944"/>
      <c r="F944"/>
      <c r="G944"/>
      <c r="H944"/>
      <c r="I944"/>
      <c r="J944"/>
      <c r="K944" s="100">
        <f t="shared" si="127"/>
        <v>0</v>
      </c>
      <c r="L944" s="95"/>
      <c r="M944" s="90">
        <f t="shared" si="121"/>
        <v>0</v>
      </c>
      <c r="N944" s="56">
        <v>0</v>
      </c>
      <c r="O944" s="44">
        <f t="shared" si="122"/>
        <v>0</v>
      </c>
      <c r="P944" s="44"/>
      <c r="Q944" s="44"/>
      <c r="R944" s="44"/>
      <c r="S944" s="44">
        <f t="shared" si="128"/>
        <v>0</v>
      </c>
      <c r="T944" s="44">
        <f t="shared" si="123"/>
        <v>0</v>
      </c>
      <c r="U944">
        <v>0</v>
      </c>
      <c r="V944" s="43">
        <v>0</v>
      </c>
      <c r="W944" s="44">
        <f t="shared" si="124"/>
        <v>0</v>
      </c>
      <c r="X944" s="44">
        <f t="shared" si="125"/>
        <v>0</v>
      </c>
      <c r="Y944" s="44">
        <f t="shared" si="126"/>
        <v>0</v>
      </c>
      <c r="Z944" s="84"/>
      <c r="AA944" s="78"/>
      <c r="AB944" s="78"/>
      <c r="AC944" s="78"/>
      <c r="AD944" s="78"/>
      <c r="AE944" s="78"/>
    </row>
    <row r="945" spans="1:31" ht="12.75">
      <c r="A945"/>
      <c r="B945"/>
      <c r="C945"/>
      <c r="D945"/>
      <c r="E945"/>
      <c r="F945"/>
      <c r="G945"/>
      <c r="H945"/>
      <c r="I945"/>
      <c r="J945"/>
      <c r="K945" s="100">
        <f t="shared" si="127"/>
        <v>0</v>
      </c>
      <c r="L945" s="95"/>
      <c r="M945" s="90">
        <f t="shared" si="121"/>
        <v>0</v>
      </c>
      <c r="N945" s="56">
        <v>0</v>
      </c>
      <c r="O945" s="44">
        <f t="shared" si="122"/>
        <v>0</v>
      </c>
      <c r="P945" s="44"/>
      <c r="Q945" s="44"/>
      <c r="R945" s="44"/>
      <c r="S945" s="44">
        <f t="shared" si="128"/>
        <v>0</v>
      </c>
      <c r="T945" s="44">
        <f t="shared" si="123"/>
        <v>0</v>
      </c>
      <c r="U945">
        <v>0</v>
      </c>
      <c r="V945" s="43">
        <v>0</v>
      </c>
      <c r="W945" s="44">
        <f t="shared" si="124"/>
        <v>0</v>
      </c>
      <c r="X945" s="44">
        <f t="shared" si="125"/>
        <v>0</v>
      </c>
      <c r="Y945" s="44">
        <f t="shared" si="126"/>
        <v>0</v>
      </c>
      <c r="Z945" s="84"/>
      <c r="AA945" s="78"/>
      <c r="AB945" s="78"/>
      <c r="AC945" s="78"/>
      <c r="AD945" s="78"/>
      <c r="AE945" s="78"/>
    </row>
    <row r="946" spans="1:31" ht="12.75">
      <c r="A946"/>
      <c r="B946"/>
      <c r="C946"/>
      <c r="D946"/>
      <c r="E946"/>
      <c r="F946"/>
      <c r="G946"/>
      <c r="H946"/>
      <c r="I946"/>
      <c r="J946"/>
      <c r="K946" s="100">
        <f t="shared" ref="K946:K961" si="129">+I946*J946</f>
        <v>0</v>
      </c>
      <c r="L946" s="95"/>
      <c r="M946" s="90">
        <f t="shared" si="121"/>
        <v>0</v>
      </c>
      <c r="N946" s="56">
        <v>0</v>
      </c>
      <c r="O946" s="44">
        <f t="shared" si="122"/>
        <v>0</v>
      </c>
      <c r="P946" s="44"/>
      <c r="Q946" s="44"/>
      <c r="R946" s="44"/>
      <c r="S946" s="44">
        <f t="shared" ref="S946:S961" si="130">IF(R946="y",+P946*0.01,0)</f>
        <v>0</v>
      </c>
      <c r="T946" s="44">
        <f t="shared" si="123"/>
        <v>0</v>
      </c>
      <c r="U946">
        <v>0</v>
      </c>
      <c r="V946" s="43">
        <v>0</v>
      </c>
      <c r="W946" s="44">
        <f t="shared" si="124"/>
        <v>0</v>
      </c>
      <c r="X946" s="44">
        <f t="shared" si="125"/>
        <v>0</v>
      </c>
      <c r="Y946" s="44">
        <f t="shared" si="126"/>
        <v>0</v>
      </c>
      <c r="Z946" s="84"/>
      <c r="AA946" s="78"/>
      <c r="AB946" s="78"/>
      <c r="AC946" s="78"/>
      <c r="AD946" s="78"/>
      <c r="AE946" s="78"/>
    </row>
    <row r="947" spans="1:31" ht="12.75">
      <c r="A947"/>
      <c r="B947"/>
      <c r="C947"/>
      <c r="D947"/>
      <c r="E947"/>
      <c r="F947"/>
      <c r="G947"/>
      <c r="H947"/>
      <c r="I947"/>
      <c r="J947"/>
      <c r="K947" s="100">
        <f t="shared" si="129"/>
        <v>0</v>
      </c>
      <c r="L947" s="95"/>
      <c r="M947" s="90">
        <f t="shared" si="121"/>
        <v>0</v>
      </c>
      <c r="N947" s="56">
        <v>0</v>
      </c>
      <c r="O947" s="44">
        <f t="shared" si="122"/>
        <v>0</v>
      </c>
      <c r="P947" s="44"/>
      <c r="Q947" s="44"/>
      <c r="R947" s="44"/>
      <c r="S947" s="44">
        <f t="shared" si="130"/>
        <v>0</v>
      </c>
      <c r="T947" s="44">
        <f t="shared" si="123"/>
        <v>0</v>
      </c>
      <c r="U947">
        <v>0</v>
      </c>
      <c r="V947" s="43">
        <v>0</v>
      </c>
      <c r="W947" s="44">
        <f t="shared" si="124"/>
        <v>0</v>
      </c>
      <c r="X947" s="44">
        <f t="shared" si="125"/>
        <v>0</v>
      </c>
      <c r="Y947" s="44">
        <f t="shared" si="126"/>
        <v>0</v>
      </c>
      <c r="Z947" s="84"/>
      <c r="AA947" s="78"/>
      <c r="AB947" s="78"/>
      <c r="AC947" s="78"/>
      <c r="AD947" s="78"/>
      <c r="AE947" s="78"/>
    </row>
    <row r="948" spans="1:31" ht="12.75">
      <c r="A948"/>
      <c r="B948"/>
      <c r="C948"/>
      <c r="D948"/>
      <c r="E948"/>
      <c r="F948"/>
      <c r="G948"/>
      <c r="H948"/>
      <c r="I948"/>
      <c r="J948"/>
      <c r="K948" s="100">
        <f t="shared" si="129"/>
        <v>0</v>
      </c>
      <c r="L948" s="95"/>
      <c r="M948" s="90">
        <f t="shared" si="121"/>
        <v>0</v>
      </c>
      <c r="N948" s="56">
        <v>0</v>
      </c>
      <c r="O948" s="44">
        <f t="shared" si="122"/>
        <v>0</v>
      </c>
      <c r="P948" s="44"/>
      <c r="Q948" s="44"/>
      <c r="R948" s="44"/>
      <c r="S948" s="44">
        <f t="shared" si="130"/>
        <v>0</v>
      </c>
      <c r="T948" s="44">
        <f t="shared" si="123"/>
        <v>0</v>
      </c>
      <c r="U948">
        <v>0</v>
      </c>
      <c r="V948" s="43">
        <v>0</v>
      </c>
      <c r="W948" s="44">
        <f t="shared" si="124"/>
        <v>0</v>
      </c>
      <c r="X948" s="44">
        <f t="shared" si="125"/>
        <v>0</v>
      </c>
      <c r="Y948" s="44">
        <f t="shared" si="126"/>
        <v>0</v>
      </c>
      <c r="Z948" s="84"/>
      <c r="AA948" s="78"/>
      <c r="AB948" s="78"/>
      <c r="AC948" s="78"/>
      <c r="AD948" s="78"/>
      <c r="AE948" s="78"/>
    </row>
    <row r="949" spans="1:31" ht="12.75">
      <c r="A949"/>
      <c r="B949"/>
      <c r="C949"/>
      <c r="D949"/>
      <c r="E949"/>
      <c r="F949"/>
      <c r="G949"/>
      <c r="H949"/>
      <c r="I949"/>
      <c r="J949"/>
      <c r="K949" s="100">
        <f t="shared" si="129"/>
        <v>0</v>
      </c>
      <c r="L949" s="95"/>
      <c r="M949" s="90">
        <f t="shared" si="121"/>
        <v>0</v>
      </c>
      <c r="N949" s="56">
        <v>0</v>
      </c>
      <c r="O949" s="44">
        <f t="shared" si="122"/>
        <v>0</v>
      </c>
      <c r="P949" s="44"/>
      <c r="Q949" s="44"/>
      <c r="R949" s="44"/>
      <c r="S949" s="44">
        <f t="shared" si="130"/>
        <v>0</v>
      </c>
      <c r="T949" s="44">
        <f t="shared" si="123"/>
        <v>0</v>
      </c>
      <c r="U949">
        <v>0</v>
      </c>
      <c r="V949" s="43">
        <v>0</v>
      </c>
      <c r="W949" s="44">
        <f t="shared" si="124"/>
        <v>0</v>
      </c>
      <c r="X949" s="44">
        <f t="shared" si="125"/>
        <v>0</v>
      </c>
      <c r="Y949" s="44">
        <f t="shared" si="126"/>
        <v>0</v>
      </c>
      <c r="Z949" s="84"/>
      <c r="AA949" s="78"/>
      <c r="AB949" s="78"/>
      <c r="AC949" s="78"/>
      <c r="AD949" s="78"/>
      <c r="AE949" s="78"/>
    </row>
    <row r="950" spans="1:31" ht="12.75">
      <c r="A950"/>
      <c r="B950"/>
      <c r="C950"/>
      <c r="D950"/>
      <c r="E950"/>
      <c r="F950"/>
      <c r="G950"/>
      <c r="H950"/>
      <c r="I950"/>
      <c r="J950"/>
      <c r="K950" s="100">
        <f t="shared" si="129"/>
        <v>0</v>
      </c>
      <c r="L950" s="95"/>
      <c r="M950" s="90">
        <f t="shared" si="121"/>
        <v>0</v>
      </c>
      <c r="N950" s="56">
        <v>0</v>
      </c>
      <c r="O950" s="44">
        <f t="shared" si="122"/>
        <v>0</v>
      </c>
      <c r="P950" s="44"/>
      <c r="Q950" s="44"/>
      <c r="R950" s="44"/>
      <c r="S950" s="44">
        <f t="shared" si="130"/>
        <v>0</v>
      </c>
      <c r="T950" s="44">
        <f t="shared" si="123"/>
        <v>0</v>
      </c>
      <c r="U950">
        <v>0</v>
      </c>
      <c r="V950" s="43">
        <v>0</v>
      </c>
      <c r="W950" s="44">
        <f t="shared" si="124"/>
        <v>0</v>
      </c>
      <c r="X950" s="44">
        <f t="shared" si="125"/>
        <v>0</v>
      </c>
      <c r="Y950" s="44">
        <f t="shared" si="126"/>
        <v>0</v>
      </c>
      <c r="Z950" s="84"/>
      <c r="AA950" s="78"/>
      <c r="AB950" s="78"/>
      <c r="AC950" s="78"/>
      <c r="AD950" s="78"/>
      <c r="AE950" s="78"/>
    </row>
    <row r="951" spans="1:31" ht="12.75">
      <c r="A951"/>
      <c r="B951"/>
      <c r="C951"/>
      <c r="D951"/>
      <c r="E951"/>
      <c r="F951"/>
      <c r="G951"/>
      <c r="H951"/>
      <c r="I951"/>
      <c r="J951"/>
      <c r="K951" s="100">
        <f t="shared" si="129"/>
        <v>0</v>
      </c>
      <c r="L951" s="95"/>
      <c r="M951" s="90">
        <f t="shared" si="121"/>
        <v>0</v>
      </c>
      <c r="N951" s="56">
        <v>0</v>
      </c>
      <c r="O951" s="44">
        <f t="shared" si="122"/>
        <v>0</v>
      </c>
      <c r="P951" s="44"/>
      <c r="Q951" s="44"/>
      <c r="R951" s="44"/>
      <c r="S951" s="44">
        <f t="shared" si="130"/>
        <v>0</v>
      </c>
      <c r="T951" s="44">
        <f t="shared" si="123"/>
        <v>0</v>
      </c>
      <c r="U951">
        <v>0</v>
      </c>
      <c r="V951" s="43">
        <v>0</v>
      </c>
      <c r="W951" s="44">
        <f t="shared" si="124"/>
        <v>0</v>
      </c>
      <c r="X951" s="44">
        <f t="shared" si="125"/>
        <v>0</v>
      </c>
      <c r="Y951" s="44">
        <f t="shared" si="126"/>
        <v>0</v>
      </c>
      <c r="Z951" s="84"/>
      <c r="AA951" s="78"/>
      <c r="AB951" s="78"/>
      <c r="AC951" s="78"/>
      <c r="AD951" s="78"/>
      <c r="AE951" s="78"/>
    </row>
    <row r="952" spans="1:31" ht="12.75">
      <c r="A952"/>
      <c r="B952"/>
      <c r="C952"/>
      <c r="D952"/>
      <c r="E952"/>
      <c r="F952"/>
      <c r="G952"/>
      <c r="H952"/>
      <c r="I952"/>
      <c r="J952"/>
      <c r="K952" s="100">
        <f t="shared" si="129"/>
        <v>0</v>
      </c>
      <c r="L952" s="95"/>
      <c r="M952" s="90">
        <f t="shared" si="121"/>
        <v>0</v>
      </c>
      <c r="N952" s="56">
        <v>0</v>
      </c>
      <c r="O952" s="44">
        <f t="shared" si="122"/>
        <v>0</v>
      </c>
      <c r="P952" s="44"/>
      <c r="Q952" s="44"/>
      <c r="R952" s="44"/>
      <c r="S952" s="44">
        <f t="shared" si="130"/>
        <v>0</v>
      </c>
      <c r="T952" s="44">
        <f t="shared" si="123"/>
        <v>0</v>
      </c>
      <c r="U952">
        <v>0</v>
      </c>
      <c r="V952" s="43">
        <v>0</v>
      </c>
      <c r="W952" s="44">
        <f t="shared" si="124"/>
        <v>0</v>
      </c>
      <c r="X952" s="44">
        <f t="shared" si="125"/>
        <v>0</v>
      </c>
      <c r="Y952" s="44">
        <f t="shared" si="126"/>
        <v>0</v>
      </c>
      <c r="Z952" s="84"/>
      <c r="AA952" s="78"/>
      <c r="AB952" s="78"/>
      <c r="AC952" s="78"/>
      <c r="AD952" s="78"/>
      <c r="AE952" s="78"/>
    </row>
    <row r="953" spans="1:31" ht="12.75">
      <c r="A953"/>
      <c r="B953"/>
      <c r="C953"/>
      <c r="D953"/>
      <c r="E953"/>
      <c r="F953"/>
      <c r="G953"/>
      <c r="H953"/>
      <c r="I953"/>
      <c r="J953"/>
      <c r="K953" s="100">
        <f t="shared" si="129"/>
        <v>0</v>
      </c>
      <c r="L953" s="95"/>
      <c r="M953" s="90">
        <f t="shared" si="121"/>
        <v>0</v>
      </c>
      <c r="N953" s="56">
        <v>0</v>
      </c>
      <c r="O953" s="44">
        <f t="shared" si="122"/>
        <v>0</v>
      </c>
      <c r="P953" s="44"/>
      <c r="Q953" s="44"/>
      <c r="R953" s="44"/>
      <c r="S953" s="44">
        <f t="shared" si="130"/>
        <v>0</v>
      </c>
      <c r="T953" s="44">
        <f t="shared" si="123"/>
        <v>0</v>
      </c>
      <c r="U953">
        <v>0</v>
      </c>
      <c r="V953" s="43">
        <v>0</v>
      </c>
      <c r="W953" s="44">
        <f t="shared" si="124"/>
        <v>0</v>
      </c>
      <c r="X953" s="44">
        <f t="shared" si="125"/>
        <v>0</v>
      </c>
      <c r="Y953" s="44">
        <f t="shared" si="126"/>
        <v>0</v>
      </c>
      <c r="Z953" s="84"/>
      <c r="AA953" s="78"/>
      <c r="AB953" s="78"/>
      <c r="AC953" s="78"/>
      <c r="AD953" s="78"/>
      <c r="AE953" s="78"/>
    </row>
    <row r="954" spans="1:31" ht="12.75">
      <c r="A954"/>
      <c r="B954"/>
      <c r="C954"/>
      <c r="D954"/>
      <c r="E954"/>
      <c r="F954"/>
      <c r="G954"/>
      <c r="H954"/>
      <c r="I954"/>
      <c r="J954"/>
      <c r="K954" s="100">
        <f t="shared" si="129"/>
        <v>0</v>
      </c>
      <c r="L954" s="95"/>
      <c r="M954" s="90">
        <f t="shared" si="121"/>
        <v>0</v>
      </c>
      <c r="N954" s="56">
        <v>0</v>
      </c>
      <c r="O954" s="44">
        <f t="shared" si="122"/>
        <v>0</v>
      </c>
      <c r="P954" s="44"/>
      <c r="Q954" s="44"/>
      <c r="R954" s="44"/>
      <c r="S954" s="44">
        <f t="shared" si="130"/>
        <v>0</v>
      </c>
      <c r="T954" s="44">
        <f t="shared" si="123"/>
        <v>0</v>
      </c>
      <c r="U954">
        <v>0</v>
      </c>
      <c r="V954" s="43">
        <v>0</v>
      </c>
      <c r="W954" s="44">
        <f t="shared" si="124"/>
        <v>0</v>
      </c>
      <c r="X954" s="44">
        <f t="shared" si="125"/>
        <v>0</v>
      </c>
      <c r="Y954" s="44">
        <f t="shared" si="126"/>
        <v>0</v>
      </c>
      <c r="Z954" s="84"/>
      <c r="AA954" s="78"/>
      <c r="AB954" s="78"/>
      <c r="AC954" s="78"/>
      <c r="AD954" s="78"/>
      <c r="AE954" s="78"/>
    </row>
    <row r="955" spans="1:31" ht="12.75">
      <c r="A955"/>
      <c r="B955"/>
      <c r="C955"/>
      <c r="D955"/>
      <c r="E955"/>
      <c r="F955"/>
      <c r="G955"/>
      <c r="H955"/>
      <c r="I955"/>
      <c r="J955"/>
      <c r="K955" s="100">
        <f t="shared" si="129"/>
        <v>0</v>
      </c>
      <c r="L955" s="95"/>
      <c r="M955" s="90">
        <f t="shared" si="121"/>
        <v>0</v>
      </c>
      <c r="N955" s="56">
        <v>0</v>
      </c>
      <c r="O955" s="44">
        <f t="shared" si="122"/>
        <v>0</v>
      </c>
      <c r="P955" s="44"/>
      <c r="Q955" s="44"/>
      <c r="R955" s="44"/>
      <c r="S955" s="44">
        <f t="shared" si="130"/>
        <v>0</v>
      </c>
      <c r="T955" s="44">
        <f t="shared" si="123"/>
        <v>0</v>
      </c>
      <c r="U955">
        <v>0</v>
      </c>
      <c r="V955" s="43">
        <v>0</v>
      </c>
      <c r="W955" s="44">
        <f t="shared" si="124"/>
        <v>0</v>
      </c>
      <c r="X955" s="44">
        <f t="shared" si="125"/>
        <v>0</v>
      </c>
      <c r="Y955" s="44">
        <f t="shared" si="126"/>
        <v>0</v>
      </c>
      <c r="Z955" s="84"/>
      <c r="AA955" s="78"/>
      <c r="AB955" s="78"/>
      <c r="AC955" s="78"/>
      <c r="AD955" s="78"/>
      <c r="AE955" s="78"/>
    </row>
    <row r="956" spans="1:31" ht="12.75">
      <c r="A956"/>
      <c r="B956"/>
      <c r="C956"/>
      <c r="D956"/>
      <c r="E956"/>
      <c r="F956"/>
      <c r="G956"/>
      <c r="H956"/>
      <c r="I956"/>
      <c r="J956"/>
      <c r="K956" s="100">
        <f t="shared" si="129"/>
        <v>0</v>
      </c>
      <c r="L956" s="95"/>
      <c r="M956" s="90">
        <f t="shared" si="121"/>
        <v>0</v>
      </c>
      <c r="N956" s="56">
        <v>0</v>
      </c>
      <c r="O956" s="44">
        <f t="shared" si="122"/>
        <v>0</v>
      </c>
      <c r="P956" s="44"/>
      <c r="Q956" s="44"/>
      <c r="R956" s="44"/>
      <c r="S956" s="44">
        <f t="shared" si="130"/>
        <v>0</v>
      </c>
      <c r="T956" s="44">
        <f t="shared" si="123"/>
        <v>0</v>
      </c>
      <c r="U956">
        <v>0</v>
      </c>
      <c r="V956" s="43">
        <v>0</v>
      </c>
      <c r="W956" s="44">
        <f t="shared" si="124"/>
        <v>0</v>
      </c>
      <c r="X956" s="44">
        <f t="shared" si="125"/>
        <v>0</v>
      </c>
      <c r="Y956" s="44">
        <f t="shared" si="126"/>
        <v>0</v>
      </c>
      <c r="Z956" s="84"/>
      <c r="AA956" s="78"/>
      <c r="AB956" s="78"/>
      <c r="AC956" s="78"/>
      <c r="AD956" s="78"/>
      <c r="AE956" s="78"/>
    </row>
    <row r="957" spans="1:31" ht="12.75">
      <c r="A957"/>
      <c r="B957"/>
      <c r="C957"/>
      <c r="D957"/>
      <c r="E957"/>
      <c r="F957"/>
      <c r="G957"/>
      <c r="H957"/>
      <c r="I957"/>
      <c r="J957"/>
      <c r="K957" s="100">
        <f t="shared" si="129"/>
        <v>0</v>
      </c>
      <c r="L957" s="95"/>
      <c r="M957" s="90">
        <f t="shared" si="121"/>
        <v>0</v>
      </c>
      <c r="N957" s="56">
        <v>0</v>
      </c>
      <c r="O957" s="44">
        <f t="shared" si="122"/>
        <v>0</v>
      </c>
      <c r="P957" s="44"/>
      <c r="Q957" s="44"/>
      <c r="R957" s="44"/>
      <c r="S957" s="44">
        <f t="shared" si="130"/>
        <v>0</v>
      </c>
      <c r="T957" s="44">
        <f t="shared" si="123"/>
        <v>0</v>
      </c>
      <c r="U957">
        <v>0</v>
      </c>
      <c r="V957" s="43">
        <v>0</v>
      </c>
      <c r="W957" s="44">
        <f t="shared" si="124"/>
        <v>0</v>
      </c>
      <c r="X957" s="44">
        <f t="shared" si="125"/>
        <v>0</v>
      </c>
      <c r="Y957" s="44">
        <f t="shared" si="126"/>
        <v>0</v>
      </c>
      <c r="Z957" s="84"/>
      <c r="AA957" s="78"/>
      <c r="AB957" s="78"/>
      <c r="AC957" s="78"/>
      <c r="AD957" s="78"/>
      <c r="AE957" s="78"/>
    </row>
    <row r="958" spans="1:31" ht="12.75">
      <c r="A958"/>
      <c r="B958"/>
      <c r="C958"/>
      <c r="D958"/>
      <c r="E958"/>
      <c r="F958"/>
      <c r="G958"/>
      <c r="H958"/>
      <c r="I958"/>
      <c r="J958"/>
      <c r="K958" s="100">
        <f t="shared" si="129"/>
        <v>0</v>
      </c>
      <c r="L958" s="95"/>
      <c r="M958" s="90">
        <f t="shared" si="121"/>
        <v>0</v>
      </c>
      <c r="N958" s="56">
        <v>0</v>
      </c>
      <c r="O958" s="44">
        <f t="shared" si="122"/>
        <v>0</v>
      </c>
      <c r="P958" s="44"/>
      <c r="Q958" s="44"/>
      <c r="R958" s="44"/>
      <c r="S958" s="44">
        <f t="shared" si="130"/>
        <v>0</v>
      </c>
      <c r="T958" s="44">
        <f t="shared" si="123"/>
        <v>0</v>
      </c>
      <c r="U958">
        <v>0</v>
      </c>
      <c r="V958" s="43">
        <v>0</v>
      </c>
      <c r="W958" s="44">
        <f t="shared" si="124"/>
        <v>0</v>
      </c>
      <c r="X958" s="44">
        <f t="shared" si="125"/>
        <v>0</v>
      </c>
      <c r="Y958" s="44">
        <f t="shared" si="126"/>
        <v>0</v>
      </c>
      <c r="Z958" s="84"/>
      <c r="AA958" s="78"/>
      <c r="AB958" s="78"/>
      <c r="AC958" s="78"/>
      <c r="AD958" s="78"/>
      <c r="AE958" s="78"/>
    </row>
    <row r="959" spans="1:31" ht="12.75">
      <c r="A959"/>
      <c r="B959"/>
      <c r="C959"/>
      <c r="D959"/>
      <c r="E959"/>
      <c r="F959"/>
      <c r="G959"/>
      <c r="H959"/>
      <c r="I959"/>
      <c r="J959"/>
      <c r="K959" s="100">
        <f t="shared" si="129"/>
        <v>0</v>
      </c>
      <c r="L959" s="95"/>
      <c r="M959" s="90">
        <f t="shared" si="121"/>
        <v>0</v>
      </c>
      <c r="N959" s="56">
        <v>0</v>
      </c>
      <c r="O959" s="44">
        <f t="shared" si="122"/>
        <v>0</v>
      </c>
      <c r="P959" s="44"/>
      <c r="Q959" s="44"/>
      <c r="R959" s="44"/>
      <c r="S959" s="44">
        <f t="shared" si="130"/>
        <v>0</v>
      </c>
      <c r="T959" s="44">
        <f t="shared" si="123"/>
        <v>0</v>
      </c>
      <c r="U959">
        <v>0</v>
      </c>
      <c r="V959" s="43">
        <v>0</v>
      </c>
      <c r="W959" s="44">
        <f t="shared" si="124"/>
        <v>0</v>
      </c>
      <c r="X959" s="44">
        <f t="shared" si="125"/>
        <v>0</v>
      </c>
      <c r="Y959" s="44">
        <f t="shared" si="126"/>
        <v>0</v>
      </c>
      <c r="Z959" s="84"/>
      <c r="AA959" s="78"/>
      <c r="AB959" s="78"/>
      <c r="AC959" s="78"/>
      <c r="AD959" s="78"/>
      <c r="AE959" s="78"/>
    </row>
    <row r="960" spans="1:31" ht="12.75">
      <c r="A960"/>
      <c r="B960"/>
      <c r="C960"/>
      <c r="D960"/>
      <c r="E960"/>
      <c r="F960"/>
      <c r="G960"/>
      <c r="H960"/>
      <c r="I960"/>
      <c r="J960"/>
      <c r="K960" s="100">
        <f t="shared" si="129"/>
        <v>0</v>
      </c>
      <c r="L960" s="95"/>
      <c r="M960" s="90">
        <f t="shared" si="121"/>
        <v>0</v>
      </c>
      <c r="N960" s="56">
        <v>0</v>
      </c>
      <c r="O960" s="44">
        <f t="shared" si="122"/>
        <v>0</v>
      </c>
      <c r="P960" s="44"/>
      <c r="Q960" s="44"/>
      <c r="R960" s="44"/>
      <c r="S960" s="44">
        <f t="shared" si="130"/>
        <v>0</v>
      </c>
      <c r="T960" s="44">
        <f t="shared" si="123"/>
        <v>0</v>
      </c>
      <c r="U960">
        <v>0</v>
      </c>
      <c r="V960" s="43">
        <v>0</v>
      </c>
      <c r="W960" s="44">
        <f t="shared" si="124"/>
        <v>0</v>
      </c>
      <c r="X960" s="44">
        <f t="shared" si="125"/>
        <v>0</v>
      </c>
      <c r="Y960" s="44">
        <f t="shared" si="126"/>
        <v>0</v>
      </c>
      <c r="Z960" s="84"/>
      <c r="AA960" s="78"/>
      <c r="AB960" s="78"/>
      <c r="AC960" s="78"/>
      <c r="AD960" s="78"/>
      <c r="AE960" s="78"/>
    </row>
    <row r="961" spans="1:31" ht="12.75">
      <c r="A961"/>
      <c r="B961"/>
      <c r="C961"/>
      <c r="D961"/>
      <c r="E961"/>
      <c r="F961"/>
      <c r="G961"/>
      <c r="H961"/>
      <c r="I961"/>
      <c r="J961"/>
      <c r="K961" s="100">
        <f t="shared" si="129"/>
        <v>0</v>
      </c>
      <c r="L961" s="95"/>
      <c r="M961" s="90">
        <f t="shared" si="121"/>
        <v>0</v>
      </c>
      <c r="N961" s="56">
        <v>0</v>
      </c>
      <c r="O961" s="44">
        <f t="shared" si="122"/>
        <v>0</v>
      </c>
      <c r="P961" s="44"/>
      <c r="Q961" s="44"/>
      <c r="R961" s="44"/>
      <c r="S961" s="44">
        <f t="shared" si="130"/>
        <v>0</v>
      </c>
      <c r="T961" s="44">
        <f t="shared" si="123"/>
        <v>0</v>
      </c>
      <c r="U961">
        <v>0</v>
      </c>
      <c r="V961" s="43">
        <v>0</v>
      </c>
      <c r="W961" s="44">
        <f t="shared" si="124"/>
        <v>0</v>
      </c>
      <c r="X961" s="44">
        <f t="shared" si="125"/>
        <v>0</v>
      </c>
      <c r="Y961" s="44">
        <f t="shared" si="126"/>
        <v>0</v>
      </c>
      <c r="Z961" s="84"/>
      <c r="AA961" s="78"/>
      <c r="AB961" s="78"/>
      <c r="AC961" s="78"/>
      <c r="AD961" s="78"/>
      <c r="AE961" s="78"/>
    </row>
    <row r="962" spans="1:31" ht="12.75">
      <c r="A962"/>
      <c r="B962"/>
      <c r="C962"/>
      <c r="D962"/>
      <c r="E962"/>
      <c r="F962"/>
      <c r="G962"/>
      <c r="H962"/>
      <c r="I962"/>
      <c r="J962"/>
      <c r="K962" s="100">
        <f t="shared" ref="K962:K993" si="131">+I962*J962</f>
        <v>0</v>
      </c>
      <c r="L962" s="95"/>
      <c r="M962" s="90">
        <f t="shared" si="121"/>
        <v>0</v>
      </c>
      <c r="N962" s="56">
        <v>0</v>
      </c>
      <c r="O962" s="44">
        <f t="shared" si="122"/>
        <v>0</v>
      </c>
      <c r="P962" s="44"/>
      <c r="Q962" s="44"/>
      <c r="R962" s="44"/>
      <c r="S962" s="44">
        <f>IF(R962="y",+P962*0.01,0)</f>
        <v>0</v>
      </c>
      <c r="T962" s="44">
        <f t="shared" si="123"/>
        <v>0</v>
      </c>
      <c r="U962">
        <v>0</v>
      </c>
      <c r="V962" s="43">
        <v>0</v>
      </c>
      <c r="W962" s="44">
        <f t="shared" si="124"/>
        <v>0</v>
      </c>
      <c r="X962" s="44">
        <f t="shared" si="125"/>
        <v>0</v>
      </c>
      <c r="Y962" s="44">
        <f t="shared" si="126"/>
        <v>0</v>
      </c>
      <c r="Z962" s="84"/>
      <c r="AA962" s="78"/>
      <c r="AB962" s="78"/>
      <c r="AC962" s="78"/>
      <c r="AD962" s="78"/>
      <c r="AE962" s="78"/>
    </row>
    <row r="963" spans="1:31" ht="12.75">
      <c r="A963"/>
      <c r="B963"/>
      <c r="C963"/>
      <c r="D963"/>
      <c r="E963"/>
      <c r="F963"/>
      <c r="G963"/>
      <c r="H963"/>
      <c r="I963"/>
      <c r="J963"/>
      <c r="K963" s="100">
        <f t="shared" si="131"/>
        <v>0</v>
      </c>
      <c r="L963" s="95"/>
      <c r="M963" s="90">
        <f t="shared" si="121"/>
        <v>0</v>
      </c>
      <c r="N963" s="56">
        <v>0</v>
      </c>
      <c r="O963" s="44">
        <f t="shared" si="122"/>
        <v>0</v>
      </c>
      <c r="P963" s="44"/>
      <c r="Q963" s="44"/>
      <c r="R963" s="44"/>
      <c r="S963" s="44">
        <f t="shared" ref="S963:S1018" si="132">IF(R963="y",+P963*0.01,0)</f>
        <v>0</v>
      </c>
      <c r="T963" s="44">
        <f t="shared" si="123"/>
        <v>0</v>
      </c>
      <c r="U963">
        <v>0</v>
      </c>
      <c r="V963" s="43"/>
      <c r="W963" s="44">
        <f t="shared" si="124"/>
        <v>0</v>
      </c>
      <c r="X963" s="44">
        <f t="shared" si="125"/>
        <v>0</v>
      </c>
      <c r="Y963" s="44">
        <f t="shared" si="126"/>
        <v>0</v>
      </c>
      <c r="Z963" s="84"/>
      <c r="AA963" s="78"/>
      <c r="AB963" s="78"/>
      <c r="AC963" s="78"/>
      <c r="AD963" s="78"/>
      <c r="AE963" s="78"/>
    </row>
    <row r="964" spans="1:31" ht="12.75">
      <c r="A964"/>
      <c r="B964"/>
      <c r="C964"/>
      <c r="D964"/>
      <c r="E964"/>
      <c r="F964"/>
      <c r="G964"/>
      <c r="H964"/>
      <c r="I964"/>
      <c r="J964"/>
      <c r="K964" s="100">
        <f t="shared" si="131"/>
        <v>0</v>
      </c>
      <c r="L964" s="95"/>
      <c r="M964" s="90">
        <f t="shared" si="121"/>
        <v>0</v>
      </c>
      <c r="N964" s="56">
        <v>0</v>
      </c>
      <c r="O964" s="44">
        <f t="shared" si="122"/>
        <v>0</v>
      </c>
      <c r="P964" s="44"/>
      <c r="Q964" s="44"/>
      <c r="R964" s="44"/>
      <c r="S964" s="44">
        <f t="shared" si="132"/>
        <v>0</v>
      </c>
      <c r="T964" s="44">
        <f t="shared" si="123"/>
        <v>0</v>
      </c>
      <c r="U964">
        <v>0</v>
      </c>
      <c r="V964" s="43"/>
      <c r="W964" s="44">
        <f t="shared" si="124"/>
        <v>0</v>
      </c>
      <c r="X964" s="44">
        <f t="shared" si="125"/>
        <v>0</v>
      </c>
      <c r="Y964" s="44">
        <f t="shared" si="126"/>
        <v>0</v>
      </c>
      <c r="Z964" s="84"/>
      <c r="AA964" s="78"/>
      <c r="AB964" s="78"/>
      <c r="AC964" s="78"/>
      <c r="AD964" s="78"/>
      <c r="AE964" s="78"/>
    </row>
    <row r="965" spans="1:31" ht="12.75">
      <c r="A965"/>
      <c r="B965"/>
      <c r="C965"/>
      <c r="D965"/>
      <c r="E965"/>
      <c r="F965"/>
      <c r="G965"/>
      <c r="H965"/>
      <c r="I965"/>
      <c r="J965"/>
      <c r="K965" s="100">
        <f t="shared" si="131"/>
        <v>0</v>
      </c>
      <c r="L965" s="95"/>
      <c r="M965" s="90">
        <f t="shared" si="121"/>
        <v>0</v>
      </c>
      <c r="N965" s="56">
        <v>0</v>
      </c>
      <c r="O965" s="44">
        <f t="shared" si="122"/>
        <v>0</v>
      </c>
      <c r="P965" s="44"/>
      <c r="Q965" s="44"/>
      <c r="R965" s="44"/>
      <c r="S965" s="44">
        <f t="shared" si="132"/>
        <v>0</v>
      </c>
      <c r="T965" s="44">
        <f t="shared" si="123"/>
        <v>0</v>
      </c>
      <c r="U965">
        <v>0</v>
      </c>
      <c r="V965" s="43"/>
      <c r="W965" s="44">
        <f t="shared" si="124"/>
        <v>0</v>
      </c>
      <c r="X965" s="44">
        <f t="shared" si="125"/>
        <v>0</v>
      </c>
      <c r="Y965" s="44">
        <f t="shared" si="126"/>
        <v>0</v>
      </c>
      <c r="Z965" s="84"/>
      <c r="AA965" s="78"/>
      <c r="AB965" s="78"/>
      <c r="AC965" s="78"/>
      <c r="AD965" s="78"/>
      <c r="AE965" s="78"/>
    </row>
    <row r="966" spans="1:31" ht="12.75">
      <c r="A966"/>
      <c r="B966"/>
      <c r="C966"/>
      <c r="D966"/>
      <c r="E966"/>
      <c r="F966"/>
      <c r="G966"/>
      <c r="H966"/>
      <c r="I966"/>
      <c r="J966"/>
      <c r="K966" s="100">
        <f t="shared" si="131"/>
        <v>0</v>
      </c>
      <c r="L966" s="95"/>
      <c r="M966" s="90">
        <f t="shared" si="121"/>
        <v>0</v>
      </c>
      <c r="N966" s="56">
        <v>0</v>
      </c>
      <c r="O966" s="44">
        <f t="shared" si="122"/>
        <v>0</v>
      </c>
      <c r="P966" s="44"/>
      <c r="Q966" s="44"/>
      <c r="R966" s="44"/>
      <c r="S966" s="44">
        <f t="shared" si="132"/>
        <v>0</v>
      </c>
      <c r="T966" s="44">
        <f t="shared" si="123"/>
        <v>0</v>
      </c>
      <c r="U966">
        <v>0</v>
      </c>
      <c r="V966" s="43"/>
      <c r="W966" s="44">
        <f t="shared" si="124"/>
        <v>0</v>
      </c>
      <c r="X966" s="44">
        <f t="shared" si="125"/>
        <v>0</v>
      </c>
      <c r="Y966" s="44">
        <f t="shared" si="126"/>
        <v>0</v>
      </c>
      <c r="Z966" s="84"/>
      <c r="AA966" s="78"/>
      <c r="AB966" s="78"/>
      <c r="AC966" s="78"/>
      <c r="AD966" s="78"/>
      <c r="AE966" s="78"/>
    </row>
    <row r="967" spans="1:31" ht="12.75">
      <c r="A967"/>
      <c r="B967"/>
      <c r="C967"/>
      <c r="D967"/>
      <c r="E967"/>
      <c r="F967"/>
      <c r="G967"/>
      <c r="H967"/>
      <c r="I967"/>
      <c r="J967"/>
      <c r="K967" s="100">
        <f t="shared" si="131"/>
        <v>0</v>
      </c>
      <c r="L967" s="95"/>
      <c r="M967" s="90">
        <f t="shared" si="121"/>
        <v>0</v>
      </c>
      <c r="N967" s="56">
        <v>0</v>
      </c>
      <c r="O967" s="44">
        <f t="shared" si="122"/>
        <v>0</v>
      </c>
      <c r="P967" s="44"/>
      <c r="Q967" s="44"/>
      <c r="R967" s="44"/>
      <c r="S967" s="44">
        <f t="shared" si="132"/>
        <v>0</v>
      </c>
      <c r="T967" s="44">
        <f t="shared" si="123"/>
        <v>0</v>
      </c>
      <c r="U967">
        <v>0</v>
      </c>
      <c r="V967" s="43"/>
      <c r="W967" s="44">
        <f t="shared" si="124"/>
        <v>0</v>
      </c>
      <c r="X967" s="44">
        <f t="shared" si="125"/>
        <v>0</v>
      </c>
      <c r="Y967" s="44">
        <f t="shared" si="126"/>
        <v>0</v>
      </c>
      <c r="Z967" s="84"/>
      <c r="AA967" s="78"/>
      <c r="AB967" s="78"/>
      <c r="AC967" s="78"/>
      <c r="AD967" s="78"/>
      <c r="AE967" s="78"/>
    </row>
    <row r="968" spans="1:31" ht="12.75">
      <c r="A968"/>
      <c r="B968"/>
      <c r="C968"/>
      <c r="D968"/>
      <c r="E968"/>
      <c r="F968"/>
      <c r="G968"/>
      <c r="H968"/>
      <c r="I968"/>
      <c r="J968"/>
      <c r="K968" s="100">
        <f t="shared" si="131"/>
        <v>0</v>
      </c>
      <c r="L968" s="95"/>
      <c r="M968" s="90">
        <f t="shared" ref="M968:M1031" si="133">ROUND(K968*L968,2)</f>
        <v>0</v>
      </c>
      <c r="N968" s="56">
        <v>0</v>
      </c>
      <c r="O968" s="44">
        <f t="shared" ref="O968:O1031" si="134">+M968-(M968*N968)</f>
        <v>0</v>
      </c>
      <c r="P968" s="44"/>
      <c r="Q968" s="44"/>
      <c r="R968" s="44"/>
      <c r="S968" s="44">
        <f t="shared" si="132"/>
        <v>0</v>
      </c>
      <c r="T968" s="44">
        <f t="shared" ref="T968:T1031" si="135">+O968+P968+Q968+R968</f>
        <v>0</v>
      </c>
      <c r="U968">
        <v>0</v>
      </c>
      <c r="V968" s="43"/>
      <c r="W968" s="44">
        <f t="shared" ref="W968:W1031" si="136">+O968-U968-V968-Z968</f>
        <v>0</v>
      </c>
      <c r="X968" s="44">
        <f t="shared" ref="X968:X1031" si="137">(+O968-U968-Z968)*$X$1</f>
        <v>0</v>
      </c>
      <c r="Y968" s="44">
        <f t="shared" ref="Y968:Y1031" si="138">+W968-X968</f>
        <v>0</v>
      </c>
      <c r="Z968" s="84"/>
      <c r="AA968" s="78"/>
      <c r="AB968" s="78"/>
      <c r="AC968" s="78"/>
      <c r="AD968" s="78"/>
      <c r="AE968" s="78"/>
    </row>
    <row r="969" spans="1:31" ht="12.75">
      <c r="A969"/>
      <c r="B969"/>
      <c r="C969"/>
      <c r="D969"/>
      <c r="E969"/>
      <c r="F969"/>
      <c r="G969"/>
      <c r="H969"/>
      <c r="I969"/>
      <c r="J969"/>
      <c r="K969" s="100">
        <f t="shared" si="131"/>
        <v>0</v>
      </c>
      <c r="L969" s="95"/>
      <c r="M969" s="90">
        <f t="shared" si="133"/>
        <v>0</v>
      </c>
      <c r="N969" s="56">
        <v>0</v>
      </c>
      <c r="O969" s="44">
        <f t="shared" si="134"/>
        <v>0</v>
      </c>
      <c r="P969" s="44"/>
      <c r="Q969" s="44"/>
      <c r="R969" s="44"/>
      <c r="S969" s="44">
        <f t="shared" si="132"/>
        <v>0</v>
      </c>
      <c r="T969" s="44">
        <f t="shared" si="135"/>
        <v>0</v>
      </c>
      <c r="U969">
        <v>0</v>
      </c>
      <c r="V969" s="43"/>
      <c r="W969" s="44">
        <f t="shared" si="136"/>
        <v>0</v>
      </c>
      <c r="X969" s="44">
        <f t="shared" si="137"/>
        <v>0</v>
      </c>
      <c r="Y969" s="44">
        <f t="shared" si="138"/>
        <v>0</v>
      </c>
      <c r="Z969" s="84"/>
      <c r="AA969" s="78"/>
      <c r="AB969" s="78"/>
      <c r="AC969" s="78"/>
      <c r="AD969" s="78"/>
      <c r="AE969" s="78"/>
    </row>
    <row r="970" spans="1:31" ht="12.75">
      <c r="A970"/>
      <c r="B970"/>
      <c r="C970"/>
      <c r="D970"/>
      <c r="E970"/>
      <c r="F970"/>
      <c r="G970"/>
      <c r="H970"/>
      <c r="I970"/>
      <c r="J970"/>
      <c r="K970" s="100">
        <f t="shared" si="131"/>
        <v>0</v>
      </c>
      <c r="L970" s="95"/>
      <c r="M970" s="90">
        <f t="shared" si="133"/>
        <v>0</v>
      </c>
      <c r="N970" s="56">
        <v>0</v>
      </c>
      <c r="O970" s="44">
        <f t="shared" si="134"/>
        <v>0</v>
      </c>
      <c r="P970" s="44"/>
      <c r="Q970" s="44"/>
      <c r="R970" s="44"/>
      <c r="S970" s="44">
        <f t="shared" si="132"/>
        <v>0</v>
      </c>
      <c r="T970" s="44">
        <f t="shared" si="135"/>
        <v>0</v>
      </c>
      <c r="U970">
        <v>0</v>
      </c>
      <c r="V970" s="43"/>
      <c r="W970" s="44">
        <f t="shared" si="136"/>
        <v>0</v>
      </c>
      <c r="X970" s="44">
        <f t="shared" si="137"/>
        <v>0</v>
      </c>
      <c r="Y970" s="44">
        <f t="shared" si="138"/>
        <v>0</v>
      </c>
      <c r="Z970" s="84"/>
      <c r="AA970" s="78"/>
      <c r="AB970" s="78"/>
      <c r="AC970" s="78"/>
      <c r="AD970" s="78"/>
      <c r="AE970" s="78"/>
    </row>
    <row r="971" spans="1:31" ht="12.75">
      <c r="A971"/>
      <c r="B971"/>
      <c r="C971"/>
      <c r="D971"/>
      <c r="E971"/>
      <c r="F971"/>
      <c r="G971"/>
      <c r="H971"/>
      <c r="I971"/>
      <c r="J971"/>
      <c r="K971" s="100">
        <f t="shared" si="131"/>
        <v>0</v>
      </c>
      <c r="L971" s="95"/>
      <c r="M971" s="90">
        <f t="shared" si="133"/>
        <v>0</v>
      </c>
      <c r="N971" s="56">
        <v>0</v>
      </c>
      <c r="O971" s="44">
        <f t="shared" si="134"/>
        <v>0</v>
      </c>
      <c r="P971" s="44"/>
      <c r="Q971" s="44"/>
      <c r="R971" s="44"/>
      <c r="S971" s="44">
        <f t="shared" si="132"/>
        <v>0</v>
      </c>
      <c r="T971" s="44">
        <f t="shared" si="135"/>
        <v>0</v>
      </c>
      <c r="U971">
        <v>0</v>
      </c>
      <c r="V971" s="43"/>
      <c r="W971" s="44">
        <f t="shared" si="136"/>
        <v>0</v>
      </c>
      <c r="X971" s="44">
        <f t="shared" si="137"/>
        <v>0</v>
      </c>
      <c r="Y971" s="44">
        <f t="shared" si="138"/>
        <v>0</v>
      </c>
      <c r="Z971" s="84"/>
      <c r="AA971" s="78"/>
      <c r="AB971" s="78"/>
      <c r="AC971" s="78"/>
      <c r="AD971" s="78"/>
      <c r="AE971" s="78"/>
    </row>
    <row r="972" spans="1:31" ht="12.75">
      <c r="A972"/>
      <c r="B972"/>
      <c r="C972"/>
      <c r="D972"/>
      <c r="E972"/>
      <c r="F972"/>
      <c r="G972"/>
      <c r="H972"/>
      <c r="I972"/>
      <c r="J972"/>
      <c r="K972" s="100">
        <f t="shared" si="131"/>
        <v>0</v>
      </c>
      <c r="L972" s="95"/>
      <c r="M972" s="90">
        <f t="shared" si="133"/>
        <v>0</v>
      </c>
      <c r="N972" s="56">
        <v>0</v>
      </c>
      <c r="O972" s="44">
        <f t="shared" si="134"/>
        <v>0</v>
      </c>
      <c r="P972" s="44"/>
      <c r="Q972" s="44"/>
      <c r="R972" s="44"/>
      <c r="S972" s="44">
        <f t="shared" si="132"/>
        <v>0</v>
      </c>
      <c r="T972" s="44">
        <f t="shared" si="135"/>
        <v>0</v>
      </c>
      <c r="U972">
        <v>0</v>
      </c>
      <c r="V972" s="43"/>
      <c r="W972" s="44">
        <f t="shared" si="136"/>
        <v>0</v>
      </c>
      <c r="X972" s="44">
        <f t="shared" si="137"/>
        <v>0</v>
      </c>
      <c r="Y972" s="44">
        <f t="shared" si="138"/>
        <v>0</v>
      </c>
      <c r="Z972" s="84"/>
      <c r="AA972" s="78"/>
      <c r="AB972" s="78"/>
      <c r="AC972" s="78"/>
      <c r="AD972" s="78"/>
      <c r="AE972" s="78"/>
    </row>
    <row r="973" spans="1:31" ht="12.75">
      <c r="A973"/>
      <c r="B973"/>
      <c r="C973"/>
      <c r="D973"/>
      <c r="E973"/>
      <c r="F973"/>
      <c r="G973"/>
      <c r="H973"/>
      <c r="I973"/>
      <c r="J973"/>
      <c r="K973" s="100">
        <f t="shared" si="131"/>
        <v>0</v>
      </c>
      <c r="L973" s="95"/>
      <c r="M973" s="90">
        <f t="shared" si="133"/>
        <v>0</v>
      </c>
      <c r="N973" s="56">
        <v>0</v>
      </c>
      <c r="O973" s="44">
        <f t="shared" si="134"/>
        <v>0</v>
      </c>
      <c r="P973" s="44"/>
      <c r="Q973" s="44"/>
      <c r="R973" s="44"/>
      <c r="S973" s="44">
        <f t="shared" si="132"/>
        <v>0</v>
      </c>
      <c r="T973" s="44">
        <f t="shared" si="135"/>
        <v>0</v>
      </c>
      <c r="U973">
        <v>0</v>
      </c>
      <c r="V973" s="43"/>
      <c r="W973" s="44">
        <f t="shared" si="136"/>
        <v>0</v>
      </c>
      <c r="X973" s="44">
        <f t="shared" si="137"/>
        <v>0</v>
      </c>
      <c r="Y973" s="44">
        <f t="shared" si="138"/>
        <v>0</v>
      </c>
      <c r="Z973" s="84"/>
      <c r="AA973" s="78"/>
      <c r="AB973" s="78"/>
      <c r="AC973" s="78"/>
      <c r="AD973" s="78"/>
      <c r="AE973" s="78"/>
    </row>
    <row r="974" spans="1:31" ht="12.75">
      <c r="A974"/>
      <c r="B974"/>
      <c r="C974"/>
      <c r="D974"/>
      <c r="E974"/>
      <c r="F974"/>
      <c r="G974"/>
      <c r="H974"/>
      <c r="I974"/>
      <c r="J974"/>
      <c r="K974" s="100">
        <f t="shared" si="131"/>
        <v>0</v>
      </c>
      <c r="L974" s="95"/>
      <c r="M974" s="90">
        <f t="shared" si="133"/>
        <v>0</v>
      </c>
      <c r="N974" s="56">
        <v>0</v>
      </c>
      <c r="O974" s="44">
        <f t="shared" si="134"/>
        <v>0</v>
      </c>
      <c r="P974" s="44"/>
      <c r="Q974" s="44"/>
      <c r="R974" s="44"/>
      <c r="S974" s="44">
        <f t="shared" si="132"/>
        <v>0</v>
      </c>
      <c r="T974" s="44">
        <f t="shared" si="135"/>
        <v>0</v>
      </c>
      <c r="U974">
        <v>0</v>
      </c>
      <c r="V974" s="43"/>
      <c r="W974" s="44">
        <f t="shared" si="136"/>
        <v>0</v>
      </c>
      <c r="X974" s="44">
        <f t="shared" si="137"/>
        <v>0</v>
      </c>
      <c r="Y974" s="44">
        <f t="shared" si="138"/>
        <v>0</v>
      </c>
      <c r="Z974" s="84"/>
      <c r="AA974" s="78"/>
      <c r="AB974" s="78"/>
      <c r="AC974" s="78"/>
      <c r="AD974" s="78"/>
      <c r="AE974" s="78"/>
    </row>
    <row r="975" spans="1:31" ht="12.75">
      <c r="A975"/>
      <c r="B975"/>
      <c r="C975"/>
      <c r="D975"/>
      <c r="E975"/>
      <c r="F975"/>
      <c r="G975"/>
      <c r="H975"/>
      <c r="I975"/>
      <c r="J975"/>
      <c r="K975" s="100">
        <f t="shared" si="131"/>
        <v>0</v>
      </c>
      <c r="L975" s="95"/>
      <c r="M975" s="90">
        <f t="shared" si="133"/>
        <v>0</v>
      </c>
      <c r="N975" s="56">
        <v>0</v>
      </c>
      <c r="O975" s="44">
        <f t="shared" si="134"/>
        <v>0</v>
      </c>
      <c r="P975" s="44"/>
      <c r="Q975" s="44"/>
      <c r="R975" s="44"/>
      <c r="S975" s="44">
        <f t="shared" si="132"/>
        <v>0</v>
      </c>
      <c r="T975" s="44">
        <f t="shared" si="135"/>
        <v>0</v>
      </c>
      <c r="U975">
        <v>0</v>
      </c>
      <c r="V975" s="43"/>
      <c r="W975" s="44">
        <f t="shared" si="136"/>
        <v>0</v>
      </c>
      <c r="X975" s="44">
        <f t="shared" si="137"/>
        <v>0</v>
      </c>
      <c r="Y975" s="44">
        <f t="shared" si="138"/>
        <v>0</v>
      </c>
      <c r="Z975" s="84"/>
      <c r="AA975" s="78"/>
      <c r="AB975" s="78"/>
      <c r="AC975" s="78"/>
      <c r="AD975" s="78"/>
      <c r="AE975" s="78"/>
    </row>
    <row r="976" spans="1:31" ht="12.75">
      <c r="A976"/>
      <c r="B976"/>
      <c r="C976"/>
      <c r="D976"/>
      <c r="E976"/>
      <c r="F976"/>
      <c r="G976"/>
      <c r="H976"/>
      <c r="I976"/>
      <c r="J976"/>
      <c r="K976" s="100">
        <f t="shared" si="131"/>
        <v>0</v>
      </c>
      <c r="L976" s="95"/>
      <c r="M976" s="90">
        <f t="shared" si="133"/>
        <v>0</v>
      </c>
      <c r="N976" s="56">
        <v>0</v>
      </c>
      <c r="O976" s="44">
        <f t="shared" si="134"/>
        <v>0</v>
      </c>
      <c r="P976" s="44"/>
      <c r="Q976" s="44"/>
      <c r="R976" s="44"/>
      <c r="S976" s="44">
        <f t="shared" si="132"/>
        <v>0</v>
      </c>
      <c r="T976" s="44">
        <f t="shared" si="135"/>
        <v>0</v>
      </c>
      <c r="U976">
        <v>0</v>
      </c>
      <c r="V976" s="43"/>
      <c r="W976" s="44">
        <f t="shared" si="136"/>
        <v>0</v>
      </c>
      <c r="X976" s="44">
        <f t="shared" si="137"/>
        <v>0</v>
      </c>
      <c r="Y976" s="44">
        <f t="shared" si="138"/>
        <v>0</v>
      </c>
      <c r="Z976" s="84"/>
      <c r="AA976" s="78"/>
      <c r="AB976" s="78"/>
      <c r="AC976" s="78"/>
      <c r="AD976" s="78"/>
      <c r="AE976" s="78"/>
    </row>
    <row r="977" spans="1:31" ht="12.75">
      <c r="A977"/>
      <c r="B977"/>
      <c r="C977"/>
      <c r="D977"/>
      <c r="E977"/>
      <c r="F977"/>
      <c r="G977"/>
      <c r="H977"/>
      <c r="I977"/>
      <c r="J977"/>
      <c r="K977" s="100">
        <f t="shared" si="131"/>
        <v>0</v>
      </c>
      <c r="L977" s="95"/>
      <c r="M977" s="90">
        <f t="shared" si="133"/>
        <v>0</v>
      </c>
      <c r="N977" s="56">
        <v>0</v>
      </c>
      <c r="O977" s="44">
        <f t="shared" si="134"/>
        <v>0</v>
      </c>
      <c r="P977" s="44"/>
      <c r="Q977" s="44"/>
      <c r="R977" s="44"/>
      <c r="S977" s="44">
        <f t="shared" si="132"/>
        <v>0</v>
      </c>
      <c r="T977" s="44">
        <f t="shared" si="135"/>
        <v>0</v>
      </c>
      <c r="U977"/>
      <c r="V977" s="43"/>
      <c r="W977" s="44">
        <f t="shared" si="136"/>
        <v>0</v>
      </c>
      <c r="X977" s="44">
        <f t="shared" si="137"/>
        <v>0</v>
      </c>
      <c r="Y977" s="44">
        <f t="shared" si="138"/>
        <v>0</v>
      </c>
      <c r="Z977" s="84"/>
      <c r="AA977" s="78"/>
      <c r="AB977" s="78"/>
      <c r="AC977" s="78"/>
      <c r="AD977" s="78"/>
      <c r="AE977" s="78"/>
    </row>
    <row r="978" spans="1:31" ht="12.75">
      <c r="A978"/>
      <c r="B978"/>
      <c r="C978"/>
      <c r="D978"/>
      <c r="E978"/>
      <c r="F978"/>
      <c r="G978"/>
      <c r="H978"/>
      <c r="I978"/>
      <c r="J978"/>
      <c r="K978" s="100">
        <f t="shared" si="131"/>
        <v>0</v>
      </c>
      <c r="L978" s="95"/>
      <c r="M978" s="90">
        <f t="shared" si="133"/>
        <v>0</v>
      </c>
      <c r="N978" s="56">
        <v>0</v>
      </c>
      <c r="O978" s="44">
        <f t="shared" si="134"/>
        <v>0</v>
      </c>
      <c r="P978" s="44"/>
      <c r="Q978" s="44"/>
      <c r="R978" s="44"/>
      <c r="S978" s="44">
        <f t="shared" si="132"/>
        <v>0</v>
      </c>
      <c r="T978" s="44">
        <f t="shared" si="135"/>
        <v>0</v>
      </c>
      <c r="U978"/>
      <c r="V978" s="43"/>
      <c r="W978" s="44">
        <f t="shared" si="136"/>
        <v>0</v>
      </c>
      <c r="X978" s="44">
        <f t="shared" si="137"/>
        <v>0</v>
      </c>
      <c r="Y978" s="44">
        <f t="shared" si="138"/>
        <v>0</v>
      </c>
      <c r="Z978" s="84"/>
      <c r="AA978" s="78"/>
      <c r="AB978" s="78"/>
      <c r="AC978" s="78"/>
      <c r="AD978" s="78"/>
      <c r="AE978" s="78"/>
    </row>
    <row r="979" spans="1:31" ht="12.75">
      <c r="A979"/>
      <c r="B979"/>
      <c r="C979"/>
      <c r="D979"/>
      <c r="E979"/>
      <c r="F979"/>
      <c r="G979"/>
      <c r="H979"/>
      <c r="I979"/>
      <c r="J979"/>
      <c r="K979" s="100">
        <f t="shared" si="131"/>
        <v>0</v>
      </c>
      <c r="L979" s="95"/>
      <c r="M979" s="90">
        <f t="shared" si="133"/>
        <v>0</v>
      </c>
      <c r="N979" s="56">
        <v>0</v>
      </c>
      <c r="O979" s="44">
        <f t="shared" si="134"/>
        <v>0</v>
      </c>
      <c r="P979" s="44"/>
      <c r="Q979" s="44"/>
      <c r="R979" s="44"/>
      <c r="S979" s="44">
        <f t="shared" si="132"/>
        <v>0</v>
      </c>
      <c r="T979" s="44">
        <f t="shared" si="135"/>
        <v>0</v>
      </c>
      <c r="U979"/>
      <c r="V979" s="43"/>
      <c r="W979" s="44">
        <f t="shared" si="136"/>
        <v>0</v>
      </c>
      <c r="X979" s="44">
        <f t="shared" si="137"/>
        <v>0</v>
      </c>
      <c r="Y979" s="44">
        <f t="shared" si="138"/>
        <v>0</v>
      </c>
      <c r="Z979" s="84"/>
      <c r="AA979" s="78"/>
      <c r="AB979" s="78"/>
      <c r="AC979" s="78"/>
      <c r="AD979" s="78"/>
      <c r="AE979" s="78"/>
    </row>
    <row r="980" spans="1:31" ht="12.75">
      <c r="A980"/>
      <c r="B980"/>
      <c r="C980"/>
      <c r="D980"/>
      <c r="E980"/>
      <c r="F980"/>
      <c r="G980"/>
      <c r="H980"/>
      <c r="I980"/>
      <c r="J980"/>
      <c r="K980" s="100">
        <f t="shared" si="131"/>
        <v>0</v>
      </c>
      <c r="L980" s="95"/>
      <c r="M980" s="90">
        <f t="shared" si="133"/>
        <v>0</v>
      </c>
      <c r="N980" s="56">
        <v>0</v>
      </c>
      <c r="O980" s="44">
        <f t="shared" si="134"/>
        <v>0</v>
      </c>
      <c r="P980" s="44"/>
      <c r="Q980" s="44"/>
      <c r="R980" s="44"/>
      <c r="S980" s="44">
        <f t="shared" si="132"/>
        <v>0</v>
      </c>
      <c r="T980" s="44">
        <f t="shared" si="135"/>
        <v>0</v>
      </c>
      <c r="U980"/>
      <c r="V980" s="43"/>
      <c r="W980" s="44">
        <f t="shared" si="136"/>
        <v>0</v>
      </c>
      <c r="X980" s="44">
        <f t="shared" si="137"/>
        <v>0</v>
      </c>
      <c r="Y980" s="44">
        <f t="shared" si="138"/>
        <v>0</v>
      </c>
      <c r="Z980" s="84"/>
      <c r="AA980" s="78"/>
      <c r="AB980" s="78"/>
      <c r="AC980" s="78"/>
      <c r="AD980" s="78"/>
      <c r="AE980" s="78"/>
    </row>
    <row r="981" spans="1:31" ht="12.75">
      <c r="A981"/>
      <c r="B981" s="80"/>
      <c r="C981"/>
      <c r="D981"/>
      <c r="E981"/>
      <c r="F981"/>
      <c r="G981"/>
      <c r="H981"/>
      <c r="I981"/>
      <c r="J981"/>
      <c r="K981" s="100">
        <f t="shared" si="131"/>
        <v>0</v>
      </c>
      <c r="L981" s="95"/>
      <c r="M981" s="90">
        <f t="shared" si="133"/>
        <v>0</v>
      </c>
      <c r="N981" s="56">
        <v>0</v>
      </c>
      <c r="O981" s="44">
        <f t="shared" si="134"/>
        <v>0</v>
      </c>
      <c r="P981" s="44"/>
      <c r="Q981" s="44"/>
      <c r="R981" s="44"/>
      <c r="S981" s="44">
        <f t="shared" si="132"/>
        <v>0</v>
      </c>
      <c r="T981" s="44">
        <f t="shared" si="135"/>
        <v>0</v>
      </c>
      <c r="U981"/>
      <c r="V981" s="43"/>
      <c r="W981" s="44">
        <f t="shared" si="136"/>
        <v>0</v>
      </c>
      <c r="X981" s="44">
        <f t="shared" si="137"/>
        <v>0</v>
      </c>
      <c r="Y981" s="44">
        <f t="shared" si="138"/>
        <v>0</v>
      </c>
      <c r="Z981" s="84"/>
      <c r="AA981" s="78"/>
      <c r="AB981" s="78"/>
      <c r="AC981" s="78"/>
      <c r="AD981" s="78"/>
      <c r="AE981" s="78"/>
    </row>
    <row r="982" spans="1:31" ht="12.75">
      <c r="A982"/>
      <c r="B982"/>
      <c r="C982"/>
      <c r="D982"/>
      <c r="E982"/>
      <c r="F982"/>
      <c r="G982"/>
      <c r="H982"/>
      <c r="I982"/>
      <c r="J982"/>
      <c r="K982" s="100">
        <f t="shared" si="131"/>
        <v>0</v>
      </c>
      <c r="L982" s="95"/>
      <c r="M982" s="90">
        <f t="shared" si="133"/>
        <v>0</v>
      </c>
      <c r="N982" s="56">
        <v>0</v>
      </c>
      <c r="O982" s="44">
        <f t="shared" si="134"/>
        <v>0</v>
      </c>
      <c r="P982" s="79"/>
      <c r="Q982" s="44"/>
      <c r="R982" s="44"/>
      <c r="S982" s="44">
        <f t="shared" si="132"/>
        <v>0</v>
      </c>
      <c r="T982" s="44">
        <f t="shared" si="135"/>
        <v>0</v>
      </c>
      <c r="U982"/>
      <c r="V982" s="43"/>
      <c r="W982" s="44">
        <f t="shared" si="136"/>
        <v>0</v>
      </c>
      <c r="X982" s="44">
        <f t="shared" si="137"/>
        <v>0</v>
      </c>
      <c r="Y982" s="44">
        <f t="shared" si="138"/>
        <v>0</v>
      </c>
      <c r="Z982" s="84"/>
      <c r="AA982" s="78"/>
      <c r="AB982" s="78"/>
      <c r="AC982" s="78"/>
      <c r="AD982" s="78"/>
      <c r="AE982" s="78"/>
    </row>
    <row r="983" spans="1:31" ht="12.75">
      <c r="A983"/>
      <c r="B983"/>
      <c r="C983"/>
      <c r="D983"/>
      <c r="E983"/>
      <c r="F983"/>
      <c r="G983"/>
      <c r="H983"/>
      <c r="I983"/>
      <c r="J983"/>
      <c r="K983" s="100">
        <f t="shared" si="131"/>
        <v>0</v>
      </c>
      <c r="L983" s="95"/>
      <c r="M983" s="90">
        <f t="shared" si="133"/>
        <v>0</v>
      </c>
      <c r="N983" s="56">
        <v>0</v>
      </c>
      <c r="O983" s="44">
        <f t="shared" si="134"/>
        <v>0</v>
      </c>
      <c r="P983" s="44"/>
      <c r="Q983" s="44"/>
      <c r="R983" s="44"/>
      <c r="S983" s="44">
        <f t="shared" si="132"/>
        <v>0</v>
      </c>
      <c r="T983" s="44">
        <f t="shared" si="135"/>
        <v>0</v>
      </c>
      <c r="U983"/>
      <c r="V983" s="43"/>
      <c r="W983" s="44">
        <f t="shared" si="136"/>
        <v>0</v>
      </c>
      <c r="X983" s="44">
        <f t="shared" si="137"/>
        <v>0</v>
      </c>
      <c r="Y983" s="44">
        <f t="shared" si="138"/>
        <v>0</v>
      </c>
      <c r="Z983" s="84"/>
      <c r="AA983" s="78"/>
      <c r="AB983" s="78"/>
      <c r="AC983" s="78"/>
      <c r="AD983" s="78"/>
      <c r="AE983" s="78"/>
    </row>
    <row r="984" spans="1:31" ht="12.75">
      <c r="A984"/>
      <c r="B984"/>
      <c r="C984"/>
      <c r="D984"/>
      <c r="E984"/>
      <c r="F984"/>
      <c r="G984"/>
      <c r="H984"/>
      <c r="I984"/>
      <c r="J984"/>
      <c r="K984" s="100">
        <f t="shared" si="131"/>
        <v>0</v>
      </c>
      <c r="L984" s="95"/>
      <c r="M984" s="90">
        <f t="shared" si="133"/>
        <v>0</v>
      </c>
      <c r="N984" s="56">
        <v>0</v>
      </c>
      <c r="O984" s="44">
        <f t="shared" si="134"/>
        <v>0</v>
      </c>
      <c r="P984" s="44"/>
      <c r="Q984" s="44"/>
      <c r="R984" s="44"/>
      <c r="S984" s="44">
        <f t="shared" si="132"/>
        <v>0</v>
      </c>
      <c r="T984" s="44">
        <f t="shared" si="135"/>
        <v>0</v>
      </c>
      <c r="U984"/>
      <c r="V984" s="43"/>
      <c r="W984" s="44">
        <f t="shared" si="136"/>
        <v>0</v>
      </c>
      <c r="X984" s="44">
        <f t="shared" si="137"/>
        <v>0</v>
      </c>
      <c r="Y984" s="44">
        <f t="shared" si="138"/>
        <v>0</v>
      </c>
      <c r="Z984" s="84"/>
      <c r="AA984" s="78"/>
      <c r="AB984" s="78"/>
      <c r="AC984" s="78"/>
      <c r="AD984" s="78"/>
      <c r="AE984" s="78"/>
    </row>
    <row r="985" spans="1:31" ht="12.75">
      <c r="A985"/>
      <c r="B985"/>
      <c r="C985"/>
      <c r="D985"/>
      <c r="E985"/>
      <c r="F985"/>
      <c r="G985"/>
      <c r="H985"/>
      <c r="I985"/>
      <c r="J985"/>
      <c r="K985" s="100">
        <f t="shared" si="131"/>
        <v>0</v>
      </c>
      <c r="L985" s="95"/>
      <c r="M985" s="90">
        <f t="shared" si="133"/>
        <v>0</v>
      </c>
      <c r="N985" s="56">
        <v>0</v>
      </c>
      <c r="O985" s="44">
        <f t="shared" si="134"/>
        <v>0</v>
      </c>
      <c r="P985" s="44"/>
      <c r="Q985" s="44"/>
      <c r="R985" s="44"/>
      <c r="S985" s="44">
        <f t="shared" si="132"/>
        <v>0</v>
      </c>
      <c r="T985" s="44">
        <f t="shared" si="135"/>
        <v>0</v>
      </c>
      <c r="U985"/>
      <c r="V985" s="43"/>
      <c r="W985" s="44">
        <f t="shared" si="136"/>
        <v>0</v>
      </c>
      <c r="X985" s="44">
        <f t="shared" si="137"/>
        <v>0</v>
      </c>
      <c r="Y985" s="44">
        <f t="shared" si="138"/>
        <v>0</v>
      </c>
      <c r="Z985" s="84"/>
      <c r="AA985" s="78"/>
      <c r="AB985" s="78"/>
      <c r="AC985" s="78"/>
      <c r="AD985" s="78"/>
      <c r="AE985" s="78"/>
    </row>
    <row r="986" spans="1:31" ht="12.75">
      <c r="A986"/>
      <c r="B986"/>
      <c r="C986"/>
      <c r="D986"/>
      <c r="E986"/>
      <c r="F986"/>
      <c r="G986"/>
      <c r="H986"/>
      <c r="I986"/>
      <c r="J986"/>
      <c r="K986" s="100">
        <f t="shared" si="131"/>
        <v>0</v>
      </c>
      <c r="L986" s="95"/>
      <c r="M986" s="90">
        <f t="shared" si="133"/>
        <v>0</v>
      </c>
      <c r="N986" s="56">
        <v>0</v>
      </c>
      <c r="O986" s="44">
        <f t="shared" si="134"/>
        <v>0</v>
      </c>
      <c r="P986" s="44"/>
      <c r="Q986" s="44"/>
      <c r="R986" s="44"/>
      <c r="S986" s="44">
        <f t="shared" si="132"/>
        <v>0</v>
      </c>
      <c r="T986" s="44">
        <f t="shared" si="135"/>
        <v>0</v>
      </c>
      <c r="U986"/>
      <c r="V986" s="43"/>
      <c r="W986" s="44">
        <f t="shared" si="136"/>
        <v>0</v>
      </c>
      <c r="X986" s="44">
        <f t="shared" si="137"/>
        <v>0</v>
      </c>
      <c r="Y986" s="44">
        <f t="shared" si="138"/>
        <v>0</v>
      </c>
      <c r="Z986" s="84"/>
      <c r="AA986" s="78"/>
      <c r="AB986" s="78"/>
      <c r="AC986" s="78"/>
      <c r="AD986" s="78"/>
      <c r="AE986" s="78"/>
    </row>
    <row r="987" spans="1:31" ht="12.75">
      <c r="A987"/>
      <c r="B987"/>
      <c r="C987"/>
      <c r="D987"/>
      <c r="E987"/>
      <c r="F987"/>
      <c r="G987"/>
      <c r="H987"/>
      <c r="I987"/>
      <c r="J987"/>
      <c r="K987" s="100">
        <f t="shared" si="131"/>
        <v>0</v>
      </c>
      <c r="L987" s="95"/>
      <c r="M987" s="90">
        <f t="shared" si="133"/>
        <v>0</v>
      </c>
      <c r="N987" s="56">
        <v>0</v>
      </c>
      <c r="O987" s="44">
        <f t="shared" si="134"/>
        <v>0</v>
      </c>
      <c r="P987" s="44"/>
      <c r="Q987" s="44"/>
      <c r="R987" s="44"/>
      <c r="S987" s="44">
        <f t="shared" si="132"/>
        <v>0</v>
      </c>
      <c r="T987" s="44">
        <f t="shared" si="135"/>
        <v>0</v>
      </c>
      <c r="U987"/>
      <c r="V987" s="43"/>
      <c r="W987" s="44">
        <f t="shared" si="136"/>
        <v>0</v>
      </c>
      <c r="X987" s="44">
        <f t="shared" si="137"/>
        <v>0</v>
      </c>
      <c r="Y987" s="44">
        <f t="shared" si="138"/>
        <v>0</v>
      </c>
      <c r="Z987" s="84"/>
      <c r="AA987" s="78"/>
      <c r="AB987" s="78"/>
      <c r="AC987" s="78"/>
      <c r="AD987" s="78"/>
      <c r="AE987" s="78"/>
    </row>
    <row r="988" spans="1:31" ht="12.75">
      <c r="A988"/>
      <c r="B988"/>
      <c r="C988"/>
      <c r="D988"/>
      <c r="E988"/>
      <c r="F988"/>
      <c r="G988"/>
      <c r="H988"/>
      <c r="I988"/>
      <c r="J988"/>
      <c r="K988" s="100">
        <f t="shared" si="131"/>
        <v>0</v>
      </c>
      <c r="L988" s="95"/>
      <c r="M988" s="90">
        <f t="shared" si="133"/>
        <v>0</v>
      </c>
      <c r="N988" s="56">
        <v>0</v>
      </c>
      <c r="O988" s="44">
        <f t="shared" si="134"/>
        <v>0</v>
      </c>
      <c r="P988" s="44"/>
      <c r="Q988" s="44"/>
      <c r="R988" s="44"/>
      <c r="S988" s="44">
        <f t="shared" si="132"/>
        <v>0</v>
      </c>
      <c r="T988" s="44">
        <f t="shared" si="135"/>
        <v>0</v>
      </c>
      <c r="U988"/>
      <c r="V988" s="43"/>
      <c r="W988" s="44">
        <f t="shared" si="136"/>
        <v>0</v>
      </c>
      <c r="X988" s="44">
        <f t="shared" si="137"/>
        <v>0</v>
      </c>
      <c r="Y988" s="44">
        <f t="shared" si="138"/>
        <v>0</v>
      </c>
      <c r="Z988" s="84"/>
      <c r="AA988" s="78"/>
      <c r="AB988" s="78"/>
      <c r="AC988" s="78"/>
      <c r="AD988" s="78"/>
      <c r="AE988" s="78"/>
    </row>
    <row r="989" spans="1:31" ht="12.75">
      <c r="A989"/>
      <c r="B989"/>
      <c r="C989"/>
      <c r="D989"/>
      <c r="E989"/>
      <c r="F989"/>
      <c r="G989"/>
      <c r="H989"/>
      <c r="I989"/>
      <c r="J989"/>
      <c r="K989" s="100">
        <f t="shared" si="131"/>
        <v>0</v>
      </c>
      <c r="L989" s="95"/>
      <c r="M989" s="90">
        <f t="shared" si="133"/>
        <v>0</v>
      </c>
      <c r="N989" s="56">
        <v>0</v>
      </c>
      <c r="O989" s="44">
        <f t="shared" si="134"/>
        <v>0</v>
      </c>
      <c r="P989" s="44"/>
      <c r="Q989" s="44"/>
      <c r="R989" s="44"/>
      <c r="S989" s="44">
        <f t="shared" si="132"/>
        <v>0</v>
      </c>
      <c r="T989" s="44">
        <f t="shared" si="135"/>
        <v>0</v>
      </c>
      <c r="U989"/>
      <c r="V989" s="43"/>
      <c r="W989" s="44">
        <f t="shared" si="136"/>
        <v>0</v>
      </c>
      <c r="X989" s="44">
        <f t="shared" si="137"/>
        <v>0</v>
      </c>
      <c r="Y989" s="44">
        <f t="shared" si="138"/>
        <v>0</v>
      </c>
      <c r="Z989" s="84"/>
      <c r="AA989" s="78"/>
      <c r="AB989" s="78"/>
      <c r="AC989" s="78"/>
      <c r="AD989" s="78"/>
      <c r="AE989" s="78"/>
    </row>
    <row r="990" spans="1:31" ht="12.75">
      <c r="A990"/>
      <c r="B990"/>
      <c r="C990"/>
      <c r="D990"/>
      <c r="E990"/>
      <c r="F990"/>
      <c r="G990"/>
      <c r="H990"/>
      <c r="I990"/>
      <c r="J990"/>
      <c r="K990" s="100">
        <f t="shared" si="131"/>
        <v>0</v>
      </c>
      <c r="L990" s="95"/>
      <c r="M990" s="90">
        <f t="shared" si="133"/>
        <v>0</v>
      </c>
      <c r="N990" s="56">
        <v>0</v>
      </c>
      <c r="O990" s="44">
        <f t="shared" si="134"/>
        <v>0</v>
      </c>
      <c r="P990" s="44"/>
      <c r="Q990" s="44"/>
      <c r="R990" s="44"/>
      <c r="S990" s="44">
        <f t="shared" si="132"/>
        <v>0</v>
      </c>
      <c r="T990" s="44">
        <f t="shared" si="135"/>
        <v>0</v>
      </c>
      <c r="U990"/>
      <c r="V990" s="43"/>
      <c r="W990" s="44">
        <f t="shared" si="136"/>
        <v>0</v>
      </c>
      <c r="X990" s="44">
        <f t="shared" si="137"/>
        <v>0</v>
      </c>
      <c r="Y990" s="44">
        <f t="shared" si="138"/>
        <v>0</v>
      </c>
      <c r="Z990" s="84"/>
      <c r="AA990" s="78"/>
      <c r="AB990" s="78"/>
      <c r="AC990" s="78"/>
      <c r="AD990" s="78"/>
      <c r="AE990" s="78"/>
    </row>
    <row r="991" spans="1:31" ht="12.75">
      <c r="A991"/>
      <c r="B991"/>
      <c r="C991"/>
      <c r="D991"/>
      <c r="E991"/>
      <c r="F991"/>
      <c r="G991"/>
      <c r="H991"/>
      <c r="I991"/>
      <c r="J991"/>
      <c r="K991" s="100">
        <f t="shared" si="131"/>
        <v>0</v>
      </c>
      <c r="L991" s="95"/>
      <c r="M991" s="90">
        <f t="shared" si="133"/>
        <v>0</v>
      </c>
      <c r="N991" s="56">
        <v>0</v>
      </c>
      <c r="O991" s="44">
        <f t="shared" si="134"/>
        <v>0</v>
      </c>
      <c r="P991" s="44"/>
      <c r="Q991" s="44"/>
      <c r="R991" s="44"/>
      <c r="S991" s="44">
        <f t="shared" si="132"/>
        <v>0</v>
      </c>
      <c r="T991" s="44">
        <f t="shared" si="135"/>
        <v>0</v>
      </c>
      <c r="U991"/>
      <c r="V991" s="43"/>
      <c r="W991" s="44">
        <f t="shared" si="136"/>
        <v>0</v>
      </c>
      <c r="X991" s="44">
        <f t="shared" si="137"/>
        <v>0</v>
      </c>
      <c r="Y991" s="44">
        <f t="shared" si="138"/>
        <v>0</v>
      </c>
      <c r="Z991" s="84"/>
      <c r="AA991" s="78"/>
      <c r="AB991" s="78"/>
      <c r="AC991" s="78"/>
      <c r="AD991" s="78"/>
      <c r="AE991" s="78"/>
    </row>
    <row r="992" spans="1:31" ht="12.75">
      <c r="A992"/>
      <c r="B992"/>
      <c r="C992"/>
      <c r="D992"/>
      <c r="E992"/>
      <c r="F992"/>
      <c r="G992"/>
      <c r="H992"/>
      <c r="I992"/>
      <c r="J992"/>
      <c r="K992" s="100">
        <f t="shared" si="131"/>
        <v>0</v>
      </c>
      <c r="L992" s="95"/>
      <c r="M992" s="90">
        <f t="shared" si="133"/>
        <v>0</v>
      </c>
      <c r="N992" s="56">
        <v>0</v>
      </c>
      <c r="O992" s="44">
        <f t="shared" si="134"/>
        <v>0</v>
      </c>
      <c r="P992" s="44"/>
      <c r="Q992" s="44"/>
      <c r="R992" s="44"/>
      <c r="S992" s="44">
        <f t="shared" si="132"/>
        <v>0</v>
      </c>
      <c r="T992" s="44">
        <f t="shared" si="135"/>
        <v>0</v>
      </c>
      <c r="U992"/>
      <c r="V992" s="43"/>
      <c r="W992" s="44">
        <f t="shared" si="136"/>
        <v>0</v>
      </c>
      <c r="X992" s="44">
        <f t="shared" si="137"/>
        <v>0</v>
      </c>
      <c r="Y992" s="44">
        <f t="shared" si="138"/>
        <v>0</v>
      </c>
      <c r="Z992" s="84"/>
      <c r="AA992" s="78"/>
      <c r="AB992" s="78"/>
      <c r="AC992" s="78"/>
      <c r="AD992" s="78"/>
      <c r="AE992" s="78"/>
    </row>
    <row r="993" spans="1:31" ht="12.75">
      <c r="A993"/>
      <c r="B993"/>
      <c r="C993"/>
      <c r="D993"/>
      <c r="E993"/>
      <c r="F993"/>
      <c r="G993"/>
      <c r="H993"/>
      <c r="I993"/>
      <c r="J993"/>
      <c r="K993" s="100">
        <f t="shared" si="131"/>
        <v>0</v>
      </c>
      <c r="L993" s="95"/>
      <c r="M993" s="90">
        <f t="shared" si="133"/>
        <v>0</v>
      </c>
      <c r="N993" s="56">
        <v>0</v>
      </c>
      <c r="O993" s="44">
        <f t="shared" si="134"/>
        <v>0</v>
      </c>
      <c r="P993" s="44"/>
      <c r="Q993" s="44"/>
      <c r="R993" s="44"/>
      <c r="S993" s="44">
        <f t="shared" si="132"/>
        <v>0</v>
      </c>
      <c r="T993" s="44">
        <f t="shared" si="135"/>
        <v>0</v>
      </c>
      <c r="U993"/>
      <c r="V993" s="43"/>
      <c r="W993" s="44">
        <f t="shared" si="136"/>
        <v>0</v>
      </c>
      <c r="X993" s="44">
        <f t="shared" si="137"/>
        <v>0</v>
      </c>
      <c r="Y993" s="44">
        <f t="shared" si="138"/>
        <v>0</v>
      </c>
      <c r="Z993" s="84"/>
      <c r="AA993" s="78"/>
      <c r="AB993" s="78"/>
      <c r="AC993" s="78"/>
      <c r="AD993" s="78"/>
      <c r="AE993" s="78"/>
    </row>
    <row r="994" spans="1:31" ht="12.75">
      <c r="A994"/>
      <c r="B994"/>
      <c r="C994"/>
      <c r="D994"/>
      <c r="E994"/>
      <c r="F994"/>
      <c r="G994"/>
      <c r="H994"/>
      <c r="I994"/>
      <c r="J994"/>
      <c r="K994" s="100">
        <f t="shared" ref="K994:K1018" si="139">+I994*J994</f>
        <v>0</v>
      </c>
      <c r="L994" s="95"/>
      <c r="M994" s="90">
        <f t="shared" si="133"/>
        <v>0</v>
      </c>
      <c r="N994" s="56">
        <v>0</v>
      </c>
      <c r="O994" s="44">
        <f t="shared" si="134"/>
        <v>0</v>
      </c>
      <c r="P994" s="44"/>
      <c r="Q994" s="44"/>
      <c r="R994" s="44"/>
      <c r="S994" s="44">
        <f t="shared" si="132"/>
        <v>0</v>
      </c>
      <c r="T994" s="44">
        <f t="shared" si="135"/>
        <v>0</v>
      </c>
      <c r="U994"/>
      <c r="V994" s="43"/>
      <c r="W994" s="44">
        <f t="shared" si="136"/>
        <v>0</v>
      </c>
      <c r="X994" s="44">
        <f t="shared" si="137"/>
        <v>0</v>
      </c>
      <c r="Y994" s="44">
        <f t="shared" si="138"/>
        <v>0</v>
      </c>
      <c r="Z994" s="84"/>
      <c r="AA994" s="78"/>
      <c r="AB994" s="78"/>
      <c r="AC994" s="78"/>
      <c r="AD994" s="78"/>
      <c r="AE994" s="78"/>
    </row>
    <row r="995" spans="1:31" ht="12.75">
      <c r="A995"/>
      <c r="B995"/>
      <c r="C995"/>
      <c r="D995"/>
      <c r="E995"/>
      <c r="F995"/>
      <c r="G995"/>
      <c r="H995"/>
      <c r="I995"/>
      <c r="J995"/>
      <c r="K995" s="100">
        <f t="shared" si="139"/>
        <v>0</v>
      </c>
      <c r="L995" s="95"/>
      <c r="M995" s="90">
        <f t="shared" si="133"/>
        <v>0</v>
      </c>
      <c r="N995" s="56">
        <v>0</v>
      </c>
      <c r="O995" s="44">
        <f t="shared" si="134"/>
        <v>0</v>
      </c>
      <c r="P995" s="44"/>
      <c r="Q995" s="44"/>
      <c r="R995" s="44"/>
      <c r="S995" s="44">
        <f t="shared" si="132"/>
        <v>0</v>
      </c>
      <c r="T995" s="44">
        <f t="shared" si="135"/>
        <v>0</v>
      </c>
      <c r="U995"/>
      <c r="V995" s="43"/>
      <c r="W995" s="44">
        <f t="shared" si="136"/>
        <v>0</v>
      </c>
      <c r="X995" s="44">
        <f t="shared" si="137"/>
        <v>0</v>
      </c>
      <c r="Y995" s="44">
        <f t="shared" si="138"/>
        <v>0</v>
      </c>
      <c r="Z995" s="84"/>
      <c r="AA995" s="78"/>
      <c r="AB995" s="78"/>
      <c r="AC995" s="78"/>
      <c r="AD995" s="78"/>
      <c r="AE995" s="78"/>
    </row>
    <row r="996" spans="1:31" ht="12.75">
      <c r="A996"/>
      <c r="B996"/>
      <c r="C996"/>
      <c r="D996"/>
      <c r="E996"/>
      <c r="F996"/>
      <c r="G996"/>
      <c r="H996"/>
      <c r="I996"/>
      <c r="J996"/>
      <c r="K996" s="100">
        <f t="shared" si="139"/>
        <v>0</v>
      </c>
      <c r="L996" s="95"/>
      <c r="M996" s="90">
        <f t="shared" si="133"/>
        <v>0</v>
      </c>
      <c r="N996" s="56">
        <v>0</v>
      </c>
      <c r="O996" s="44">
        <f t="shared" si="134"/>
        <v>0</v>
      </c>
      <c r="P996" s="44"/>
      <c r="Q996" s="44"/>
      <c r="R996" s="44"/>
      <c r="S996" s="44">
        <f t="shared" si="132"/>
        <v>0</v>
      </c>
      <c r="T996" s="44">
        <f t="shared" si="135"/>
        <v>0</v>
      </c>
      <c r="U996"/>
      <c r="V996" s="43"/>
      <c r="W996" s="44">
        <f t="shared" si="136"/>
        <v>0</v>
      </c>
      <c r="X996" s="44">
        <f t="shared" si="137"/>
        <v>0</v>
      </c>
      <c r="Y996" s="44">
        <f t="shared" si="138"/>
        <v>0</v>
      </c>
      <c r="Z996" s="84"/>
      <c r="AA996" s="78"/>
      <c r="AB996" s="78"/>
      <c r="AC996" s="78"/>
      <c r="AD996" s="78"/>
      <c r="AE996" s="78"/>
    </row>
    <row r="997" spans="1:31" ht="12.75">
      <c r="A997"/>
      <c r="B997"/>
      <c r="C997"/>
      <c r="D997"/>
      <c r="E997"/>
      <c r="F997"/>
      <c r="G997"/>
      <c r="H997"/>
      <c r="I997"/>
      <c r="J997"/>
      <c r="K997" s="100">
        <f t="shared" si="139"/>
        <v>0</v>
      </c>
      <c r="L997" s="95"/>
      <c r="M997" s="90">
        <f t="shared" si="133"/>
        <v>0</v>
      </c>
      <c r="N997" s="56">
        <v>0</v>
      </c>
      <c r="O997" s="44">
        <f t="shared" si="134"/>
        <v>0</v>
      </c>
      <c r="P997" s="44"/>
      <c r="Q997" s="44"/>
      <c r="R997" s="44"/>
      <c r="S997" s="44">
        <f t="shared" si="132"/>
        <v>0</v>
      </c>
      <c r="T997" s="44">
        <f t="shared" si="135"/>
        <v>0</v>
      </c>
      <c r="U997"/>
      <c r="V997" s="43"/>
      <c r="W997" s="44">
        <f t="shared" si="136"/>
        <v>0</v>
      </c>
      <c r="X997" s="44">
        <f t="shared" si="137"/>
        <v>0</v>
      </c>
      <c r="Y997" s="44">
        <f t="shared" si="138"/>
        <v>0</v>
      </c>
      <c r="Z997" s="84"/>
      <c r="AA997" s="78"/>
      <c r="AB997" s="78"/>
      <c r="AC997" s="78"/>
      <c r="AD997" s="78"/>
      <c r="AE997" s="78"/>
    </row>
    <row r="998" spans="1:31" ht="12.75">
      <c r="A998"/>
      <c r="B998"/>
      <c r="C998"/>
      <c r="D998"/>
      <c r="E998"/>
      <c r="F998"/>
      <c r="G998"/>
      <c r="H998"/>
      <c r="I998"/>
      <c r="J998"/>
      <c r="K998" s="100">
        <f t="shared" si="139"/>
        <v>0</v>
      </c>
      <c r="L998" s="95"/>
      <c r="M998" s="90">
        <f t="shared" si="133"/>
        <v>0</v>
      </c>
      <c r="N998" s="56">
        <v>0</v>
      </c>
      <c r="O998" s="44">
        <f t="shared" si="134"/>
        <v>0</v>
      </c>
      <c r="P998" s="44"/>
      <c r="Q998" s="44"/>
      <c r="R998" s="44"/>
      <c r="S998" s="44">
        <f t="shared" si="132"/>
        <v>0</v>
      </c>
      <c r="T998" s="44">
        <f t="shared" si="135"/>
        <v>0</v>
      </c>
      <c r="U998"/>
      <c r="V998" s="43"/>
      <c r="W998" s="44">
        <f t="shared" si="136"/>
        <v>0</v>
      </c>
      <c r="X998" s="44">
        <f t="shared" si="137"/>
        <v>0</v>
      </c>
      <c r="Y998" s="44">
        <f t="shared" si="138"/>
        <v>0</v>
      </c>
      <c r="Z998" s="84"/>
      <c r="AA998" s="78"/>
      <c r="AB998" s="78"/>
      <c r="AC998" s="78"/>
      <c r="AD998" s="78"/>
      <c r="AE998" s="78"/>
    </row>
    <row r="999" spans="1:31" ht="12.75">
      <c r="A999"/>
      <c r="B999"/>
      <c r="C999"/>
      <c r="D999"/>
      <c r="E999"/>
      <c r="F999"/>
      <c r="G999"/>
      <c r="H999"/>
      <c r="I999"/>
      <c r="J999"/>
      <c r="K999" s="100">
        <f t="shared" si="139"/>
        <v>0</v>
      </c>
      <c r="L999" s="95"/>
      <c r="M999" s="90">
        <f t="shared" si="133"/>
        <v>0</v>
      </c>
      <c r="N999" s="56">
        <v>0</v>
      </c>
      <c r="O999" s="44">
        <f t="shared" si="134"/>
        <v>0</v>
      </c>
      <c r="P999" s="44"/>
      <c r="Q999" s="44"/>
      <c r="R999" s="44"/>
      <c r="S999" s="44">
        <f t="shared" si="132"/>
        <v>0</v>
      </c>
      <c r="T999" s="44">
        <f t="shared" si="135"/>
        <v>0</v>
      </c>
      <c r="U999"/>
      <c r="V999" s="43"/>
      <c r="W999" s="44">
        <f t="shared" si="136"/>
        <v>0</v>
      </c>
      <c r="X999" s="44">
        <f t="shared" si="137"/>
        <v>0</v>
      </c>
      <c r="Y999" s="44">
        <f t="shared" si="138"/>
        <v>0</v>
      </c>
      <c r="Z999" s="84"/>
      <c r="AA999" s="78"/>
      <c r="AB999" s="78"/>
      <c r="AC999" s="78"/>
      <c r="AD999" s="78"/>
      <c r="AE999" s="78"/>
    </row>
    <row r="1000" spans="1:31" ht="12.75">
      <c r="A1000"/>
      <c r="B1000"/>
      <c r="C1000"/>
      <c r="D1000"/>
      <c r="E1000"/>
      <c r="F1000"/>
      <c r="G1000"/>
      <c r="H1000"/>
      <c r="I1000"/>
      <c r="J1000"/>
      <c r="K1000" s="100">
        <f t="shared" si="139"/>
        <v>0</v>
      </c>
      <c r="L1000" s="95"/>
      <c r="M1000" s="90">
        <f t="shared" si="133"/>
        <v>0</v>
      </c>
      <c r="N1000" s="56">
        <v>0</v>
      </c>
      <c r="O1000" s="44">
        <f t="shared" si="134"/>
        <v>0</v>
      </c>
      <c r="P1000" s="44"/>
      <c r="Q1000" s="44"/>
      <c r="R1000" s="44"/>
      <c r="S1000" s="44">
        <f t="shared" si="132"/>
        <v>0</v>
      </c>
      <c r="T1000" s="44">
        <f t="shared" si="135"/>
        <v>0</v>
      </c>
      <c r="U1000"/>
      <c r="V1000" s="43"/>
      <c r="W1000" s="44">
        <f t="shared" si="136"/>
        <v>0</v>
      </c>
      <c r="X1000" s="44">
        <f t="shared" si="137"/>
        <v>0</v>
      </c>
      <c r="Y1000" s="44">
        <f t="shared" si="138"/>
        <v>0</v>
      </c>
      <c r="Z1000" s="84"/>
      <c r="AA1000" s="78"/>
      <c r="AB1000" s="78"/>
      <c r="AC1000" s="78"/>
      <c r="AD1000" s="78"/>
      <c r="AE1000" s="78"/>
    </row>
    <row r="1001" spans="1:31" ht="12.75">
      <c r="A1001"/>
      <c r="B1001"/>
      <c r="C1001"/>
      <c r="D1001"/>
      <c r="E1001"/>
      <c r="F1001"/>
      <c r="G1001"/>
      <c r="H1001"/>
      <c r="I1001"/>
      <c r="J1001"/>
      <c r="K1001" s="100">
        <f t="shared" si="139"/>
        <v>0</v>
      </c>
      <c r="L1001" s="95"/>
      <c r="M1001" s="90">
        <f t="shared" si="133"/>
        <v>0</v>
      </c>
      <c r="N1001" s="56">
        <v>0</v>
      </c>
      <c r="O1001" s="44">
        <f t="shared" si="134"/>
        <v>0</v>
      </c>
      <c r="P1001" s="44"/>
      <c r="Q1001" s="44"/>
      <c r="R1001" s="44"/>
      <c r="S1001" s="44">
        <f t="shared" si="132"/>
        <v>0</v>
      </c>
      <c r="T1001" s="44">
        <f t="shared" si="135"/>
        <v>0</v>
      </c>
      <c r="U1001"/>
      <c r="V1001" s="43"/>
      <c r="W1001" s="44">
        <f t="shared" si="136"/>
        <v>0</v>
      </c>
      <c r="X1001" s="44">
        <f t="shared" si="137"/>
        <v>0</v>
      </c>
      <c r="Y1001" s="44">
        <f t="shared" si="138"/>
        <v>0</v>
      </c>
      <c r="Z1001" s="84"/>
      <c r="AA1001" s="78"/>
      <c r="AB1001" s="78"/>
      <c r="AC1001" s="78"/>
      <c r="AD1001" s="78"/>
      <c r="AE1001" s="78"/>
    </row>
    <row r="1002" spans="1:31" ht="12.75">
      <c r="A1002"/>
      <c r="B1002"/>
      <c r="C1002"/>
      <c r="D1002"/>
      <c r="E1002"/>
      <c r="F1002"/>
      <c r="G1002"/>
      <c r="H1002"/>
      <c r="I1002"/>
      <c r="J1002"/>
      <c r="K1002" s="100">
        <f t="shared" si="139"/>
        <v>0</v>
      </c>
      <c r="L1002" s="95"/>
      <c r="M1002" s="90">
        <f t="shared" si="133"/>
        <v>0</v>
      </c>
      <c r="N1002" s="56">
        <v>0</v>
      </c>
      <c r="O1002" s="44">
        <f t="shared" si="134"/>
        <v>0</v>
      </c>
      <c r="P1002" s="44"/>
      <c r="Q1002" s="44"/>
      <c r="R1002" s="44"/>
      <c r="S1002" s="44">
        <f t="shared" si="132"/>
        <v>0</v>
      </c>
      <c r="T1002" s="44">
        <f t="shared" si="135"/>
        <v>0</v>
      </c>
      <c r="U1002"/>
      <c r="V1002" s="43"/>
      <c r="W1002" s="44">
        <f t="shared" si="136"/>
        <v>0</v>
      </c>
      <c r="X1002" s="44">
        <f t="shared" si="137"/>
        <v>0</v>
      </c>
      <c r="Y1002" s="44">
        <f t="shared" si="138"/>
        <v>0</v>
      </c>
      <c r="Z1002" s="84"/>
      <c r="AA1002" s="78"/>
      <c r="AB1002" s="78"/>
      <c r="AC1002" s="78"/>
      <c r="AD1002" s="78"/>
      <c r="AE1002" s="78"/>
    </row>
    <row r="1003" spans="1:31" ht="12.75">
      <c r="A1003"/>
      <c r="B1003"/>
      <c r="C1003"/>
      <c r="D1003"/>
      <c r="E1003"/>
      <c r="F1003"/>
      <c r="G1003"/>
      <c r="H1003"/>
      <c r="I1003"/>
      <c r="J1003"/>
      <c r="K1003" s="100">
        <f t="shared" si="139"/>
        <v>0</v>
      </c>
      <c r="L1003" s="95"/>
      <c r="M1003" s="90">
        <f t="shared" si="133"/>
        <v>0</v>
      </c>
      <c r="N1003" s="56">
        <v>0</v>
      </c>
      <c r="O1003" s="44">
        <f t="shared" si="134"/>
        <v>0</v>
      </c>
      <c r="P1003" s="44"/>
      <c r="Q1003" s="44"/>
      <c r="R1003" s="44"/>
      <c r="S1003" s="44">
        <f t="shared" si="132"/>
        <v>0</v>
      </c>
      <c r="T1003" s="44">
        <f t="shared" si="135"/>
        <v>0</v>
      </c>
      <c r="U1003"/>
      <c r="V1003" s="43"/>
      <c r="W1003" s="44">
        <f t="shared" si="136"/>
        <v>0</v>
      </c>
      <c r="X1003" s="44">
        <f t="shared" si="137"/>
        <v>0</v>
      </c>
      <c r="Y1003" s="44">
        <f t="shared" si="138"/>
        <v>0</v>
      </c>
      <c r="Z1003" s="84"/>
      <c r="AA1003" s="78"/>
      <c r="AB1003" s="78"/>
      <c r="AC1003" s="78"/>
      <c r="AD1003" s="78"/>
      <c r="AE1003" s="78"/>
    </row>
    <row r="1004" spans="1:31" ht="12.75">
      <c r="A1004"/>
      <c r="B1004"/>
      <c r="C1004"/>
      <c r="D1004"/>
      <c r="E1004"/>
      <c r="F1004"/>
      <c r="G1004"/>
      <c r="H1004"/>
      <c r="I1004"/>
      <c r="J1004"/>
      <c r="K1004" s="100">
        <f t="shared" si="139"/>
        <v>0</v>
      </c>
      <c r="L1004" s="95"/>
      <c r="M1004" s="90">
        <f t="shared" si="133"/>
        <v>0</v>
      </c>
      <c r="N1004" s="56">
        <v>0</v>
      </c>
      <c r="O1004" s="44">
        <f t="shared" si="134"/>
        <v>0</v>
      </c>
      <c r="P1004" s="44"/>
      <c r="Q1004" s="44"/>
      <c r="R1004" s="44"/>
      <c r="S1004" s="44">
        <f t="shared" si="132"/>
        <v>0</v>
      </c>
      <c r="T1004" s="44">
        <f t="shared" si="135"/>
        <v>0</v>
      </c>
      <c r="U1004"/>
      <c r="V1004" s="43"/>
      <c r="W1004" s="44">
        <f t="shared" si="136"/>
        <v>0</v>
      </c>
      <c r="X1004" s="44">
        <f t="shared" si="137"/>
        <v>0</v>
      </c>
      <c r="Y1004" s="44">
        <f t="shared" si="138"/>
        <v>0</v>
      </c>
      <c r="Z1004" s="84"/>
      <c r="AA1004" s="78"/>
      <c r="AB1004" s="78"/>
      <c r="AC1004" s="78"/>
      <c r="AD1004" s="78"/>
      <c r="AE1004" s="78"/>
    </row>
    <row r="1005" spans="1:31" ht="12.75">
      <c r="A1005"/>
      <c r="B1005"/>
      <c r="C1005"/>
      <c r="D1005"/>
      <c r="E1005"/>
      <c r="F1005"/>
      <c r="G1005"/>
      <c r="H1005"/>
      <c r="I1005"/>
      <c r="J1005"/>
      <c r="K1005" s="100">
        <f t="shared" si="139"/>
        <v>0</v>
      </c>
      <c r="L1005" s="95"/>
      <c r="M1005" s="90">
        <f t="shared" si="133"/>
        <v>0</v>
      </c>
      <c r="N1005" s="56">
        <v>0</v>
      </c>
      <c r="O1005" s="44">
        <f t="shared" si="134"/>
        <v>0</v>
      </c>
      <c r="P1005" s="44"/>
      <c r="Q1005" s="44"/>
      <c r="R1005" s="44"/>
      <c r="S1005" s="44">
        <f t="shared" si="132"/>
        <v>0</v>
      </c>
      <c r="T1005" s="44">
        <f t="shared" si="135"/>
        <v>0</v>
      </c>
      <c r="U1005"/>
      <c r="V1005" s="43"/>
      <c r="W1005" s="44">
        <f t="shared" si="136"/>
        <v>0</v>
      </c>
      <c r="X1005" s="44">
        <f t="shared" si="137"/>
        <v>0</v>
      </c>
      <c r="Y1005" s="44">
        <f t="shared" si="138"/>
        <v>0</v>
      </c>
      <c r="Z1005" s="84"/>
      <c r="AA1005" s="78"/>
      <c r="AB1005" s="78"/>
      <c r="AC1005" s="78"/>
      <c r="AD1005" s="78"/>
      <c r="AE1005" s="78"/>
    </row>
    <row r="1006" spans="1:31" ht="12.75">
      <c r="A1006"/>
      <c r="B1006"/>
      <c r="C1006"/>
      <c r="D1006"/>
      <c r="E1006"/>
      <c r="F1006"/>
      <c r="G1006"/>
      <c r="H1006"/>
      <c r="I1006"/>
      <c r="J1006"/>
      <c r="K1006" s="100">
        <f t="shared" si="139"/>
        <v>0</v>
      </c>
      <c r="L1006" s="95"/>
      <c r="M1006" s="90">
        <f t="shared" si="133"/>
        <v>0</v>
      </c>
      <c r="N1006" s="56">
        <v>0</v>
      </c>
      <c r="O1006" s="44">
        <f t="shared" si="134"/>
        <v>0</v>
      </c>
      <c r="P1006" s="44"/>
      <c r="Q1006" s="44"/>
      <c r="R1006" s="44"/>
      <c r="S1006" s="44">
        <f t="shared" si="132"/>
        <v>0</v>
      </c>
      <c r="T1006" s="44">
        <f t="shared" si="135"/>
        <v>0</v>
      </c>
      <c r="U1006"/>
      <c r="V1006" s="43"/>
      <c r="W1006" s="44">
        <f t="shared" si="136"/>
        <v>0</v>
      </c>
      <c r="X1006" s="44">
        <f t="shared" si="137"/>
        <v>0</v>
      </c>
      <c r="Y1006" s="44">
        <f t="shared" si="138"/>
        <v>0</v>
      </c>
      <c r="Z1006" s="84"/>
      <c r="AA1006" s="78"/>
      <c r="AB1006" s="78"/>
      <c r="AC1006" s="78"/>
      <c r="AD1006" s="78"/>
      <c r="AE1006" s="78"/>
    </row>
    <row r="1007" spans="1:31" ht="12.75">
      <c r="A1007"/>
      <c r="B1007"/>
      <c r="C1007"/>
      <c r="D1007"/>
      <c r="E1007"/>
      <c r="F1007"/>
      <c r="G1007"/>
      <c r="H1007"/>
      <c r="I1007"/>
      <c r="J1007"/>
      <c r="K1007" s="100">
        <f t="shared" si="139"/>
        <v>0</v>
      </c>
      <c r="L1007" s="95"/>
      <c r="M1007" s="90">
        <f t="shared" si="133"/>
        <v>0</v>
      </c>
      <c r="N1007" s="56">
        <v>0</v>
      </c>
      <c r="O1007" s="44">
        <f t="shared" si="134"/>
        <v>0</v>
      </c>
      <c r="P1007" s="44"/>
      <c r="Q1007" s="44"/>
      <c r="R1007" s="44"/>
      <c r="S1007" s="44">
        <f t="shared" si="132"/>
        <v>0</v>
      </c>
      <c r="T1007" s="44">
        <f t="shared" si="135"/>
        <v>0</v>
      </c>
      <c r="U1007"/>
      <c r="V1007" s="43"/>
      <c r="W1007" s="44">
        <f t="shared" si="136"/>
        <v>0</v>
      </c>
      <c r="X1007" s="44">
        <f t="shared" si="137"/>
        <v>0</v>
      </c>
      <c r="Y1007" s="44">
        <f t="shared" si="138"/>
        <v>0</v>
      </c>
      <c r="Z1007" s="84"/>
      <c r="AA1007" s="78"/>
      <c r="AB1007" s="78"/>
      <c r="AC1007" s="78"/>
      <c r="AD1007" s="78"/>
      <c r="AE1007" s="78"/>
    </row>
    <row r="1008" spans="1:31" ht="12.75">
      <c r="A1008"/>
      <c r="B1008"/>
      <c r="C1008"/>
      <c r="D1008"/>
      <c r="E1008"/>
      <c r="F1008"/>
      <c r="G1008"/>
      <c r="H1008"/>
      <c r="I1008"/>
      <c r="J1008"/>
      <c r="K1008" s="100">
        <f t="shared" si="139"/>
        <v>0</v>
      </c>
      <c r="L1008" s="95"/>
      <c r="M1008" s="90">
        <f t="shared" si="133"/>
        <v>0</v>
      </c>
      <c r="N1008" s="56">
        <v>0</v>
      </c>
      <c r="O1008" s="44">
        <f t="shared" si="134"/>
        <v>0</v>
      </c>
      <c r="P1008" s="44"/>
      <c r="Q1008" s="44"/>
      <c r="R1008" s="44"/>
      <c r="S1008" s="44">
        <f t="shared" si="132"/>
        <v>0</v>
      </c>
      <c r="T1008" s="44">
        <f t="shared" si="135"/>
        <v>0</v>
      </c>
      <c r="U1008"/>
      <c r="V1008" s="43"/>
      <c r="W1008" s="44">
        <f t="shared" si="136"/>
        <v>0</v>
      </c>
      <c r="X1008" s="44">
        <f t="shared" si="137"/>
        <v>0</v>
      </c>
      <c r="Y1008" s="44">
        <f t="shared" si="138"/>
        <v>0</v>
      </c>
      <c r="Z1008" s="84"/>
      <c r="AA1008" s="78"/>
      <c r="AB1008" s="78"/>
      <c r="AC1008" s="78"/>
      <c r="AD1008" s="78"/>
      <c r="AE1008" s="78"/>
    </row>
    <row r="1009" spans="1:31" ht="12.75">
      <c r="A1009"/>
      <c r="B1009"/>
      <c r="C1009"/>
      <c r="D1009"/>
      <c r="E1009"/>
      <c r="F1009"/>
      <c r="G1009"/>
      <c r="H1009"/>
      <c r="I1009"/>
      <c r="J1009"/>
      <c r="K1009" s="100">
        <f t="shared" si="139"/>
        <v>0</v>
      </c>
      <c r="L1009" s="95"/>
      <c r="M1009" s="90">
        <f t="shared" si="133"/>
        <v>0</v>
      </c>
      <c r="N1009" s="56">
        <v>0</v>
      </c>
      <c r="O1009" s="44">
        <f t="shared" si="134"/>
        <v>0</v>
      </c>
      <c r="P1009" s="44"/>
      <c r="Q1009" s="44"/>
      <c r="R1009" s="44"/>
      <c r="S1009" s="44">
        <f t="shared" si="132"/>
        <v>0</v>
      </c>
      <c r="T1009" s="44">
        <f t="shared" si="135"/>
        <v>0</v>
      </c>
      <c r="U1009"/>
      <c r="V1009" s="43"/>
      <c r="W1009" s="44">
        <f t="shared" si="136"/>
        <v>0</v>
      </c>
      <c r="X1009" s="44">
        <f t="shared" si="137"/>
        <v>0</v>
      </c>
      <c r="Y1009" s="44">
        <f t="shared" si="138"/>
        <v>0</v>
      </c>
      <c r="Z1009" s="84"/>
      <c r="AA1009" s="78"/>
      <c r="AB1009" s="78"/>
      <c r="AC1009" s="78"/>
      <c r="AD1009" s="78"/>
      <c r="AE1009" s="78"/>
    </row>
    <row r="1010" spans="1:31" ht="12.75">
      <c r="A1010"/>
      <c r="B1010"/>
      <c r="C1010"/>
      <c r="D1010"/>
      <c r="E1010"/>
      <c r="F1010"/>
      <c r="G1010"/>
      <c r="H1010"/>
      <c r="I1010"/>
      <c r="J1010"/>
      <c r="K1010" s="100">
        <f t="shared" si="139"/>
        <v>0</v>
      </c>
      <c r="L1010" s="95"/>
      <c r="M1010" s="90">
        <f t="shared" si="133"/>
        <v>0</v>
      </c>
      <c r="N1010" s="56">
        <v>0</v>
      </c>
      <c r="O1010" s="44">
        <f t="shared" si="134"/>
        <v>0</v>
      </c>
      <c r="P1010" s="44"/>
      <c r="Q1010" s="44"/>
      <c r="R1010" s="44"/>
      <c r="S1010" s="44">
        <f t="shared" si="132"/>
        <v>0</v>
      </c>
      <c r="T1010" s="44">
        <f t="shared" si="135"/>
        <v>0</v>
      </c>
      <c r="U1010"/>
      <c r="V1010" s="43"/>
      <c r="W1010" s="44">
        <f t="shared" si="136"/>
        <v>0</v>
      </c>
      <c r="X1010" s="44">
        <f t="shared" si="137"/>
        <v>0</v>
      </c>
      <c r="Y1010" s="44">
        <f t="shared" si="138"/>
        <v>0</v>
      </c>
      <c r="Z1010" s="84"/>
      <c r="AA1010" s="78"/>
      <c r="AB1010" s="78"/>
      <c r="AC1010" s="78"/>
      <c r="AD1010" s="78"/>
      <c r="AE1010" s="78"/>
    </row>
    <row r="1011" spans="1:31" ht="12.75">
      <c r="A1011"/>
      <c r="B1011"/>
      <c r="C1011"/>
      <c r="D1011"/>
      <c r="E1011"/>
      <c r="F1011"/>
      <c r="G1011"/>
      <c r="H1011"/>
      <c r="I1011"/>
      <c r="J1011"/>
      <c r="K1011" s="100">
        <f t="shared" si="139"/>
        <v>0</v>
      </c>
      <c r="L1011" s="95"/>
      <c r="M1011" s="90">
        <f t="shared" si="133"/>
        <v>0</v>
      </c>
      <c r="N1011" s="56">
        <v>0</v>
      </c>
      <c r="O1011" s="44">
        <f t="shared" si="134"/>
        <v>0</v>
      </c>
      <c r="P1011" s="44"/>
      <c r="Q1011" s="44"/>
      <c r="R1011" s="44"/>
      <c r="S1011" s="44">
        <f t="shared" si="132"/>
        <v>0</v>
      </c>
      <c r="T1011" s="44">
        <f t="shared" si="135"/>
        <v>0</v>
      </c>
      <c r="U1011"/>
      <c r="V1011" s="43"/>
      <c r="W1011" s="44">
        <f t="shared" si="136"/>
        <v>0</v>
      </c>
      <c r="X1011" s="44">
        <f t="shared" si="137"/>
        <v>0</v>
      </c>
      <c r="Y1011" s="44">
        <f t="shared" si="138"/>
        <v>0</v>
      </c>
      <c r="Z1011" s="84"/>
      <c r="AA1011" s="78"/>
      <c r="AB1011" s="78"/>
      <c r="AC1011" s="78"/>
      <c r="AD1011" s="78"/>
      <c r="AE1011" s="78"/>
    </row>
    <row r="1012" spans="1:31" ht="12.75">
      <c r="A1012"/>
      <c r="B1012"/>
      <c r="C1012"/>
      <c r="D1012"/>
      <c r="E1012"/>
      <c r="F1012"/>
      <c r="G1012"/>
      <c r="H1012"/>
      <c r="I1012"/>
      <c r="J1012"/>
      <c r="K1012" s="100">
        <f t="shared" si="139"/>
        <v>0</v>
      </c>
      <c r="L1012" s="95"/>
      <c r="M1012" s="90">
        <f t="shared" si="133"/>
        <v>0</v>
      </c>
      <c r="N1012" s="56">
        <v>0</v>
      </c>
      <c r="O1012" s="44">
        <f t="shared" si="134"/>
        <v>0</v>
      </c>
      <c r="P1012" s="44"/>
      <c r="Q1012" s="44"/>
      <c r="R1012" s="44"/>
      <c r="S1012" s="44">
        <f t="shared" si="132"/>
        <v>0</v>
      </c>
      <c r="T1012" s="44">
        <f t="shared" si="135"/>
        <v>0</v>
      </c>
      <c r="U1012"/>
      <c r="V1012" s="43"/>
      <c r="W1012" s="44">
        <f t="shared" si="136"/>
        <v>0</v>
      </c>
      <c r="X1012" s="44">
        <f t="shared" si="137"/>
        <v>0</v>
      </c>
      <c r="Y1012" s="44">
        <f t="shared" si="138"/>
        <v>0</v>
      </c>
      <c r="Z1012" s="84"/>
      <c r="AA1012" s="78"/>
      <c r="AB1012" s="78"/>
      <c r="AC1012" s="78"/>
      <c r="AD1012" s="78"/>
      <c r="AE1012" s="78"/>
    </row>
    <row r="1013" spans="1:31" ht="12.75">
      <c r="A1013"/>
      <c r="B1013"/>
      <c r="C1013"/>
      <c r="D1013"/>
      <c r="E1013"/>
      <c r="F1013"/>
      <c r="G1013"/>
      <c r="H1013"/>
      <c r="I1013"/>
      <c r="J1013"/>
      <c r="K1013" s="100">
        <f t="shared" si="139"/>
        <v>0</v>
      </c>
      <c r="L1013" s="95"/>
      <c r="M1013" s="90">
        <f t="shared" si="133"/>
        <v>0</v>
      </c>
      <c r="N1013" s="56">
        <v>0</v>
      </c>
      <c r="O1013" s="44">
        <f t="shared" si="134"/>
        <v>0</v>
      </c>
      <c r="P1013" s="44"/>
      <c r="Q1013" s="44"/>
      <c r="R1013" s="44"/>
      <c r="S1013" s="44">
        <f t="shared" si="132"/>
        <v>0</v>
      </c>
      <c r="T1013" s="44">
        <f t="shared" si="135"/>
        <v>0</v>
      </c>
      <c r="U1013"/>
      <c r="V1013" s="43"/>
      <c r="W1013" s="44">
        <f t="shared" si="136"/>
        <v>0</v>
      </c>
      <c r="X1013" s="44">
        <f t="shared" si="137"/>
        <v>0</v>
      </c>
      <c r="Y1013" s="44">
        <f t="shared" si="138"/>
        <v>0</v>
      </c>
      <c r="Z1013" s="84"/>
      <c r="AA1013" s="78"/>
      <c r="AB1013" s="78"/>
      <c r="AC1013" s="78"/>
      <c r="AD1013" s="78"/>
      <c r="AE1013" s="78"/>
    </row>
    <row r="1014" spans="1:31" ht="12.75">
      <c r="A1014"/>
      <c r="B1014"/>
      <c r="C1014"/>
      <c r="D1014"/>
      <c r="E1014"/>
      <c r="F1014"/>
      <c r="G1014"/>
      <c r="H1014"/>
      <c r="I1014"/>
      <c r="J1014"/>
      <c r="K1014" s="100">
        <f t="shared" si="139"/>
        <v>0</v>
      </c>
      <c r="L1014" s="95"/>
      <c r="M1014" s="90">
        <f t="shared" si="133"/>
        <v>0</v>
      </c>
      <c r="N1014" s="56">
        <v>0</v>
      </c>
      <c r="O1014" s="44">
        <f t="shared" si="134"/>
        <v>0</v>
      </c>
      <c r="P1014" s="44"/>
      <c r="Q1014" s="44"/>
      <c r="R1014" s="44"/>
      <c r="S1014" s="44">
        <f t="shared" si="132"/>
        <v>0</v>
      </c>
      <c r="T1014" s="44">
        <f t="shared" si="135"/>
        <v>0</v>
      </c>
      <c r="U1014"/>
      <c r="V1014" s="43"/>
      <c r="W1014" s="44">
        <f t="shared" si="136"/>
        <v>0</v>
      </c>
      <c r="X1014" s="44">
        <f t="shared" si="137"/>
        <v>0</v>
      </c>
      <c r="Y1014" s="44">
        <f t="shared" si="138"/>
        <v>0</v>
      </c>
      <c r="Z1014" s="84"/>
      <c r="AA1014" s="78"/>
      <c r="AB1014" s="78"/>
      <c r="AC1014" s="78"/>
      <c r="AD1014" s="78"/>
      <c r="AE1014" s="78"/>
    </row>
    <row r="1015" spans="1:31" ht="12.75">
      <c r="A1015"/>
      <c r="B1015"/>
      <c r="C1015"/>
      <c r="D1015"/>
      <c r="E1015"/>
      <c r="F1015"/>
      <c r="G1015"/>
      <c r="H1015"/>
      <c r="I1015"/>
      <c r="J1015"/>
      <c r="K1015" s="100">
        <f t="shared" si="139"/>
        <v>0</v>
      </c>
      <c r="L1015" s="95"/>
      <c r="M1015" s="90">
        <f t="shared" si="133"/>
        <v>0</v>
      </c>
      <c r="N1015" s="56">
        <v>0</v>
      </c>
      <c r="O1015" s="44">
        <f t="shared" si="134"/>
        <v>0</v>
      </c>
      <c r="P1015" s="44"/>
      <c r="Q1015" s="44"/>
      <c r="R1015" s="44"/>
      <c r="S1015" s="44">
        <f t="shared" si="132"/>
        <v>0</v>
      </c>
      <c r="T1015" s="44">
        <f t="shared" si="135"/>
        <v>0</v>
      </c>
      <c r="U1015"/>
      <c r="V1015" s="43"/>
      <c r="W1015" s="44">
        <f t="shared" si="136"/>
        <v>0</v>
      </c>
      <c r="X1015" s="44">
        <f t="shared" si="137"/>
        <v>0</v>
      </c>
      <c r="Y1015" s="44">
        <f t="shared" si="138"/>
        <v>0</v>
      </c>
      <c r="Z1015" s="84"/>
      <c r="AA1015" s="78"/>
      <c r="AB1015" s="78"/>
      <c r="AC1015" s="78"/>
      <c r="AD1015" s="78"/>
      <c r="AE1015" s="78"/>
    </row>
    <row r="1016" spans="1:31" ht="12.75">
      <c r="A1016"/>
      <c r="B1016"/>
      <c r="C1016"/>
      <c r="D1016"/>
      <c r="E1016"/>
      <c r="F1016"/>
      <c r="G1016"/>
      <c r="H1016"/>
      <c r="I1016"/>
      <c r="J1016"/>
      <c r="K1016" s="100">
        <f t="shared" si="139"/>
        <v>0</v>
      </c>
      <c r="L1016" s="95"/>
      <c r="M1016" s="90">
        <f t="shared" si="133"/>
        <v>0</v>
      </c>
      <c r="N1016" s="56">
        <v>0</v>
      </c>
      <c r="O1016" s="44">
        <f t="shared" si="134"/>
        <v>0</v>
      </c>
      <c r="P1016" s="44"/>
      <c r="Q1016" s="44"/>
      <c r="R1016" s="44"/>
      <c r="S1016" s="44">
        <f t="shared" si="132"/>
        <v>0</v>
      </c>
      <c r="T1016" s="44">
        <f t="shared" si="135"/>
        <v>0</v>
      </c>
      <c r="U1016"/>
      <c r="V1016" s="43"/>
      <c r="W1016" s="44">
        <f t="shared" si="136"/>
        <v>0</v>
      </c>
      <c r="X1016" s="44">
        <f t="shared" si="137"/>
        <v>0</v>
      </c>
      <c r="Y1016" s="44">
        <f t="shared" si="138"/>
        <v>0</v>
      </c>
      <c r="Z1016" s="84"/>
      <c r="AA1016" s="78"/>
      <c r="AB1016" s="78"/>
      <c r="AC1016" s="78"/>
      <c r="AD1016" s="78"/>
      <c r="AE1016" s="78"/>
    </row>
    <row r="1017" spans="1:31" ht="12.75">
      <c r="A1017"/>
      <c r="B1017"/>
      <c r="C1017"/>
      <c r="D1017"/>
      <c r="E1017"/>
      <c r="F1017"/>
      <c r="G1017"/>
      <c r="H1017"/>
      <c r="I1017"/>
      <c r="J1017"/>
      <c r="K1017" s="100">
        <f t="shared" si="139"/>
        <v>0</v>
      </c>
      <c r="L1017" s="95"/>
      <c r="M1017" s="90">
        <f t="shared" si="133"/>
        <v>0</v>
      </c>
      <c r="N1017" s="56">
        <v>0</v>
      </c>
      <c r="O1017" s="44">
        <f t="shared" si="134"/>
        <v>0</v>
      </c>
      <c r="P1017" s="44"/>
      <c r="Q1017" s="44"/>
      <c r="R1017" s="44"/>
      <c r="S1017" s="44">
        <f t="shared" si="132"/>
        <v>0</v>
      </c>
      <c r="T1017" s="44">
        <f t="shared" si="135"/>
        <v>0</v>
      </c>
      <c r="U1017"/>
      <c r="V1017" s="43"/>
      <c r="W1017" s="44">
        <f t="shared" si="136"/>
        <v>0</v>
      </c>
      <c r="X1017" s="44">
        <f t="shared" si="137"/>
        <v>0</v>
      </c>
      <c r="Y1017" s="44">
        <f t="shared" si="138"/>
        <v>0</v>
      </c>
      <c r="Z1017" s="84"/>
      <c r="AA1017" s="78"/>
      <c r="AB1017" s="78"/>
      <c r="AC1017" s="78"/>
      <c r="AD1017" s="78"/>
      <c r="AE1017" s="78"/>
    </row>
    <row r="1018" spans="1:31" ht="12.75">
      <c r="A1018"/>
      <c r="B1018"/>
      <c r="C1018"/>
      <c r="D1018"/>
      <c r="E1018"/>
      <c r="F1018"/>
      <c r="G1018"/>
      <c r="H1018"/>
      <c r="I1018"/>
      <c r="J1018"/>
      <c r="K1018" s="100">
        <f t="shared" si="139"/>
        <v>0</v>
      </c>
      <c r="L1018" s="95"/>
      <c r="M1018" s="90">
        <f t="shared" si="133"/>
        <v>0</v>
      </c>
      <c r="N1018" s="56">
        <v>0</v>
      </c>
      <c r="O1018" s="44">
        <f t="shared" si="134"/>
        <v>0</v>
      </c>
      <c r="P1018" s="44"/>
      <c r="Q1018" s="44"/>
      <c r="R1018" s="44"/>
      <c r="S1018" s="44">
        <f t="shared" si="132"/>
        <v>0</v>
      </c>
      <c r="T1018" s="44">
        <f t="shared" si="135"/>
        <v>0</v>
      </c>
      <c r="U1018"/>
      <c r="V1018" s="43"/>
      <c r="W1018" s="44">
        <f t="shared" si="136"/>
        <v>0</v>
      </c>
      <c r="X1018" s="44">
        <f t="shared" si="137"/>
        <v>0</v>
      </c>
      <c r="Y1018" s="44">
        <f t="shared" si="138"/>
        <v>0</v>
      </c>
      <c r="Z1018" s="84"/>
      <c r="AA1018" s="78"/>
      <c r="AB1018" s="78"/>
      <c r="AC1018" s="78"/>
      <c r="AD1018" s="78"/>
      <c r="AE1018" s="78"/>
    </row>
    <row r="1019" spans="1:31" ht="12.75">
      <c r="A1019"/>
      <c r="B1019"/>
      <c r="C1019"/>
      <c r="D1019"/>
      <c r="E1019"/>
      <c r="F1019"/>
      <c r="G1019"/>
      <c r="H1019"/>
      <c r="I1019"/>
      <c r="J1019"/>
      <c r="K1019" s="100">
        <f t="shared" ref="K1019:K1055" si="140">+I1019*J1019</f>
        <v>0</v>
      </c>
      <c r="L1019" s="95"/>
      <c r="M1019" s="90">
        <f t="shared" si="133"/>
        <v>0</v>
      </c>
      <c r="N1019" s="56">
        <v>0</v>
      </c>
      <c r="O1019" s="44">
        <f t="shared" si="134"/>
        <v>0</v>
      </c>
      <c r="P1019" s="44"/>
      <c r="Q1019" s="44"/>
      <c r="R1019" s="44"/>
      <c r="S1019" s="44">
        <f t="shared" ref="S1019:S1055" si="141">IF(R1019="y",+P1019*0.01,0)</f>
        <v>0</v>
      </c>
      <c r="T1019" s="44">
        <f t="shared" si="135"/>
        <v>0</v>
      </c>
      <c r="U1019"/>
      <c r="V1019" s="43"/>
      <c r="W1019" s="44">
        <f t="shared" si="136"/>
        <v>0</v>
      </c>
      <c r="X1019" s="44">
        <f t="shared" si="137"/>
        <v>0</v>
      </c>
      <c r="Y1019" s="44">
        <f t="shared" si="138"/>
        <v>0</v>
      </c>
      <c r="Z1019" s="84"/>
      <c r="AA1019" s="78"/>
      <c r="AB1019" s="78"/>
      <c r="AC1019" s="78"/>
      <c r="AD1019" s="78"/>
      <c r="AE1019" s="78"/>
    </row>
    <row r="1020" spans="1:31" ht="12.75">
      <c r="A1020"/>
      <c r="B1020"/>
      <c r="C1020"/>
      <c r="D1020"/>
      <c r="E1020"/>
      <c r="F1020"/>
      <c r="G1020"/>
      <c r="H1020"/>
      <c r="I1020"/>
      <c r="J1020"/>
      <c r="K1020" s="100">
        <f t="shared" si="140"/>
        <v>0</v>
      </c>
      <c r="L1020" s="95"/>
      <c r="M1020" s="90">
        <f t="shared" si="133"/>
        <v>0</v>
      </c>
      <c r="N1020" s="56">
        <v>0</v>
      </c>
      <c r="O1020" s="44">
        <f t="shared" si="134"/>
        <v>0</v>
      </c>
      <c r="P1020" s="44"/>
      <c r="Q1020" s="44"/>
      <c r="R1020" s="44"/>
      <c r="S1020" s="44">
        <f t="shared" si="141"/>
        <v>0</v>
      </c>
      <c r="T1020" s="44">
        <f t="shared" si="135"/>
        <v>0</v>
      </c>
      <c r="U1020"/>
      <c r="V1020" s="43"/>
      <c r="W1020" s="44">
        <f t="shared" si="136"/>
        <v>0</v>
      </c>
      <c r="X1020" s="44">
        <f t="shared" si="137"/>
        <v>0</v>
      </c>
      <c r="Y1020" s="44">
        <f t="shared" si="138"/>
        <v>0</v>
      </c>
      <c r="Z1020" s="84"/>
      <c r="AA1020" s="78"/>
      <c r="AB1020" s="78"/>
      <c r="AC1020" s="78"/>
      <c r="AD1020" s="78"/>
      <c r="AE1020" s="78"/>
    </row>
    <row r="1021" spans="1:31" ht="12.75">
      <c r="A1021"/>
      <c r="B1021"/>
      <c r="C1021"/>
      <c r="D1021"/>
      <c r="E1021"/>
      <c r="F1021"/>
      <c r="G1021"/>
      <c r="H1021"/>
      <c r="I1021"/>
      <c r="J1021"/>
      <c r="K1021" s="100">
        <f t="shared" si="140"/>
        <v>0</v>
      </c>
      <c r="L1021" s="95"/>
      <c r="M1021" s="90">
        <f t="shared" si="133"/>
        <v>0</v>
      </c>
      <c r="N1021" s="56">
        <v>0</v>
      </c>
      <c r="O1021" s="44">
        <f t="shared" si="134"/>
        <v>0</v>
      </c>
      <c r="P1021" s="44"/>
      <c r="Q1021" s="44"/>
      <c r="R1021" s="44"/>
      <c r="S1021" s="44">
        <f t="shared" si="141"/>
        <v>0</v>
      </c>
      <c r="T1021" s="44">
        <f t="shared" si="135"/>
        <v>0</v>
      </c>
      <c r="U1021"/>
      <c r="V1021" s="43"/>
      <c r="W1021" s="44">
        <f t="shared" si="136"/>
        <v>0</v>
      </c>
      <c r="X1021" s="44">
        <f t="shared" si="137"/>
        <v>0</v>
      </c>
      <c r="Y1021" s="44">
        <f t="shared" si="138"/>
        <v>0</v>
      </c>
      <c r="Z1021" s="84"/>
      <c r="AA1021" s="78"/>
      <c r="AB1021" s="78"/>
      <c r="AC1021" s="78"/>
      <c r="AD1021" s="78"/>
      <c r="AE1021" s="78"/>
    </row>
    <row r="1022" spans="1:31" ht="12.75">
      <c r="A1022"/>
      <c r="B1022"/>
      <c r="C1022"/>
      <c r="D1022"/>
      <c r="E1022"/>
      <c r="F1022"/>
      <c r="G1022"/>
      <c r="H1022"/>
      <c r="I1022"/>
      <c r="J1022"/>
      <c r="K1022" s="100">
        <f t="shared" si="140"/>
        <v>0</v>
      </c>
      <c r="L1022" s="95"/>
      <c r="M1022" s="90">
        <f t="shared" si="133"/>
        <v>0</v>
      </c>
      <c r="N1022" s="56">
        <v>0</v>
      </c>
      <c r="O1022" s="44">
        <f t="shared" si="134"/>
        <v>0</v>
      </c>
      <c r="P1022" s="44"/>
      <c r="Q1022" s="44"/>
      <c r="R1022" s="44"/>
      <c r="S1022" s="44">
        <f t="shared" si="141"/>
        <v>0</v>
      </c>
      <c r="T1022" s="44">
        <f t="shared" si="135"/>
        <v>0</v>
      </c>
      <c r="U1022"/>
      <c r="V1022" s="43"/>
      <c r="W1022" s="44">
        <f t="shared" si="136"/>
        <v>0</v>
      </c>
      <c r="X1022" s="44">
        <f t="shared" si="137"/>
        <v>0</v>
      </c>
      <c r="Y1022" s="44">
        <f t="shared" si="138"/>
        <v>0</v>
      </c>
      <c r="Z1022" s="84"/>
      <c r="AA1022" s="78"/>
      <c r="AB1022" s="78"/>
      <c r="AC1022" s="78"/>
      <c r="AD1022" s="78"/>
      <c r="AE1022" s="78"/>
    </row>
    <row r="1023" spans="1:31" ht="12.75">
      <c r="A1023"/>
      <c r="B1023"/>
      <c r="C1023"/>
      <c r="D1023"/>
      <c r="E1023"/>
      <c r="F1023"/>
      <c r="G1023"/>
      <c r="H1023"/>
      <c r="I1023"/>
      <c r="J1023"/>
      <c r="K1023" s="100">
        <f t="shared" si="140"/>
        <v>0</v>
      </c>
      <c r="L1023" s="95"/>
      <c r="M1023" s="90">
        <f t="shared" si="133"/>
        <v>0</v>
      </c>
      <c r="N1023" s="56">
        <v>0</v>
      </c>
      <c r="O1023" s="44">
        <f t="shared" si="134"/>
        <v>0</v>
      </c>
      <c r="P1023" s="44"/>
      <c r="Q1023" s="44"/>
      <c r="R1023" s="44"/>
      <c r="S1023" s="44">
        <f t="shared" si="141"/>
        <v>0</v>
      </c>
      <c r="T1023" s="44">
        <f t="shared" si="135"/>
        <v>0</v>
      </c>
      <c r="U1023"/>
      <c r="V1023" s="43"/>
      <c r="W1023" s="44">
        <f t="shared" si="136"/>
        <v>0</v>
      </c>
      <c r="X1023" s="44">
        <f t="shared" si="137"/>
        <v>0</v>
      </c>
      <c r="Y1023" s="44">
        <f t="shared" si="138"/>
        <v>0</v>
      </c>
      <c r="Z1023" s="84"/>
      <c r="AA1023" s="78"/>
      <c r="AB1023" s="78"/>
      <c r="AC1023" s="78"/>
      <c r="AD1023" s="78"/>
      <c r="AE1023" s="78"/>
    </row>
    <row r="1024" spans="1:31" ht="12.75">
      <c r="A1024"/>
      <c r="B1024"/>
      <c r="C1024"/>
      <c r="D1024"/>
      <c r="E1024"/>
      <c r="F1024"/>
      <c r="G1024"/>
      <c r="H1024"/>
      <c r="I1024"/>
      <c r="J1024"/>
      <c r="K1024" s="100">
        <f t="shared" si="140"/>
        <v>0</v>
      </c>
      <c r="L1024" s="95"/>
      <c r="M1024" s="90">
        <f t="shared" si="133"/>
        <v>0</v>
      </c>
      <c r="N1024" s="56">
        <v>0</v>
      </c>
      <c r="O1024" s="44">
        <f t="shared" si="134"/>
        <v>0</v>
      </c>
      <c r="P1024" s="44"/>
      <c r="Q1024" s="44"/>
      <c r="R1024" s="44"/>
      <c r="S1024" s="44">
        <f t="shared" si="141"/>
        <v>0</v>
      </c>
      <c r="T1024" s="44">
        <f t="shared" si="135"/>
        <v>0</v>
      </c>
      <c r="U1024"/>
      <c r="V1024" s="43"/>
      <c r="W1024" s="44">
        <f t="shared" si="136"/>
        <v>0</v>
      </c>
      <c r="X1024" s="44">
        <f t="shared" si="137"/>
        <v>0</v>
      </c>
      <c r="Y1024" s="44">
        <f t="shared" si="138"/>
        <v>0</v>
      </c>
      <c r="Z1024" s="84"/>
      <c r="AA1024" s="78"/>
      <c r="AB1024" s="78"/>
      <c r="AC1024" s="78"/>
      <c r="AD1024" s="78"/>
      <c r="AE1024" s="78"/>
    </row>
    <row r="1025" spans="1:31" ht="12.75">
      <c r="A1025"/>
      <c r="B1025"/>
      <c r="C1025"/>
      <c r="D1025"/>
      <c r="E1025"/>
      <c r="F1025"/>
      <c r="G1025"/>
      <c r="H1025"/>
      <c r="I1025"/>
      <c r="J1025"/>
      <c r="K1025" s="100">
        <f t="shared" si="140"/>
        <v>0</v>
      </c>
      <c r="L1025" s="95"/>
      <c r="M1025" s="90">
        <f t="shared" si="133"/>
        <v>0</v>
      </c>
      <c r="N1025" s="56">
        <v>0</v>
      </c>
      <c r="O1025" s="44">
        <f t="shared" si="134"/>
        <v>0</v>
      </c>
      <c r="P1025" s="44"/>
      <c r="Q1025" s="44"/>
      <c r="R1025" s="44"/>
      <c r="S1025" s="44">
        <f t="shared" si="141"/>
        <v>0</v>
      </c>
      <c r="T1025" s="44">
        <f t="shared" si="135"/>
        <v>0</v>
      </c>
      <c r="U1025"/>
      <c r="V1025" s="43"/>
      <c r="W1025" s="44">
        <f t="shared" si="136"/>
        <v>0</v>
      </c>
      <c r="X1025" s="44">
        <f t="shared" si="137"/>
        <v>0</v>
      </c>
      <c r="Y1025" s="44">
        <f t="shared" si="138"/>
        <v>0</v>
      </c>
      <c r="Z1025" s="84"/>
      <c r="AA1025" s="78"/>
      <c r="AB1025" s="78"/>
      <c r="AC1025" s="78"/>
      <c r="AD1025" s="78"/>
      <c r="AE1025" s="78"/>
    </row>
    <row r="1026" spans="1:31" ht="12.75">
      <c r="A1026"/>
      <c r="B1026"/>
      <c r="C1026"/>
      <c r="D1026"/>
      <c r="E1026"/>
      <c r="F1026"/>
      <c r="G1026"/>
      <c r="H1026"/>
      <c r="I1026"/>
      <c r="J1026"/>
      <c r="K1026" s="100">
        <f t="shared" si="140"/>
        <v>0</v>
      </c>
      <c r="L1026" s="95"/>
      <c r="M1026" s="90">
        <f t="shared" si="133"/>
        <v>0</v>
      </c>
      <c r="N1026" s="56">
        <v>0</v>
      </c>
      <c r="O1026" s="44">
        <f t="shared" si="134"/>
        <v>0</v>
      </c>
      <c r="P1026" s="44"/>
      <c r="Q1026" s="44"/>
      <c r="R1026" s="44"/>
      <c r="S1026" s="44">
        <f t="shared" si="141"/>
        <v>0</v>
      </c>
      <c r="T1026" s="44">
        <f t="shared" si="135"/>
        <v>0</v>
      </c>
      <c r="U1026"/>
      <c r="V1026" s="43"/>
      <c r="W1026" s="44">
        <f t="shared" si="136"/>
        <v>0</v>
      </c>
      <c r="X1026" s="44">
        <f t="shared" si="137"/>
        <v>0</v>
      </c>
      <c r="Y1026" s="44">
        <f t="shared" si="138"/>
        <v>0</v>
      </c>
      <c r="Z1026" s="84"/>
      <c r="AA1026" s="78"/>
      <c r="AB1026" s="78"/>
      <c r="AC1026" s="78"/>
      <c r="AD1026" s="78"/>
      <c r="AE1026" s="78"/>
    </row>
    <row r="1027" spans="1:31" ht="12.75">
      <c r="A1027"/>
      <c r="B1027"/>
      <c r="C1027"/>
      <c r="D1027"/>
      <c r="E1027"/>
      <c r="F1027"/>
      <c r="G1027"/>
      <c r="H1027"/>
      <c r="I1027"/>
      <c r="J1027"/>
      <c r="K1027" s="100">
        <f t="shared" si="140"/>
        <v>0</v>
      </c>
      <c r="L1027" s="95"/>
      <c r="M1027" s="90">
        <f t="shared" si="133"/>
        <v>0</v>
      </c>
      <c r="N1027" s="56">
        <v>0</v>
      </c>
      <c r="O1027" s="44">
        <f t="shared" si="134"/>
        <v>0</v>
      </c>
      <c r="P1027" s="44"/>
      <c r="Q1027" s="44"/>
      <c r="R1027" s="44"/>
      <c r="S1027" s="44">
        <f t="shared" si="141"/>
        <v>0</v>
      </c>
      <c r="T1027" s="44">
        <f t="shared" si="135"/>
        <v>0</v>
      </c>
      <c r="U1027"/>
      <c r="V1027" s="43"/>
      <c r="W1027" s="44">
        <f t="shared" si="136"/>
        <v>0</v>
      </c>
      <c r="X1027" s="44">
        <f t="shared" si="137"/>
        <v>0</v>
      </c>
      <c r="Y1027" s="44">
        <f t="shared" si="138"/>
        <v>0</v>
      </c>
      <c r="Z1027" s="84"/>
      <c r="AA1027" s="78"/>
      <c r="AB1027" s="78"/>
      <c r="AC1027" s="78"/>
      <c r="AD1027" s="78"/>
      <c r="AE1027" s="78"/>
    </row>
    <row r="1028" spans="1:31" ht="12.75">
      <c r="A1028"/>
      <c r="B1028"/>
      <c r="C1028"/>
      <c r="D1028"/>
      <c r="E1028"/>
      <c r="F1028"/>
      <c r="G1028"/>
      <c r="H1028"/>
      <c r="I1028"/>
      <c r="J1028"/>
      <c r="K1028" s="100">
        <f t="shared" si="140"/>
        <v>0</v>
      </c>
      <c r="L1028" s="95"/>
      <c r="M1028" s="90">
        <f t="shared" si="133"/>
        <v>0</v>
      </c>
      <c r="N1028" s="56">
        <v>0</v>
      </c>
      <c r="O1028" s="44">
        <f t="shared" si="134"/>
        <v>0</v>
      </c>
      <c r="P1028" s="44"/>
      <c r="Q1028" s="44"/>
      <c r="R1028" s="44"/>
      <c r="S1028" s="44">
        <f t="shared" si="141"/>
        <v>0</v>
      </c>
      <c r="T1028" s="44">
        <f t="shared" si="135"/>
        <v>0</v>
      </c>
      <c r="U1028"/>
      <c r="V1028" s="43"/>
      <c r="W1028" s="44">
        <f t="shared" si="136"/>
        <v>0</v>
      </c>
      <c r="X1028" s="44">
        <f t="shared" si="137"/>
        <v>0</v>
      </c>
      <c r="Y1028" s="44">
        <f t="shared" si="138"/>
        <v>0</v>
      </c>
      <c r="Z1028" s="84"/>
      <c r="AA1028" s="78"/>
      <c r="AB1028" s="78"/>
      <c r="AC1028" s="78"/>
      <c r="AD1028" s="78"/>
      <c r="AE1028" s="78"/>
    </row>
    <row r="1029" spans="1:31" ht="12.75">
      <c r="A1029"/>
      <c r="B1029"/>
      <c r="C1029"/>
      <c r="D1029"/>
      <c r="E1029"/>
      <c r="F1029"/>
      <c r="G1029"/>
      <c r="H1029"/>
      <c r="I1029"/>
      <c r="J1029"/>
      <c r="K1029" s="100">
        <f t="shared" si="140"/>
        <v>0</v>
      </c>
      <c r="L1029" s="95"/>
      <c r="M1029" s="90">
        <f t="shared" si="133"/>
        <v>0</v>
      </c>
      <c r="N1029" s="56">
        <v>0</v>
      </c>
      <c r="O1029" s="44">
        <f t="shared" si="134"/>
        <v>0</v>
      </c>
      <c r="P1029" s="44"/>
      <c r="Q1029" s="44"/>
      <c r="R1029" s="44"/>
      <c r="S1029" s="44">
        <f t="shared" si="141"/>
        <v>0</v>
      </c>
      <c r="T1029" s="44">
        <f t="shared" si="135"/>
        <v>0</v>
      </c>
      <c r="U1029"/>
      <c r="V1029" s="43"/>
      <c r="W1029" s="44">
        <f t="shared" si="136"/>
        <v>0</v>
      </c>
      <c r="X1029" s="44">
        <f t="shared" si="137"/>
        <v>0</v>
      </c>
      <c r="Y1029" s="44">
        <f t="shared" si="138"/>
        <v>0</v>
      </c>
      <c r="Z1029" s="84"/>
      <c r="AA1029" s="78"/>
      <c r="AB1029" s="78"/>
      <c r="AC1029" s="78"/>
      <c r="AD1029" s="78"/>
      <c r="AE1029" s="78"/>
    </row>
    <row r="1030" spans="1:31" ht="12.75">
      <c r="A1030"/>
      <c r="B1030"/>
      <c r="C1030"/>
      <c r="D1030"/>
      <c r="E1030"/>
      <c r="F1030"/>
      <c r="G1030"/>
      <c r="H1030"/>
      <c r="I1030"/>
      <c r="J1030"/>
      <c r="K1030" s="100">
        <f t="shared" si="140"/>
        <v>0</v>
      </c>
      <c r="L1030" s="95"/>
      <c r="M1030" s="90">
        <f t="shared" si="133"/>
        <v>0</v>
      </c>
      <c r="N1030" s="56">
        <v>0</v>
      </c>
      <c r="O1030" s="44">
        <f t="shared" si="134"/>
        <v>0</v>
      </c>
      <c r="P1030" s="44"/>
      <c r="Q1030" s="44"/>
      <c r="R1030" s="44"/>
      <c r="S1030" s="44">
        <f t="shared" si="141"/>
        <v>0</v>
      </c>
      <c r="T1030" s="44">
        <f t="shared" si="135"/>
        <v>0</v>
      </c>
      <c r="U1030"/>
      <c r="V1030" s="43"/>
      <c r="W1030" s="44">
        <f t="shared" si="136"/>
        <v>0</v>
      </c>
      <c r="X1030" s="44">
        <f t="shared" si="137"/>
        <v>0</v>
      </c>
      <c r="Y1030" s="44">
        <f t="shared" si="138"/>
        <v>0</v>
      </c>
      <c r="Z1030" s="84"/>
      <c r="AA1030" s="78"/>
      <c r="AB1030" s="78"/>
      <c r="AC1030" s="78"/>
      <c r="AD1030" s="78"/>
      <c r="AE1030" s="78"/>
    </row>
    <row r="1031" spans="1:31" ht="12.75">
      <c r="A1031"/>
      <c r="B1031"/>
      <c r="C1031"/>
      <c r="D1031"/>
      <c r="E1031"/>
      <c r="F1031"/>
      <c r="G1031"/>
      <c r="H1031"/>
      <c r="I1031"/>
      <c r="J1031"/>
      <c r="K1031" s="100">
        <f t="shared" si="140"/>
        <v>0</v>
      </c>
      <c r="L1031" s="95"/>
      <c r="M1031" s="90">
        <f t="shared" si="133"/>
        <v>0</v>
      </c>
      <c r="N1031" s="56">
        <v>0</v>
      </c>
      <c r="O1031" s="44">
        <f t="shared" si="134"/>
        <v>0</v>
      </c>
      <c r="P1031" s="44"/>
      <c r="Q1031" s="44"/>
      <c r="R1031" s="44"/>
      <c r="S1031" s="44">
        <f t="shared" si="141"/>
        <v>0</v>
      </c>
      <c r="T1031" s="44">
        <f t="shared" si="135"/>
        <v>0</v>
      </c>
      <c r="U1031"/>
      <c r="V1031" s="43"/>
      <c r="W1031" s="44">
        <f t="shared" si="136"/>
        <v>0</v>
      </c>
      <c r="X1031" s="44">
        <f t="shared" si="137"/>
        <v>0</v>
      </c>
      <c r="Y1031" s="44">
        <f t="shared" si="138"/>
        <v>0</v>
      </c>
      <c r="Z1031" s="84"/>
      <c r="AA1031" s="78"/>
      <c r="AB1031" s="78"/>
      <c r="AC1031" s="78"/>
      <c r="AD1031" s="78"/>
      <c r="AE1031" s="78"/>
    </row>
    <row r="1032" spans="1:31" ht="12.75">
      <c r="A1032"/>
      <c r="B1032"/>
      <c r="C1032"/>
      <c r="D1032"/>
      <c r="E1032"/>
      <c r="F1032"/>
      <c r="G1032"/>
      <c r="H1032"/>
      <c r="I1032"/>
      <c r="J1032"/>
      <c r="K1032" s="100">
        <f t="shared" si="140"/>
        <v>0</v>
      </c>
      <c r="L1032" s="95"/>
      <c r="M1032" s="90">
        <f t="shared" ref="M1032:M1055" si="142">ROUND(K1032*L1032,2)</f>
        <v>0</v>
      </c>
      <c r="N1032" s="56">
        <v>0</v>
      </c>
      <c r="O1032" s="44">
        <f t="shared" ref="O1032:O1055" si="143">+M1032-(M1032*N1032)</f>
        <v>0</v>
      </c>
      <c r="P1032" s="44"/>
      <c r="Q1032" s="44"/>
      <c r="R1032" s="44"/>
      <c r="S1032" s="44">
        <f t="shared" si="141"/>
        <v>0</v>
      </c>
      <c r="T1032" s="44">
        <f t="shared" ref="T1032:T1055" si="144">+O1032+P1032+Q1032+R1032</f>
        <v>0</v>
      </c>
      <c r="U1032"/>
      <c r="V1032" s="43"/>
      <c r="W1032" s="44">
        <f t="shared" ref="W1032:W1095" si="145">+O1032-U1032-V1032-Z1032</f>
        <v>0</v>
      </c>
      <c r="X1032" s="44">
        <f t="shared" ref="X1032:X1095" si="146">(+O1032-U1032-Z1032)*$X$1</f>
        <v>0</v>
      </c>
      <c r="Y1032" s="44">
        <f t="shared" ref="Y1032:Y1095" si="147">+W1032-X1032</f>
        <v>0</v>
      </c>
      <c r="Z1032" s="84"/>
      <c r="AA1032" s="78"/>
      <c r="AB1032" s="78"/>
      <c r="AC1032" s="78"/>
      <c r="AD1032" s="78"/>
      <c r="AE1032" s="78"/>
    </row>
    <row r="1033" spans="1:31" ht="12.75">
      <c r="A1033"/>
      <c r="B1033"/>
      <c r="C1033"/>
      <c r="D1033"/>
      <c r="E1033"/>
      <c r="F1033"/>
      <c r="G1033"/>
      <c r="H1033"/>
      <c r="I1033"/>
      <c r="J1033"/>
      <c r="K1033" s="100">
        <f t="shared" si="140"/>
        <v>0</v>
      </c>
      <c r="L1033" s="95"/>
      <c r="M1033" s="90">
        <f t="shared" si="142"/>
        <v>0</v>
      </c>
      <c r="N1033" s="56">
        <v>0</v>
      </c>
      <c r="O1033" s="44">
        <f t="shared" si="143"/>
        <v>0</v>
      </c>
      <c r="P1033" s="44"/>
      <c r="Q1033" s="44"/>
      <c r="R1033" s="44"/>
      <c r="S1033" s="44">
        <f t="shared" si="141"/>
        <v>0</v>
      </c>
      <c r="T1033" s="44">
        <f t="shared" si="144"/>
        <v>0</v>
      </c>
      <c r="U1033"/>
      <c r="V1033" s="43"/>
      <c r="W1033" s="44">
        <f t="shared" si="145"/>
        <v>0</v>
      </c>
      <c r="X1033" s="44">
        <f t="shared" si="146"/>
        <v>0</v>
      </c>
      <c r="Y1033" s="44">
        <f t="shared" si="147"/>
        <v>0</v>
      </c>
      <c r="Z1033" s="84"/>
      <c r="AA1033" s="78"/>
      <c r="AB1033" s="78"/>
      <c r="AC1033" s="78"/>
      <c r="AD1033" s="78"/>
      <c r="AE1033" s="78"/>
    </row>
    <row r="1034" spans="1:31" ht="12.75">
      <c r="A1034"/>
      <c r="B1034"/>
      <c r="C1034"/>
      <c r="D1034"/>
      <c r="E1034"/>
      <c r="F1034"/>
      <c r="G1034"/>
      <c r="H1034"/>
      <c r="I1034"/>
      <c r="J1034"/>
      <c r="K1034" s="100">
        <f t="shared" si="140"/>
        <v>0</v>
      </c>
      <c r="L1034" s="95"/>
      <c r="M1034" s="90">
        <f t="shared" si="142"/>
        <v>0</v>
      </c>
      <c r="N1034" s="56">
        <v>0</v>
      </c>
      <c r="O1034" s="44">
        <f t="shared" si="143"/>
        <v>0</v>
      </c>
      <c r="P1034" s="44"/>
      <c r="Q1034" s="44"/>
      <c r="R1034" s="44"/>
      <c r="S1034" s="44">
        <f t="shared" si="141"/>
        <v>0</v>
      </c>
      <c r="T1034" s="44">
        <f t="shared" si="144"/>
        <v>0</v>
      </c>
      <c r="U1034"/>
      <c r="V1034" s="43"/>
      <c r="W1034" s="44">
        <f t="shared" si="145"/>
        <v>0</v>
      </c>
      <c r="X1034" s="44">
        <f t="shared" si="146"/>
        <v>0</v>
      </c>
      <c r="Y1034" s="44">
        <f t="shared" si="147"/>
        <v>0</v>
      </c>
      <c r="Z1034" s="84"/>
      <c r="AA1034" s="78"/>
      <c r="AB1034" s="78"/>
      <c r="AC1034" s="78"/>
      <c r="AD1034" s="78"/>
      <c r="AE1034" s="78"/>
    </row>
    <row r="1035" spans="1:31" ht="12.75">
      <c r="A1035"/>
      <c r="B1035"/>
      <c r="C1035"/>
      <c r="D1035"/>
      <c r="E1035"/>
      <c r="F1035"/>
      <c r="G1035"/>
      <c r="H1035"/>
      <c r="I1035"/>
      <c r="J1035"/>
      <c r="K1035" s="100">
        <f t="shared" si="140"/>
        <v>0</v>
      </c>
      <c r="L1035" s="95"/>
      <c r="M1035" s="90">
        <f t="shared" si="142"/>
        <v>0</v>
      </c>
      <c r="N1035" s="56">
        <v>0</v>
      </c>
      <c r="O1035" s="44">
        <f t="shared" si="143"/>
        <v>0</v>
      </c>
      <c r="P1035" s="44"/>
      <c r="Q1035" s="44"/>
      <c r="R1035" s="44"/>
      <c r="S1035" s="44">
        <f t="shared" si="141"/>
        <v>0</v>
      </c>
      <c r="T1035" s="44">
        <f t="shared" si="144"/>
        <v>0</v>
      </c>
      <c r="U1035"/>
      <c r="V1035" s="43"/>
      <c r="W1035" s="44">
        <f t="shared" si="145"/>
        <v>0</v>
      </c>
      <c r="X1035" s="44">
        <f t="shared" si="146"/>
        <v>0</v>
      </c>
      <c r="Y1035" s="44">
        <f t="shared" si="147"/>
        <v>0</v>
      </c>
      <c r="Z1035" s="84"/>
      <c r="AA1035" s="78"/>
      <c r="AB1035" s="78"/>
      <c r="AC1035" s="78"/>
      <c r="AD1035" s="78"/>
      <c r="AE1035" s="78"/>
    </row>
    <row r="1036" spans="1:31" ht="12.75">
      <c r="A1036"/>
      <c r="B1036"/>
      <c r="C1036"/>
      <c r="D1036"/>
      <c r="E1036"/>
      <c r="F1036"/>
      <c r="G1036"/>
      <c r="H1036"/>
      <c r="I1036"/>
      <c r="J1036"/>
      <c r="K1036" s="100">
        <f t="shared" si="140"/>
        <v>0</v>
      </c>
      <c r="L1036" s="95"/>
      <c r="M1036" s="90">
        <f t="shared" si="142"/>
        <v>0</v>
      </c>
      <c r="N1036" s="56">
        <v>0</v>
      </c>
      <c r="O1036" s="44">
        <f t="shared" si="143"/>
        <v>0</v>
      </c>
      <c r="P1036" s="44"/>
      <c r="Q1036" s="44"/>
      <c r="R1036" s="44"/>
      <c r="S1036" s="44">
        <f t="shared" si="141"/>
        <v>0</v>
      </c>
      <c r="T1036" s="44">
        <f t="shared" si="144"/>
        <v>0</v>
      </c>
      <c r="U1036"/>
      <c r="V1036" s="43"/>
      <c r="W1036" s="44">
        <f t="shared" si="145"/>
        <v>0</v>
      </c>
      <c r="X1036" s="44">
        <f t="shared" si="146"/>
        <v>0</v>
      </c>
      <c r="Y1036" s="44">
        <f t="shared" si="147"/>
        <v>0</v>
      </c>
      <c r="Z1036" s="84"/>
      <c r="AA1036" s="78"/>
      <c r="AB1036" s="78"/>
      <c r="AC1036" s="78"/>
      <c r="AD1036" s="78"/>
      <c r="AE1036" s="78"/>
    </row>
    <row r="1037" spans="1:31" ht="12.75">
      <c r="A1037"/>
      <c r="B1037"/>
      <c r="C1037"/>
      <c r="D1037"/>
      <c r="E1037"/>
      <c r="F1037"/>
      <c r="G1037"/>
      <c r="H1037"/>
      <c r="I1037"/>
      <c r="J1037"/>
      <c r="K1037" s="100">
        <f t="shared" si="140"/>
        <v>0</v>
      </c>
      <c r="L1037" s="95"/>
      <c r="M1037" s="90">
        <f t="shared" si="142"/>
        <v>0</v>
      </c>
      <c r="N1037" s="56">
        <v>0</v>
      </c>
      <c r="O1037" s="44">
        <f t="shared" si="143"/>
        <v>0</v>
      </c>
      <c r="P1037" s="44"/>
      <c r="Q1037" s="44"/>
      <c r="R1037" s="44"/>
      <c r="S1037" s="44">
        <f t="shared" si="141"/>
        <v>0</v>
      </c>
      <c r="T1037" s="44">
        <f t="shared" si="144"/>
        <v>0</v>
      </c>
      <c r="U1037"/>
      <c r="V1037" s="43"/>
      <c r="W1037" s="44">
        <f t="shared" si="145"/>
        <v>0</v>
      </c>
      <c r="X1037" s="44">
        <f t="shared" si="146"/>
        <v>0</v>
      </c>
      <c r="Y1037" s="44">
        <f t="shared" si="147"/>
        <v>0</v>
      </c>
      <c r="Z1037" s="84"/>
      <c r="AA1037" s="78"/>
      <c r="AB1037" s="78"/>
      <c r="AC1037" s="78"/>
      <c r="AD1037" s="78"/>
      <c r="AE1037" s="78"/>
    </row>
    <row r="1038" spans="1:31" ht="12.75">
      <c r="A1038"/>
      <c r="B1038"/>
      <c r="C1038"/>
      <c r="D1038"/>
      <c r="E1038"/>
      <c r="F1038"/>
      <c r="G1038"/>
      <c r="H1038"/>
      <c r="I1038"/>
      <c r="J1038"/>
      <c r="K1038" s="100">
        <f t="shared" si="140"/>
        <v>0</v>
      </c>
      <c r="L1038" s="95"/>
      <c r="M1038" s="90">
        <f t="shared" si="142"/>
        <v>0</v>
      </c>
      <c r="N1038" s="56">
        <v>0</v>
      </c>
      <c r="O1038" s="44">
        <f t="shared" si="143"/>
        <v>0</v>
      </c>
      <c r="P1038" s="44"/>
      <c r="Q1038" s="44"/>
      <c r="R1038" s="44"/>
      <c r="S1038" s="44">
        <f t="shared" si="141"/>
        <v>0</v>
      </c>
      <c r="T1038" s="44">
        <f t="shared" si="144"/>
        <v>0</v>
      </c>
      <c r="U1038"/>
      <c r="V1038" s="43"/>
      <c r="W1038" s="44">
        <f t="shared" si="145"/>
        <v>0</v>
      </c>
      <c r="X1038" s="44">
        <f t="shared" si="146"/>
        <v>0</v>
      </c>
      <c r="Y1038" s="44">
        <f t="shared" si="147"/>
        <v>0</v>
      </c>
      <c r="Z1038" s="84"/>
      <c r="AA1038" s="78"/>
      <c r="AB1038" s="78"/>
      <c r="AC1038" s="78"/>
      <c r="AD1038" s="78"/>
      <c r="AE1038" s="78"/>
    </row>
    <row r="1039" spans="1:31" ht="12.75">
      <c r="A1039"/>
      <c r="B1039"/>
      <c r="C1039"/>
      <c r="D1039"/>
      <c r="E1039"/>
      <c r="F1039"/>
      <c r="G1039"/>
      <c r="H1039"/>
      <c r="I1039"/>
      <c r="J1039"/>
      <c r="K1039" s="100">
        <f t="shared" si="140"/>
        <v>0</v>
      </c>
      <c r="L1039" s="95"/>
      <c r="M1039" s="90">
        <f t="shared" si="142"/>
        <v>0</v>
      </c>
      <c r="N1039" s="56">
        <v>0</v>
      </c>
      <c r="O1039" s="44">
        <f t="shared" si="143"/>
        <v>0</v>
      </c>
      <c r="P1039" s="44"/>
      <c r="Q1039" s="44"/>
      <c r="R1039" s="44"/>
      <c r="S1039" s="44">
        <f t="shared" si="141"/>
        <v>0</v>
      </c>
      <c r="T1039" s="44">
        <f t="shared" si="144"/>
        <v>0</v>
      </c>
      <c r="U1039"/>
      <c r="V1039" s="43"/>
      <c r="W1039" s="44">
        <f t="shared" si="145"/>
        <v>0</v>
      </c>
      <c r="X1039" s="44">
        <f t="shared" si="146"/>
        <v>0</v>
      </c>
      <c r="Y1039" s="44">
        <f t="shared" si="147"/>
        <v>0</v>
      </c>
      <c r="Z1039" s="84"/>
      <c r="AA1039" s="78"/>
      <c r="AB1039" s="78"/>
      <c r="AC1039" s="78"/>
      <c r="AD1039" s="78"/>
      <c r="AE1039" s="78"/>
    </row>
    <row r="1040" spans="1:31" ht="12.75">
      <c r="A1040"/>
      <c r="B1040"/>
      <c r="C1040"/>
      <c r="D1040"/>
      <c r="E1040"/>
      <c r="F1040"/>
      <c r="G1040"/>
      <c r="H1040"/>
      <c r="I1040"/>
      <c r="J1040"/>
      <c r="K1040" s="100">
        <f t="shared" si="140"/>
        <v>0</v>
      </c>
      <c r="L1040" s="95"/>
      <c r="M1040" s="90">
        <f t="shared" si="142"/>
        <v>0</v>
      </c>
      <c r="N1040" s="56">
        <v>0</v>
      </c>
      <c r="O1040" s="44">
        <f t="shared" si="143"/>
        <v>0</v>
      </c>
      <c r="P1040" s="44"/>
      <c r="Q1040" s="44"/>
      <c r="R1040" s="44"/>
      <c r="S1040" s="44">
        <f t="shared" si="141"/>
        <v>0</v>
      </c>
      <c r="T1040" s="44">
        <f t="shared" si="144"/>
        <v>0</v>
      </c>
      <c r="U1040"/>
      <c r="V1040" s="43"/>
      <c r="W1040" s="44">
        <f t="shared" si="145"/>
        <v>0</v>
      </c>
      <c r="X1040" s="44">
        <f t="shared" si="146"/>
        <v>0</v>
      </c>
      <c r="Y1040" s="44">
        <f t="shared" si="147"/>
        <v>0</v>
      </c>
      <c r="Z1040" s="84"/>
      <c r="AA1040" s="78"/>
      <c r="AB1040" s="78"/>
      <c r="AC1040" s="78"/>
      <c r="AD1040" s="78"/>
      <c r="AE1040" s="78"/>
    </row>
    <row r="1041" spans="1:31" ht="12.75">
      <c r="A1041"/>
      <c r="B1041"/>
      <c r="C1041"/>
      <c r="D1041"/>
      <c r="E1041"/>
      <c r="F1041"/>
      <c r="G1041"/>
      <c r="H1041"/>
      <c r="I1041"/>
      <c r="J1041"/>
      <c r="K1041" s="100">
        <f t="shared" si="140"/>
        <v>0</v>
      </c>
      <c r="L1041" s="95"/>
      <c r="M1041" s="90">
        <f t="shared" si="142"/>
        <v>0</v>
      </c>
      <c r="N1041" s="56">
        <v>0</v>
      </c>
      <c r="O1041" s="44">
        <f t="shared" si="143"/>
        <v>0</v>
      </c>
      <c r="P1041" s="44"/>
      <c r="Q1041" s="44"/>
      <c r="R1041" s="44"/>
      <c r="S1041" s="44">
        <f t="shared" si="141"/>
        <v>0</v>
      </c>
      <c r="T1041" s="44">
        <f t="shared" si="144"/>
        <v>0</v>
      </c>
      <c r="U1041"/>
      <c r="V1041" s="43"/>
      <c r="W1041" s="44">
        <f t="shared" si="145"/>
        <v>0</v>
      </c>
      <c r="X1041" s="44">
        <f t="shared" si="146"/>
        <v>0</v>
      </c>
      <c r="Y1041" s="44">
        <f t="shared" si="147"/>
        <v>0</v>
      </c>
      <c r="Z1041" s="84"/>
      <c r="AA1041" s="78"/>
      <c r="AB1041" s="78"/>
      <c r="AC1041" s="78"/>
      <c r="AD1041" s="78"/>
      <c r="AE1041" s="78"/>
    </row>
    <row r="1042" spans="1:31" ht="12.75">
      <c r="A1042"/>
      <c r="B1042"/>
      <c r="C1042"/>
      <c r="D1042"/>
      <c r="E1042"/>
      <c r="F1042"/>
      <c r="G1042"/>
      <c r="H1042"/>
      <c r="I1042"/>
      <c r="J1042"/>
      <c r="K1042" s="100">
        <f t="shared" si="140"/>
        <v>0</v>
      </c>
      <c r="L1042" s="95"/>
      <c r="M1042" s="90">
        <f t="shared" si="142"/>
        <v>0</v>
      </c>
      <c r="N1042" s="56">
        <v>0</v>
      </c>
      <c r="O1042" s="44">
        <f t="shared" si="143"/>
        <v>0</v>
      </c>
      <c r="P1042" s="44"/>
      <c r="Q1042" s="44"/>
      <c r="R1042" s="44"/>
      <c r="S1042" s="44">
        <f t="shared" si="141"/>
        <v>0</v>
      </c>
      <c r="T1042" s="44">
        <f t="shared" si="144"/>
        <v>0</v>
      </c>
      <c r="U1042"/>
      <c r="V1042" s="43"/>
      <c r="W1042" s="44">
        <f t="shared" si="145"/>
        <v>0</v>
      </c>
      <c r="X1042" s="44">
        <f t="shared" si="146"/>
        <v>0</v>
      </c>
      <c r="Y1042" s="44">
        <f t="shared" si="147"/>
        <v>0</v>
      </c>
      <c r="Z1042" s="84"/>
      <c r="AA1042" s="78"/>
      <c r="AB1042" s="78"/>
      <c r="AC1042" s="78"/>
      <c r="AD1042" s="78"/>
      <c r="AE1042" s="78"/>
    </row>
    <row r="1043" spans="1:31" ht="12.75">
      <c r="A1043"/>
      <c r="B1043"/>
      <c r="C1043"/>
      <c r="D1043"/>
      <c r="E1043"/>
      <c r="F1043"/>
      <c r="G1043"/>
      <c r="H1043"/>
      <c r="I1043"/>
      <c r="J1043"/>
      <c r="K1043" s="100">
        <f t="shared" si="140"/>
        <v>0</v>
      </c>
      <c r="L1043" s="95"/>
      <c r="M1043" s="90">
        <f t="shared" si="142"/>
        <v>0</v>
      </c>
      <c r="N1043" s="56">
        <v>0</v>
      </c>
      <c r="O1043" s="44">
        <f t="shared" si="143"/>
        <v>0</v>
      </c>
      <c r="P1043" s="44"/>
      <c r="Q1043" s="44"/>
      <c r="R1043" s="44"/>
      <c r="S1043" s="44">
        <f t="shared" si="141"/>
        <v>0</v>
      </c>
      <c r="T1043" s="44">
        <f t="shared" si="144"/>
        <v>0</v>
      </c>
      <c r="U1043"/>
      <c r="V1043" s="43"/>
      <c r="W1043" s="44">
        <f t="shared" si="145"/>
        <v>0</v>
      </c>
      <c r="X1043" s="44">
        <f t="shared" si="146"/>
        <v>0</v>
      </c>
      <c r="Y1043" s="44">
        <f t="shared" si="147"/>
        <v>0</v>
      </c>
      <c r="Z1043" s="84"/>
      <c r="AA1043" s="78"/>
      <c r="AB1043" s="78"/>
      <c r="AC1043" s="78"/>
      <c r="AD1043" s="78"/>
      <c r="AE1043" s="78"/>
    </row>
    <row r="1044" spans="1:31" ht="12.75">
      <c r="A1044"/>
      <c r="B1044"/>
      <c r="C1044"/>
      <c r="D1044"/>
      <c r="E1044"/>
      <c r="F1044"/>
      <c r="G1044"/>
      <c r="H1044"/>
      <c r="I1044"/>
      <c r="J1044"/>
      <c r="K1044" s="100">
        <f t="shared" si="140"/>
        <v>0</v>
      </c>
      <c r="L1044" s="95"/>
      <c r="M1044" s="90">
        <f t="shared" si="142"/>
        <v>0</v>
      </c>
      <c r="N1044" s="56">
        <v>0</v>
      </c>
      <c r="O1044" s="44">
        <f t="shared" si="143"/>
        <v>0</v>
      </c>
      <c r="P1044" s="44"/>
      <c r="Q1044" s="44"/>
      <c r="R1044" s="44"/>
      <c r="S1044" s="44">
        <f t="shared" si="141"/>
        <v>0</v>
      </c>
      <c r="T1044" s="44">
        <f t="shared" si="144"/>
        <v>0</v>
      </c>
      <c r="U1044"/>
      <c r="V1044" s="43"/>
      <c r="W1044" s="44">
        <f t="shared" si="145"/>
        <v>0</v>
      </c>
      <c r="X1044" s="44">
        <f t="shared" si="146"/>
        <v>0</v>
      </c>
      <c r="Y1044" s="44">
        <f t="shared" si="147"/>
        <v>0</v>
      </c>
      <c r="Z1044" s="84"/>
      <c r="AA1044" s="78"/>
      <c r="AB1044" s="78"/>
      <c r="AC1044" s="78"/>
      <c r="AD1044" s="78"/>
      <c r="AE1044" s="78"/>
    </row>
    <row r="1045" spans="1:31" ht="12.75">
      <c r="A1045"/>
      <c r="B1045"/>
      <c r="C1045"/>
      <c r="D1045"/>
      <c r="E1045"/>
      <c r="F1045"/>
      <c r="G1045"/>
      <c r="H1045"/>
      <c r="I1045"/>
      <c r="J1045"/>
      <c r="K1045" s="100">
        <f t="shared" si="140"/>
        <v>0</v>
      </c>
      <c r="L1045" s="95"/>
      <c r="M1045" s="90">
        <f t="shared" si="142"/>
        <v>0</v>
      </c>
      <c r="N1045" s="56">
        <v>0</v>
      </c>
      <c r="O1045" s="44">
        <f t="shared" si="143"/>
        <v>0</v>
      </c>
      <c r="P1045" s="44"/>
      <c r="Q1045" s="44"/>
      <c r="R1045" s="44"/>
      <c r="S1045" s="44">
        <f t="shared" si="141"/>
        <v>0</v>
      </c>
      <c r="T1045" s="44">
        <f t="shared" si="144"/>
        <v>0</v>
      </c>
      <c r="U1045"/>
      <c r="V1045" s="43"/>
      <c r="W1045" s="44">
        <f t="shared" si="145"/>
        <v>0</v>
      </c>
      <c r="X1045" s="44">
        <f t="shared" si="146"/>
        <v>0</v>
      </c>
      <c r="Y1045" s="44">
        <f t="shared" si="147"/>
        <v>0</v>
      </c>
      <c r="Z1045" s="84"/>
      <c r="AA1045" s="78"/>
      <c r="AB1045" s="78"/>
      <c r="AC1045" s="78"/>
      <c r="AD1045" s="78"/>
      <c r="AE1045" s="78"/>
    </row>
    <row r="1046" spans="1:31" ht="12.75">
      <c r="A1046"/>
      <c r="B1046"/>
      <c r="C1046"/>
      <c r="D1046"/>
      <c r="E1046"/>
      <c r="F1046"/>
      <c r="G1046"/>
      <c r="H1046"/>
      <c r="I1046"/>
      <c r="J1046"/>
      <c r="K1046" s="100">
        <f t="shared" si="140"/>
        <v>0</v>
      </c>
      <c r="L1046" s="95"/>
      <c r="M1046" s="90">
        <f t="shared" si="142"/>
        <v>0</v>
      </c>
      <c r="N1046" s="56">
        <v>0</v>
      </c>
      <c r="O1046" s="44">
        <f t="shared" si="143"/>
        <v>0</v>
      </c>
      <c r="P1046" s="44"/>
      <c r="Q1046" s="44"/>
      <c r="R1046" s="44"/>
      <c r="S1046" s="44">
        <f t="shared" si="141"/>
        <v>0</v>
      </c>
      <c r="T1046" s="44">
        <f t="shared" si="144"/>
        <v>0</v>
      </c>
      <c r="U1046"/>
      <c r="V1046" s="43"/>
      <c r="W1046" s="44">
        <f t="shared" si="145"/>
        <v>0</v>
      </c>
      <c r="X1046" s="44">
        <f t="shared" si="146"/>
        <v>0</v>
      </c>
      <c r="Y1046" s="44">
        <f t="shared" si="147"/>
        <v>0</v>
      </c>
      <c r="Z1046" s="84"/>
      <c r="AA1046" s="78"/>
      <c r="AB1046" s="78"/>
      <c r="AC1046" s="78"/>
      <c r="AD1046" s="78"/>
      <c r="AE1046" s="78"/>
    </row>
    <row r="1047" spans="1:31" ht="12.75">
      <c r="A1047"/>
      <c r="B1047"/>
      <c r="C1047"/>
      <c r="D1047"/>
      <c r="E1047"/>
      <c r="F1047"/>
      <c r="G1047"/>
      <c r="H1047"/>
      <c r="I1047"/>
      <c r="J1047"/>
      <c r="K1047" s="100">
        <f t="shared" si="140"/>
        <v>0</v>
      </c>
      <c r="L1047" s="95"/>
      <c r="M1047" s="90">
        <f t="shared" si="142"/>
        <v>0</v>
      </c>
      <c r="N1047" s="56">
        <v>0</v>
      </c>
      <c r="O1047" s="44">
        <f t="shared" si="143"/>
        <v>0</v>
      </c>
      <c r="P1047" s="44"/>
      <c r="Q1047" s="44"/>
      <c r="R1047" s="44"/>
      <c r="S1047" s="44">
        <f t="shared" si="141"/>
        <v>0</v>
      </c>
      <c r="T1047" s="44">
        <f t="shared" si="144"/>
        <v>0</v>
      </c>
      <c r="U1047"/>
      <c r="V1047" s="43"/>
      <c r="W1047" s="44">
        <f t="shared" si="145"/>
        <v>0</v>
      </c>
      <c r="X1047" s="44">
        <f t="shared" si="146"/>
        <v>0</v>
      </c>
      <c r="Y1047" s="44">
        <f t="shared" si="147"/>
        <v>0</v>
      </c>
      <c r="Z1047" s="84"/>
      <c r="AA1047" s="78"/>
      <c r="AB1047" s="78"/>
      <c r="AC1047" s="78"/>
      <c r="AD1047" s="78"/>
      <c r="AE1047" s="78"/>
    </row>
    <row r="1048" spans="1:31" ht="12.75">
      <c r="A1048"/>
      <c r="B1048"/>
      <c r="C1048"/>
      <c r="D1048"/>
      <c r="E1048"/>
      <c r="F1048"/>
      <c r="G1048"/>
      <c r="H1048"/>
      <c r="I1048"/>
      <c r="J1048"/>
      <c r="K1048" s="100">
        <f t="shared" si="140"/>
        <v>0</v>
      </c>
      <c r="L1048" s="95"/>
      <c r="M1048" s="90">
        <f t="shared" si="142"/>
        <v>0</v>
      </c>
      <c r="N1048" s="56">
        <v>0</v>
      </c>
      <c r="O1048" s="44">
        <f t="shared" si="143"/>
        <v>0</v>
      </c>
      <c r="P1048" s="44"/>
      <c r="Q1048" s="44"/>
      <c r="R1048" s="44"/>
      <c r="S1048" s="44">
        <f t="shared" si="141"/>
        <v>0</v>
      </c>
      <c r="T1048" s="44">
        <f t="shared" si="144"/>
        <v>0</v>
      </c>
      <c r="U1048"/>
      <c r="V1048" s="43"/>
      <c r="W1048" s="44">
        <f t="shared" si="145"/>
        <v>0</v>
      </c>
      <c r="X1048" s="44">
        <f t="shared" si="146"/>
        <v>0</v>
      </c>
      <c r="Y1048" s="44">
        <f t="shared" si="147"/>
        <v>0</v>
      </c>
      <c r="Z1048" s="84"/>
      <c r="AA1048" s="78"/>
      <c r="AB1048" s="78"/>
      <c r="AC1048" s="78"/>
      <c r="AD1048" s="78"/>
      <c r="AE1048" s="78"/>
    </row>
    <row r="1049" spans="1:31" ht="12.75">
      <c r="A1049"/>
      <c r="B1049"/>
      <c r="C1049"/>
      <c r="D1049"/>
      <c r="E1049"/>
      <c r="F1049"/>
      <c r="G1049"/>
      <c r="H1049"/>
      <c r="I1049"/>
      <c r="J1049"/>
      <c r="K1049" s="100">
        <f t="shared" si="140"/>
        <v>0</v>
      </c>
      <c r="L1049" s="95"/>
      <c r="M1049" s="90">
        <f t="shared" si="142"/>
        <v>0</v>
      </c>
      <c r="N1049" s="56">
        <v>0</v>
      </c>
      <c r="O1049" s="44">
        <f t="shared" si="143"/>
        <v>0</v>
      </c>
      <c r="P1049" s="44"/>
      <c r="Q1049" s="44"/>
      <c r="R1049" s="44"/>
      <c r="S1049" s="44">
        <f t="shared" si="141"/>
        <v>0</v>
      </c>
      <c r="T1049" s="44">
        <f t="shared" si="144"/>
        <v>0</v>
      </c>
      <c r="U1049"/>
      <c r="V1049" s="43"/>
      <c r="W1049" s="44">
        <f t="shared" si="145"/>
        <v>0</v>
      </c>
      <c r="X1049" s="44">
        <f t="shared" si="146"/>
        <v>0</v>
      </c>
      <c r="Y1049" s="44">
        <f t="shared" si="147"/>
        <v>0</v>
      </c>
      <c r="Z1049" s="84"/>
      <c r="AA1049" s="78"/>
      <c r="AB1049" s="78"/>
      <c r="AC1049" s="78"/>
      <c r="AD1049" s="78"/>
      <c r="AE1049" s="78"/>
    </row>
    <row r="1050" spans="1:31" ht="12.75">
      <c r="A1050"/>
      <c r="B1050"/>
      <c r="C1050"/>
      <c r="D1050"/>
      <c r="E1050"/>
      <c r="F1050"/>
      <c r="G1050"/>
      <c r="H1050"/>
      <c r="I1050"/>
      <c r="J1050"/>
      <c r="K1050" s="100">
        <f t="shared" si="140"/>
        <v>0</v>
      </c>
      <c r="L1050" s="95"/>
      <c r="M1050" s="90">
        <f t="shared" si="142"/>
        <v>0</v>
      </c>
      <c r="N1050" s="56">
        <v>0</v>
      </c>
      <c r="O1050" s="44">
        <f t="shared" si="143"/>
        <v>0</v>
      </c>
      <c r="P1050" s="44"/>
      <c r="Q1050" s="44"/>
      <c r="R1050" s="44"/>
      <c r="S1050" s="44">
        <f t="shared" si="141"/>
        <v>0</v>
      </c>
      <c r="T1050" s="44">
        <f t="shared" si="144"/>
        <v>0</v>
      </c>
      <c r="U1050"/>
      <c r="V1050" s="43"/>
      <c r="W1050" s="44">
        <f t="shared" si="145"/>
        <v>0</v>
      </c>
      <c r="X1050" s="44">
        <f t="shared" si="146"/>
        <v>0</v>
      </c>
      <c r="Y1050" s="44">
        <f t="shared" si="147"/>
        <v>0</v>
      </c>
      <c r="Z1050" s="84"/>
      <c r="AA1050" s="78"/>
      <c r="AB1050" s="78"/>
      <c r="AC1050" s="78"/>
      <c r="AD1050" s="78"/>
      <c r="AE1050" s="78"/>
    </row>
    <row r="1051" spans="1:31" ht="12.75">
      <c r="A1051"/>
      <c r="B1051"/>
      <c r="C1051"/>
      <c r="D1051"/>
      <c r="E1051"/>
      <c r="F1051"/>
      <c r="G1051"/>
      <c r="H1051"/>
      <c r="I1051"/>
      <c r="J1051"/>
      <c r="K1051" s="100">
        <f t="shared" si="140"/>
        <v>0</v>
      </c>
      <c r="L1051" s="95"/>
      <c r="M1051" s="90">
        <f t="shared" si="142"/>
        <v>0</v>
      </c>
      <c r="N1051" s="56">
        <v>0</v>
      </c>
      <c r="O1051" s="44">
        <f t="shared" si="143"/>
        <v>0</v>
      </c>
      <c r="P1051" s="44"/>
      <c r="Q1051" s="44"/>
      <c r="R1051" s="44"/>
      <c r="S1051" s="44">
        <f t="shared" si="141"/>
        <v>0</v>
      </c>
      <c r="T1051" s="44">
        <f t="shared" si="144"/>
        <v>0</v>
      </c>
      <c r="U1051"/>
      <c r="V1051" s="43"/>
      <c r="W1051" s="44">
        <f t="shared" si="145"/>
        <v>0</v>
      </c>
      <c r="X1051" s="44">
        <f t="shared" si="146"/>
        <v>0</v>
      </c>
      <c r="Y1051" s="44">
        <f t="shared" si="147"/>
        <v>0</v>
      </c>
      <c r="Z1051" s="84"/>
      <c r="AA1051" s="78"/>
      <c r="AB1051" s="78"/>
      <c r="AC1051" s="78"/>
      <c r="AD1051" s="78"/>
      <c r="AE1051" s="78"/>
    </row>
    <row r="1052" spans="1:31" ht="12.75">
      <c r="A1052"/>
      <c r="B1052"/>
      <c r="C1052"/>
      <c r="D1052"/>
      <c r="E1052"/>
      <c r="F1052"/>
      <c r="G1052"/>
      <c r="H1052"/>
      <c r="I1052"/>
      <c r="J1052"/>
      <c r="K1052" s="100">
        <f t="shared" si="140"/>
        <v>0</v>
      </c>
      <c r="L1052" s="95"/>
      <c r="M1052" s="90">
        <f t="shared" si="142"/>
        <v>0</v>
      </c>
      <c r="N1052" s="56">
        <v>0</v>
      </c>
      <c r="O1052" s="44">
        <f t="shared" si="143"/>
        <v>0</v>
      </c>
      <c r="P1052" s="44"/>
      <c r="Q1052" s="44"/>
      <c r="R1052" s="44"/>
      <c r="S1052" s="44">
        <f t="shared" si="141"/>
        <v>0</v>
      </c>
      <c r="T1052" s="44">
        <f t="shared" si="144"/>
        <v>0</v>
      </c>
      <c r="U1052"/>
      <c r="V1052" s="43"/>
      <c r="W1052" s="44">
        <f t="shared" si="145"/>
        <v>0</v>
      </c>
      <c r="X1052" s="44">
        <f t="shared" si="146"/>
        <v>0</v>
      </c>
      <c r="Y1052" s="44">
        <f t="shared" si="147"/>
        <v>0</v>
      </c>
      <c r="Z1052" s="84"/>
      <c r="AA1052" s="78"/>
      <c r="AB1052" s="78"/>
      <c r="AC1052" s="78"/>
      <c r="AD1052" s="78"/>
      <c r="AE1052" s="78"/>
    </row>
    <row r="1053" spans="1:31" ht="12.75">
      <c r="A1053"/>
      <c r="B1053"/>
      <c r="C1053"/>
      <c r="D1053"/>
      <c r="E1053"/>
      <c r="F1053"/>
      <c r="G1053"/>
      <c r="H1053"/>
      <c r="I1053"/>
      <c r="J1053"/>
      <c r="K1053" s="100">
        <f t="shared" si="140"/>
        <v>0</v>
      </c>
      <c r="L1053" s="95"/>
      <c r="M1053" s="90">
        <f t="shared" si="142"/>
        <v>0</v>
      </c>
      <c r="N1053" s="56">
        <v>0</v>
      </c>
      <c r="O1053" s="44">
        <f t="shared" si="143"/>
        <v>0</v>
      </c>
      <c r="P1053" s="44"/>
      <c r="Q1053" s="44"/>
      <c r="R1053" s="44"/>
      <c r="S1053" s="44">
        <f t="shared" si="141"/>
        <v>0</v>
      </c>
      <c r="T1053" s="44">
        <f t="shared" si="144"/>
        <v>0</v>
      </c>
      <c r="U1053"/>
      <c r="V1053" s="43"/>
      <c r="W1053" s="44">
        <f t="shared" si="145"/>
        <v>0</v>
      </c>
      <c r="X1053" s="44">
        <f t="shared" si="146"/>
        <v>0</v>
      </c>
      <c r="Y1053" s="44">
        <f t="shared" si="147"/>
        <v>0</v>
      </c>
      <c r="Z1053" s="84"/>
      <c r="AA1053" s="78"/>
      <c r="AB1053" s="78"/>
      <c r="AC1053" s="78"/>
      <c r="AD1053" s="78"/>
      <c r="AE1053" s="78"/>
    </row>
    <row r="1054" spans="1:31" ht="12.75">
      <c r="A1054"/>
      <c r="B1054"/>
      <c r="C1054"/>
      <c r="D1054"/>
      <c r="E1054"/>
      <c r="F1054"/>
      <c r="G1054"/>
      <c r="H1054"/>
      <c r="I1054"/>
      <c r="J1054"/>
      <c r="K1054" s="100">
        <f t="shared" si="140"/>
        <v>0</v>
      </c>
      <c r="L1054" s="95"/>
      <c r="M1054" s="90">
        <f t="shared" si="142"/>
        <v>0</v>
      </c>
      <c r="N1054" s="56">
        <v>0</v>
      </c>
      <c r="O1054" s="44">
        <f t="shared" si="143"/>
        <v>0</v>
      </c>
      <c r="P1054" s="44"/>
      <c r="Q1054" s="44"/>
      <c r="R1054" s="44"/>
      <c r="S1054" s="44"/>
      <c r="T1054" s="44">
        <f t="shared" si="144"/>
        <v>0</v>
      </c>
      <c r="U1054"/>
      <c r="V1054" s="43"/>
      <c r="W1054" s="44">
        <f t="shared" si="145"/>
        <v>0</v>
      </c>
      <c r="X1054" s="44">
        <f t="shared" si="146"/>
        <v>0</v>
      </c>
      <c r="Y1054" s="44">
        <f t="shared" si="147"/>
        <v>0</v>
      </c>
      <c r="Z1054" s="84"/>
      <c r="AA1054" s="78"/>
      <c r="AB1054" s="78"/>
      <c r="AC1054" s="78"/>
      <c r="AD1054" s="78"/>
      <c r="AE1054" s="78"/>
    </row>
    <row r="1055" spans="1:31" ht="12.75">
      <c r="A1055"/>
      <c r="B1055"/>
      <c r="C1055"/>
      <c r="D1055"/>
      <c r="E1055"/>
      <c r="F1055"/>
      <c r="G1055"/>
      <c r="H1055"/>
      <c r="I1055"/>
      <c r="J1055"/>
      <c r="K1055" s="100">
        <f t="shared" si="140"/>
        <v>0</v>
      </c>
      <c r="L1055" s="95"/>
      <c r="M1055" s="90">
        <f t="shared" si="142"/>
        <v>0</v>
      </c>
      <c r="N1055" s="56">
        <v>0</v>
      </c>
      <c r="O1055" s="44">
        <f t="shared" si="143"/>
        <v>0</v>
      </c>
      <c r="P1055" s="44"/>
      <c r="Q1055" s="44"/>
      <c r="R1055" s="44"/>
      <c r="S1055" s="44">
        <f t="shared" si="141"/>
        <v>0</v>
      </c>
      <c r="T1055" s="44">
        <f t="shared" si="144"/>
        <v>0</v>
      </c>
      <c r="U1055"/>
      <c r="V1055" s="43"/>
      <c r="W1055" s="44">
        <f t="shared" si="145"/>
        <v>0</v>
      </c>
      <c r="X1055" s="44">
        <f t="shared" si="146"/>
        <v>0</v>
      </c>
      <c r="Y1055" s="44">
        <f t="shared" si="147"/>
        <v>0</v>
      </c>
      <c r="Z1055" s="84"/>
      <c r="AA1055" s="78"/>
      <c r="AB1055" s="78"/>
      <c r="AC1055" s="78"/>
      <c r="AD1055" s="78"/>
      <c r="AE1055" s="78"/>
    </row>
    <row r="1056" spans="1:31">
      <c r="W1056" s="44">
        <f t="shared" si="145"/>
        <v>0</v>
      </c>
      <c r="X1056" s="44">
        <f t="shared" si="146"/>
        <v>0</v>
      </c>
      <c r="Y1056" s="44">
        <f t="shared" si="147"/>
        <v>0</v>
      </c>
    </row>
    <row r="1057" spans="23:25">
      <c r="W1057" s="44">
        <f t="shared" si="145"/>
        <v>0</v>
      </c>
      <c r="X1057" s="44">
        <f t="shared" si="146"/>
        <v>0</v>
      </c>
      <c r="Y1057" s="44">
        <f t="shared" si="147"/>
        <v>0</v>
      </c>
    </row>
    <row r="1058" spans="23:25">
      <c r="W1058" s="44">
        <f t="shared" si="145"/>
        <v>0</v>
      </c>
      <c r="X1058" s="44">
        <f t="shared" si="146"/>
        <v>0</v>
      </c>
      <c r="Y1058" s="44">
        <f t="shared" si="147"/>
        <v>0</v>
      </c>
    </row>
    <row r="1059" spans="23:25">
      <c r="W1059" s="44">
        <f t="shared" si="145"/>
        <v>0</v>
      </c>
      <c r="X1059" s="44">
        <f t="shared" si="146"/>
        <v>0</v>
      </c>
      <c r="Y1059" s="44">
        <f t="shared" si="147"/>
        <v>0</v>
      </c>
    </row>
    <row r="1060" spans="23:25">
      <c r="W1060" s="44">
        <f t="shared" si="145"/>
        <v>0</v>
      </c>
      <c r="X1060" s="44">
        <f t="shared" si="146"/>
        <v>0</v>
      </c>
      <c r="Y1060" s="44">
        <f t="shared" si="147"/>
        <v>0</v>
      </c>
    </row>
    <row r="1061" spans="23:25">
      <c r="W1061" s="44">
        <f t="shared" si="145"/>
        <v>0</v>
      </c>
      <c r="X1061" s="44">
        <f t="shared" si="146"/>
        <v>0</v>
      </c>
      <c r="Y1061" s="44">
        <f t="shared" si="147"/>
        <v>0</v>
      </c>
    </row>
    <row r="1062" spans="23:25">
      <c r="W1062" s="44">
        <f t="shared" si="145"/>
        <v>0</v>
      </c>
      <c r="X1062" s="44">
        <f t="shared" si="146"/>
        <v>0</v>
      </c>
      <c r="Y1062" s="44">
        <f t="shared" si="147"/>
        <v>0</v>
      </c>
    </row>
    <row r="1063" spans="23:25">
      <c r="W1063" s="44">
        <f t="shared" si="145"/>
        <v>0</v>
      </c>
      <c r="X1063" s="44">
        <f t="shared" si="146"/>
        <v>0</v>
      </c>
      <c r="Y1063" s="44">
        <f t="shared" si="147"/>
        <v>0</v>
      </c>
    </row>
    <row r="1064" spans="23:25">
      <c r="W1064" s="44">
        <f t="shared" si="145"/>
        <v>0</v>
      </c>
      <c r="X1064" s="44">
        <f t="shared" si="146"/>
        <v>0</v>
      </c>
      <c r="Y1064" s="44">
        <f t="shared" si="147"/>
        <v>0</v>
      </c>
    </row>
    <row r="1065" spans="23:25">
      <c r="W1065" s="44">
        <f t="shared" si="145"/>
        <v>0</v>
      </c>
      <c r="X1065" s="44">
        <f t="shared" si="146"/>
        <v>0</v>
      </c>
      <c r="Y1065" s="44">
        <f t="shared" si="147"/>
        <v>0</v>
      </c>
    </row>
    <row r="1066" spans="23:25">
      <c r="W1066" s="44">
        <f t="shared" si="145"/>
        <v>0</v>
      </c>
      <c r="X1066" s="44">
        <f t="shared" si="146"/>
        <v>0</v>
      </c>
      <c r="Y1066" s="44">
        <f t="shared" si="147"/>
        <v>0</v>
      </c>
    </row>
    <row r="1067" spans="23:25">
      <c r="W1067" s="44">
        <f t="shared" si="145"/>
        <v>0</v>
      </c>
      <c r="X1067" s="44">
        <f t="shared" si="146"/>
        <v>0</v>
      </c>
      <c r="Y1067" s="44">
        <f t="shared" si="147"/>
        <v>0</v>
      </c>
    </row>
    <row r="1068" spans="23:25">
      <c r="W1068" s="44">
        <f t="shared" si="145"/>
        <v>0</v>
      </c>
      <c r="X1068" s="44">
        <f t="shared" si="146"/>
        <v>0</v>
      </c>
      <c r="Y1068" s="44">
        <f t="shared" si="147"/>
        <v>0</v>
      </c>
    </row>
    <row r="1069" spans="23:25">
      <c r="W1069" s="44">
        <f t="shared" si="145"/>
        <v>0</v>
      </c>
      <c r="X1069" s="44">
        <f t="shared" si="146"/>
        <v>0</v>
      </c>
      <c r="Y1069" s="44">
        <f t="shared" si="147"/>
        <v>0</v>
      </c>
    </row>
    <row r="1070" spans="23:25">
      <c r="W1070" s="44">
        <f t="shared" si="145"/>
        <v>0</v>
      </c>
      <c r="X1070" s="44">
        <f t="shared" si="146"/>
        <v>0</v>
      </c>
      <c r="Y1070" s="44">
        <f t="shared" si="147"/>
        <v>0</v>
      </c>
    </row>
    <row r="1071" spans="23:25">
      <c r="W1071" s="44">
        <f t="shared" si="145"/>
        <v>0</v>
      </c>
      <c r="X1071" s="44">
        <f t="shared" si="146"/>
        <v>0</v>
      </c>
      <c r="Y1071" s="44">
        <f t="shared" si="147"/>
        <v>0</v>
      </c>
    </row>
    <row r="1072" spans="23:25">
      <c r="W1072" s="44">
        <f t="shared" si="145"/>
        <v>0</v>
      </c>
      <c r="X1072" s="44">
        <f t="shared" si="146"/>
        <v>0</v>
      </c>
      <c r="Y1072" s="44">
        <f t="shared" si="147"/>
        <v>0</v>
      </c>
    </row>
    <row r="1073" spans="23:25">
      <c r="W1073" s="44">
        <f t="shared" si="145"/>
        <v>0</v>
      </c>
      <c r="X1073" s="44">
        <f t="shared" si="146"/>
        <v>0</v>
      </c>
      <c r="Y1073" s="44">
        <f t="shared" si="147"/>
        <v>0</v>
      </c>
    </row>
    <row r="1074" spans="23:25">
      <c r="W1074" s="44">
        <f t="shared" si="145"/>
        <v>0</v>
      </c>
      <c r="X1074" s="44">
        <f t="shared" si="146"/>
        <v>0</v>
      </c>
      <c r="Y1074" s="44">
        <f t="shared" si="147"/>
        <v>0</v>
      </c>
    </row>
    <row r="1075" spans="23:25">
      <c r="W1075" s="44">
        <f t="shared" si="145"/>
        <v>0</v>
      </c>
      <c r="X1075" s="44">
        <f t="shared" si="146"/>
        <v>0</v>
      </c>
      <c r="Y1075" s="44">
        <f t="shared" si="147"/>
        <v>0</v>
      </c>
    </row>
    <row r="1076" spans="23:25">
      <c r="W1076" s="44">
        <f t="shared" si="145"/>
        <v>0</v>
      </c>
      <c r="X1076" s="44">
        <f t="shared" si="146"/>
        <v>0</v>
      </c>
      <c r="Y1076" s="44">
        <f t="shared" si="147"/>
        <v>0</v>
      </c>
    </row>
    <row r="1077" spans="23:25">
      <c r="W1077" s="44">
        <f t="shared" si="145"/>
        <v>0</v>
      </c>
      <c r="X1077" s="44">
        <f t="shared" si="146"/>
        <v>0</v>
      </c>
      <c r="Y1077" s="44">
        <f t="shared" si="147"/>
        <v>0</v>
      </c>
    </row>
    <row r="1078" spans="23:25">
      <c r="W1078" s="44">
        <f t="shared" si="145"/>
        <v>0</v>
      </c>
      <c r="X1078" s="44">
        <f t="shared" si="146"/>
        <v>0</v>
      </c>
      <c r="Y1078" s="44">
        <f t="shared" si="147"/>
        <v>0</v>
      </c>
    </row>
    <row r="1079" spans="23:25">
      <c r="W1079" s="44">
        <f t="shared" si="145"/>
        <v>0</v>
      </c>
      <c r="X1079" s="44">
        <f t="shared" si="146"/>
        <v>0</v>
      </c>
      <c r="Y1079" s="44">
        <f t="shared" si="147"/>
        <v>0</v>
      </c>
    </row>
    <row r="1080" spans="23:25">
      <c r="W1080" s="44">
        <f t="shared" si="145"/>
        <v>0</v>
      </c>
      <c r="X1080" s="44">
        <f t="shared" si="146"/>
        <v>0</v>
      </c>
      <c r="Y1080" s="44">
        <f t="shared" si="147"/>
        <v>0</v>
      </c>
    </row>
    <row r="1081" spans="23:25">
      <c r="W1081" s="44">
        <f t="shared" si="145"/>
        <v>0</v>
      </c>
      <c r="X1081" s="44">
        <f t="shared" si="146"/>
        <v>0</v>
      </c>
      <c r="Y1081" s="44">
        <f t="shared" si="147"/>
        <v>0</v>
      </c>
    </row>
    <row r="1082" spans="23:25">
      <c r="W1082" s="44">
        <f t="shared" si="145"/>
        <v>0</v>
      </c>
      <c r="X1082" s="44">
        <f t="shared" si="146"/>
        <v>0</v>
      </c>
      <c r="Y1082" s="44">
        <f t="shared" si="147"/>
        <v>0</v>
      </c>
    </row>
    <row r="1083" spans="23:25">
      <c r="W1083" s="44">
        <f t="shared" si="145"/>
        <v>0</v>
      </c>
      <c r="X1083" s="44">
        <f t="shared" si="146"/>
        <v>0</v>
      </c>
      <c r="Y1083" s="44">
        <f t="shared" si="147"/>
        <v>0</v>
      </c>
    </row>
    <row r="1084" spans="23:25">
      <c r="W1084" s="44">
        <f t="shared" si="145"/>
        <v>0</v>
      </c>
      <c r="X1084" s="44">
        <f t="shared" si="146"/>
        <v>0</v>
      </c>
      <c r="Y1084" s="44">
        <f t="shared" si="147"/>
        <v>0</v>
      </c>
    </row>
    <row r="1085" spans="23:25">
      <c r="W1085" s="44">
        <f t="shared" si="145"/>
        <v>0</v>
      </c>
      <c r="X1085" s="44">
        <f t="shared" si="146"/>
        <v>0</v>
      </c>
      <c r="Y1085" s="44">
        <f t="shared" si="147"/>
        <v>0</v>
      </c>
    </row>
    <row r="1086" spans="23:25">
      <c r="W1086" s="44">
        <f t="shared" si="145"/>
        <v>0</v>
      </c>
      <c r="X1086" s="44">
        <f t="shared" si="146"/>
        <v>0</v>
      </c>
      <c r="Y1086" s="44">
        <f t="shared" si="147"/>
        <v>0</v>
      </c>
    </row>
    <row r="1087" spans="23:25">
      <c r="W1087" s="44">
        <f t="shared" si="145"/>
        <v>0</v>
      </c>
      <c r="X1087" s="44">
        <f t="shared" si="146"/>
        <v>0</v>
      </c>
      <c r="Y1087" s="44">
        <f t="shared" si="147"/>
        <v>0</v>
      </c>
    </row>
    <row r="1088" spans="23:25">
      <c r="W1088" s="44">
        <f t="shared" si="145"/>
        <v>0</v>
      </c>
      <c r="X1088" s="44">
        <f t="shared" si="146"/>
        <v>0</v>
      </c>
      <c r="Y1088" s="44">
        <f t="shared" si="147"/>
        <v>0</v>
      </c>
    </row>
    <row r="1089" spans="23:25">
      <c r="W1089" s="44">
        <f t="shared" si="145"/>
        <v>0</v>
      </c>
      <c r="X1089" s="44">
        <f t="shared" si="146"/>
        <v>0</v>
      </c>
      <c r="Y1089" s="44">
        <f t="shared" si="147"/>
        <v>0</v>
      </c>
    </row>
    <row r="1090" spans="23:25">
      <c r="W1090" s="44">
        <f t="shared" si="145"/>
        <v>0</v>
      </c>
      <c r="X1090" s="44">
        <f t="shared" si="146"/>
        <v>0</v>
      </c>
      <c r="Y1090" s="44">
        <f t="shared" si="147"/>
        <v>0</v>
      </c>
    </row>
    <row r="1091" spans="23:25">
      <c r="W1091" s="44">
        <f t="shared" si="145"/>
        <v>0</v>
      </c>
      <c r="X1091" s="44">
        <f t="shared" si="146"/>
        <v>0</v>
      </c>
      <c r="Y1091" s="44">
        <f t="shared" si="147"/>
        <v>0</v>
      </c>
    </row>
    <row r="1092" spans="23:25">
      <c r="W1092" s="44">
        <f t="shared" si="145"/>
        <v>0</v>
      </c>
      <c r="X1092" s="44">
        <f t="shared" si="146"/>
        <v>0</v>
      </c>
      <c r="Y1092" s="44">
        <f t="shared" si="147"/>
        <v>0</v>
      </c>
    </row>
    <row r="1093" spans="23:25">
      <c r="W1093" s="44">
        <f t="shared" si="145"/>
        <v>0</v>
      </c>
      <c r="X1093" s="44">
        <f t="shared" si="146"/>
        <v>0</v>
      </c>
      <c r="Y1093" s="44">
        <f t="shared" si="147"/>
        <v>0</v>
      </c>
    </row>
    <row r="1094" spans="23:25">
      <c r="W1094" s="44">
        <f t="shared" si="145"/>
        <v>0</v>
      </c>
      <c r="X1094" s="44">
        <f t="shared" si="146"/>
        <v>0</v>
      </c>
      <c r="Y1094" s="44">
        <f t="shared" si="147"/>
        <v>0</v>
      </c>
    </row>
    <row r="1095" spans="23:25">
      <c r="W1095" s="44">
        <f t="shared" si="145"/>
        <v>0</v>
      </c>
      <c r="X1095" s="44">
        <f t="shared" si="146"/>
        <v>0</v>
      </c>
      <c r="Y1095" s="44">
        <f t="shared" si="147"/>
        <v>0</v>
      </c>
    </row>
    <row r="1096" spans="23:25">
      <c r="W1096" s="44">
        <f t="shared" ref="W1096:W1159" si="148">+O1096-U1096-V1096-Z1096</f>
        <v>0</v>
      </c>
      <c r="X1096" s="44">
        <f t="shared" ref="X1096:X1159" si="149">(+O1096-U1096-Z1096)*$X$1</f>
        <v>0</v>
      </c>
      <c r="Y1096" s="44">
        <f t="shared" ref="Y1096:Y1159" si="150">+W1096-X1096</f>
        <v>0</v>
      </c>
    </row>
    <row r="1097" spans="23:25">
      <c r="W1097" s="44">
        <f t="shared" si="148"/>
        <v>0</v>
      </c>
      <c r="X1097" s="44">
        <f t="shared" si="149"/>
        <v>0</v>
      </c>
      <c r="Y1097" s="44">
        <f t="shared" si="150"/>
        <v>0</v>
      </c>
    </row>
    <row r="1098" spans="23:25">
      <c r="W1098" s="44">
        <f t="shared" si="148"/>
        <v>0</v>
      </c>
      <c r="X1098" s="44">
        <f t="shared" si="149"/>
        <v>0</v>
      </c>
      <c r="Y1098" s="44">
        <f t="shared" si="150"/>
        <v>0</v>
      </c>
    </row>
    <row r="1099" spans="23:25">
      <c r="W1099" s="44">
        <f t="shared" si="148"/>
        <v>0</v>
      </c>
      <c r="X1099" s="44">
        <f t="shared" si="149"/>
        <v>0</v>
      </c>
      <c r="Y1099" s="44">
        <f t="shared" si="150"/>
        <v>0</v>
      </c>
    </row>
    <row r="1100" spans="23:25">
      <c r="W1100" s="44">
        <f t="shared" si="148"/>
        <v>0</v>
      </c>
      <c r="X1100" s="44">
        <f t="shared" si="149"/>
        <v>0</v>
      </c>
      <c r="Y1100" s="44">
        <f t="shared" si="150"/>
        <v>0</v>
      </c>
    </row>
    <row r="1101" spans="23:25">
      <c r="W1101" s="44">
        <f t="shared" si="148"/>
        <v>0</v>
      </c>
      <c r="X1101" s="44">
        <f t="shared" si="149"/>
        <v>0</v>
      </c>
      <c r="Y1101" s="44">
        <f t="shared" si="150"/>
        <v>0</v>
      </c>
    </row>
    <row r="1102" spans="23:25">
      <c r="W1102" s="44">
        <f t="shared" si="148"/>
        <v>0</v>
      </c>
      <c r="X1102" s="44">
        <f t="shared" si="149"/>
        <v>0</v>
      </c>
      <c r="Y1102" s="44">
        <f t="shared" si="150"/>
        <v>0</v>
      </c>
    </row>
    <row r="1103" spans="23:25">
      <c r="W1103" s="44">
        <f t="shared" si="148"/>
        <v>0</v>
      </c>
      <c r="X1103" s="44">
        <f t="shared" si="149"/>
        <v>0</v>
      </c>
      <c r="Y1103" s="44">
        <f t="shared" si="150"/>
        <v>0</v>
      </c>
    </row>
    <row r="1104" spans="23:25">
      <c r="W1104" s="44">
        <f t="shared" si="148"/>
        <v>0</v>
      </c>
      <c r="X1104" s="44">
        <f t="shared" si="149"/>
        <v>0</v>
      </c>
      <c r="Y1104" s="44">
        <f t="shared" si="150"/>
        <v>0</v>
      </c>
    </row>
    <row r="1105" spans="23:25">
      <c r="W1105" s="44">
        <f t="shared" si="148"/>
        <v>0</v>
      </c>
      <c r="X1105" s="44">
        <f t="shared" si="149"/>
        <v>0</v>
      </c>
      <c r="Y1105" s="44">
        <f t="shared" si="150"/>
        <v>0</v>
      </c>
    </row>
    <row r="1106" spans="23:25">
      <c r="W1106" s="44">
        <f t="shared" si="148"/>
        <v>0</v>
      </c>
      <c r="X1106" s="44">
        <f t="shared" si="149"/>
        <v>0</v>
      </c>
      <c r="Y1106" s="44">
        <f t="shared" si="150"/>
        <v>0</v>
      </c>
    </row>
    <row r="1107" spans="23:25">
      <c r="W1107" s="44">
        <f t="shared" si="148"/>
        <v>0</v>
      </c>
      <c r="X1107" s="44">
        <f t="shared" si="149"/>
        <v>0</v>
      </c>
      <c r="Y1107" s="44">
        <f t="shared" si="150"/>
        <v>0</v>
      </c>
    </row>
    <row r="1108" spans="23:25">
      <c r="W1108" s="44">
        <f t="shared" si="148"/>
        <v>0</v>
      </c>
      <c r="X1108" s="44">
        <f t="shared" si="149"/>
        <v>0</v>
      </c>
      <c r="Y1108" s="44">
        <f t="shared" si="150"/>
        <v>0</v>
      </c>
    </row>
    <row r="1109" spans="23:25">
      <c r="W1109" s="44">
        <f t="shared" si="148"/>
        <v>0</v>
      </c>
      <c r="X1109" s="44">
        <f t="shared" si="149"/>
        <v>0</v>
      </c>
      <c r="Y1109" s="44">
        <f t="shared" si="150"/>
        <v>0</v>
      </c>
    </row>
    <row r="1110" spans="23:25">
      <c r="W1110" s="44">
        <f t="shared" si="148"/>
        <v>0</v>
      </c>
      <c r="X1110" s="44">
        <f t="shared" si="149"/>
        <v>0</v>
      </c>
      <c r="Y1110" s="44">
        <f t="shared" si="150"/>
        <v>0</v>
      </c>
    </row>
    <row r="1111" spans="23:25">
      <c r="W1111" s="44">
        <f t="shared" si="148"/>
        <v>0</v>
      </c>
      <c r="X1111" s="44">
        <f t="shared" si="149"/>
        <v>0</v>
      </c>
      <c r="Y1111" s="44">
        <f t="shared" si="150"/>
        <v>0</v>
      </c>
    </row>
    <row r="1112" spans="23:25">
      <c r="W1112" s="44">
        <f t="shared" si="148"/>
        <v>0</v>
      </c>
      <c r="X1112" s="44">
        <f t="shared" si="149"/>
        <v>0</v>
      </c>
      <c r="Y1112" s="44">
        <f t="shared" si="150"/>
        <v>0</v>
      </c>
    </row>
    <row r="1113" spans="23:25">
      <c r="W1113" s="44">
        <f t="shared" si="148"/>
        <v>0</v>
      </c>
      <c r="X1113" s="44">
        <f t="shared" si="149"/>
        <v>0</v>
      </c>
      <c r="Y1113" s="44">
        <f t="shared" si="150"/>
        <v>0</v>
      </c>
    </row>
    <row r="1114" spans="23:25">
      <c r="W1114" s="44">
        <f t="shared" si="148"/>
        <v>0</v>
      </c>
      <c r="X1114" s="44">
        <f t="shared" si="149"/>
        <v>0</v>
      </c>
      <c r="Y1114" s="44">
        <f t="shared" si="150"/>
        <v>0</v>
      </c>
    </row>
    <row r="1115" spans="23:25">
      <c r="W1115" s="44">
        <f t="shared" si="148"/>
        <v>0</v>
      </c>
      <c r="X1115" s="44">
        <f t="shared" si="149"/>
        <v>0</v>
      </c>
      <c r="Y1115" s="44">
        <f t="shared" si="150"/>
        <v>0</v>
      </c>
    </row>
    <row r="1116" spans="23:25">
      <c r="W1116" s="44">
        <f t="shared" si="148"/>
        <v>0</v>
      </c>
      <c r="X1116" s="44">
        <f t="shared" si="149"/>
        <v>0</v>
      </c>
      <c r="Y1116" s="44">
        <f t="shared" si="150"/>
        <v>0</v>
      </c>
    </row>
    <row r="1117" spans="23:25">
      <c r="W1117" s="44">
        <f t="shared" si="148"/>
        <v>0</v>
      </c>
      <c r="X1117" s="44">
        <f t="shared" si="149"/>
        <v>0</v>
      </c>
      <c r="Y1117" s="44">
        <f t="shared" si="150"/>
        <v>0</v>
      </c>
    </row>
    <row r="1118" spans="23:25">
      <c r="W1118" s="44">
        <f t="shared" si="148"/>
        <v>0</v>
      </c>
      <c r="X1118" s="44">
        <f t="shared" si="149"/>
        <v>0</v>
      </c>
      <c r="Y1118" s="44">
        <f t="shared" si="150"/>
        <v>0</v>
      </c>
    </row>
    <row r="1119" spans="23:25">
      <c r="W1119" s="44">
        <f t="shared" si="148"/>
        <v>0</v>
      </c>
      <c r="X1119" s="44">
        <f t="shared" si="149"/>
        <v>0</v>
      </c>
      <c r="Y1119" s="44">
        <f t="shared" si="150"/>
        <v>0</v>
      </c>
    </row>
    <row r="1120" spans="23:25">
      <c r="W1120" s="44">
        <f t="shared" si="148"/>
        <v>0</v>
      </c>
      <c r="X1120" s="44">
        <f t="shared" si="149"/>
        <v>0</v>
      </c>
      <c r="Y1120" s="44">
        <f t="shared" si="150"/>
        <v>0</v>
      </c>
    </row>
    <row r="1121" spans="23:25">
      <c r="W1121" s="44">
        <f t="shared" si="148"/>
        <v>0</v>
      </c>
      <c r="X1121" s="44">
        <f t="shared" si="149"/>
        <v>0</v>
      </c>
      <c r="Y1121" s="44">
        <f t="shared" si="150"/>
        <v>0</v>
      </c>
    </row>
    <row r="1122" spans="23:25">
      <c r="W1122" s="44">
        <f t="shared" si="148"/>
        <v>0</v>
      </c>
      <c r="X1122" s="44">
        <f t="shared" si="149"/>
        <v>0</v>
      </c>
      <c r="Y1122" s="44">
        <f t="shared" si="150"/>
        <v>0</v>
      </c>
    </row>
    <row r="1123" spans="23:25">
      <c r="W1123" s="44">
        <f t="shared" si="148"/>
        <v>0</v>
      </c>
      <c r="X1123" s="44">
        <f t="shared" si="149"/>
        <v>0</v>
      </c>
      <c r="Y1123" s="44">
        <f t="shared" si="150"/>
        <v>0</v>
      </c>
    </row>
    <row r="1124" spans="23:25">
      <c r="W1124" s="44">
        <f t="shared" si="148"/>
        <v>0</v>
      </c>
      <c r="X1124" s="44">
        <f t="shared" si="149"/>
        <v>0</v>
      </c>
      <c r="Y1124" s="44">
        <f t="shared" si="150"/>
        <v>0</v>
      </c>
    </row>
    <row r="1125" spans="23:25">
      <c r="W1125" s="44">
        <f t="shared" si="148"/>
        <v>0</v>
      </c>
      <c r="X1125" s="44">
        <f t="shared" si="149"/>
        <v>0</v>
      </c>
      <c r="Y1125" s="44">
        <f t="shared" si="150"/>
        <v>0</v>
      </c>
    </row>
    <row r="1126" spans="23:25">
      <c r="W1126" s="44">
        <f t="shared" si="148"/>
        <v>0</v>
      </c>
      <c r="X1126" s="44">
        <f t="shared" si="149"/>
        <v>0</v>
      </c>
      <c r="Y1126" s="44">
        <f t="shared" si="150"/>
        <v>0</v>
      </c>
    </row>
    <row r="1127" spans="23:25">
      <c r="W1127" s="44">
        <f t="shared" si="148"/>
        <v>0</v>
      </c>
      <c r="X1127" s="44">
        <f t="shared" si="149"/>
        <v>0</v>
      </c>
      <c r="Y1127" s="44">
        <f t="shared" si="150"/>
        <v>0</v>
      </c>
    </row>
    <row r="1128" spans="23:25">
      <c r="W1128" s="44">
        <f t="shared" si="148"/>
        <v>0</v>
      </c>
      <c r="X1128" s="44">
        <f t="shared" si="149"/>
        <v>0</v>
      </c>
      <c r="Y1128" s="44">
        <f t="shared" si="150"/>
        <v>0</v>
      </c>
    </row>
    <row r="1129" spans="23:25">
      <c r="W1129" s="44">
        <f t="shared" si="148"/>
        <v>0</v>
      </c>
      <c r="X1129" s="44">
        <f t="shared" si="149"/>
        <v>0</v>
      </c>
      <c r="Y1129" s="44">
        <f t="shared" si="150"/>
        <v>0</v>
      </c>
    </row>
    <row r="1130" spans="23:25">
      <c r="W1130" s="44">
        <f t="shared" si="148"/>
        <v>0</v>
      </c>
      <c r="X1130" s="44">
        <f t="shared" si="149"/>
        <v>0</v>
      </c>
      <c r="Y1130" s="44">
        <f t="shared" si="150"/>
        <v>0</v>
      </c>
    </row>
    <row r="1131" spans="23:25">
      <c r="W1131" s="44">
        <f t="shared" si="148"/>
        <v>0</v>
      </c>
      <c r="X1131" s="44">
        <f t="shared" si="149"/>
        <v>0</v>
      </c>
      <c r="Y1131" s="44">
        <f t="shared" si="150"/>
        <v>0</v>
      </c>
    </row>
    <row r="1132" spans="23:25">
      <c r="W1132" s="44">
        <f t="shared" si="148"/>
        <v>0</v>
      </c>
      <c r="X1132" s="44">
        <f t="shared" si="149"/>
        <v>0</v>
      </c>
      <c r="Y1132" s="44">
        <f t="shared" si="150"/>
        <v>0</v>
      </c>
    </row>
    <row r="1133" spans="23:25">
      <c r="W1133" s="44">
        <f t="shared" si="148"/>
        <v>0</v>
      </c>
      <c r="X1133" s="44">
        <f t="shared" si="149"/>
        <v>0</v>
      </c>
      <c r="Y1133" s="44">
        <f t="shared" si="150"/>
        <v>0</v>
      </c>
    </row>
    <row r="1134" spans="23:25">
      <c r="W1134" s="44">
        <f t="shared" si="148"/>
        <v>0</v>
      </c>
      <c r="X1134" s="44">
        <f t="shared" si="149"/>
        <v>0</v>
      </c>
      <c r="Y1134" s="44">
        <f t="shared" si="150"/>
        <v>0</v>
      </c>
    </row>
    <row r="1135" spans="23:25">
      <c r="W1135" s="44">
        <f t="shared" si="148"/>
        <v>0</v>
      </c>
      <c r="X1135" s="44">
        <f t="shared" si="149"/>
        <v>0</v>
      </c>
      <c r="Y1135" s="44">
        <f t="shared" si="150"/>
        <v>0</v>
      </c>
    </row>
    <row r="1136" spans="23:25">
      <c r="W1136" s="44">
        <f t="shared" si="148"/>
        <v>0</v>
      </c>
      <c r="X1136" s="44">
        <f t="shared" si="149"/>
        <v>0</v>
      </c>
      <c r="Y1136" s="44">
        <f t="shared" si="150"/>
        <v>0</v>
      </c>
    </row>
    <row r="1137" spans="23:25">
      <c r="W1137" s="44">
        <f t="shared" si="148"/>
        <v>0</v>
      </c>
      <c r="X1137" s="44">
        <f t="shared" si="149"/>
        <v>0</v>
      </c>
      <c r="Y1137" s="44">
        <f t="shared" si="150"/>
        <v>0</v>
      </c>
    </row>
    <row r="1138" spans="23:25">
      <c r="W1138" s="44">
        <f t="shared" si="148"/>
        <v>0</v>
      </c>
      <c r="X1138" s="44">
        <f t="shared" si="149"/>
        <v>0</v>
      </c>
      <c r="Y1138" s="44">
        <f t="shared" si="150"/>
        <v>0</v>
      </c>
    </row>
    <row r="1139" spans="23:25">
      <c r="W1139" s="44">
        <f t="shared" si="148"/>
        <v>0</v>
      </c>
      <c r="X1139" s="44">
        <f t="shared" si="149"/>
        <v>0</v>
      </c>
      <c r="Y1139" s="44">
        <f t="shared" si="150"/>
        <v>0</v>
      </c>
    </row>
    <row r="1140" spans="23:25">
      <c r="W1140" s="44">
        <f t="shared" si="148"/>
        <v>0</v>
      </c>
      <c r="X1140" s="44">
        <f t="shared" si="149"/>
        <v>0</v>
      </c>
      <c r="Y1140" s="44">
        <f t="shared" si="150"/>
        <v>0</v>
      </c>
    </row>
    <row r="1141" spans="23:25">
      <c r="W1141" s="44">
        <f t="shared" si="148"/>
        <v>0</v>
      </c>
      <c r="X1141" s="44">
        <f t="shared" si="149"/>
        <v>0</v>
      </c>
      <c r="Y1141" s="44">
        <f t="shared" si="150"/>
        <v>0</v>
      </c>
    </row>
    <row r="1142" spans="23:25">
      <c r="W1142" s="44">
        <f t="shared" si="148"/>
        <v>0</v>
      </c>
      <c r="X1142" s="44">
        <f t="shared" si="149"/>
        <v>0</v>
      </c>
      <c r="Y1142" s="44">
        <f t="shared" si="150"/>
        <v>0</v>
      </c>
    </row>
    <row r="1143" spans="23:25">
      <c r="W1143" s="44">
        <f t="shared" si="148"/>
        <v>0</v>
      </c>
      <c r="X1143" s="44">
        <f t="shared" si="149"/>
        <v>0</v>
      </c>
      <c r="Y1143" s="44">
        <f t="shared" si="150"/>
        <v>0</v>
      </c>
    </row>
    <row r="1144" spans="23:25">
      <c r="W1144" s="44">
        <f t="shared" si="148"/>
        <v>0</v>
      </c>
      <c r="X1144" s="44">
        <f t="shared" si="149"/>
        <v>0</v>
      </c>
      <c r="Y1144" s="44">
        <f t="shared" si="150"/>
        <v>0</v>
      </c>
    </row>
    <row r="1145" spans="23:25">
      <c r="W1145" s="44">
        <f t="shared" si="148"/>
        <v>0</v>
      </c>
      <c r="X1145" s="44">
        <f t="shared" si="149"/>
        <v>0</v>
      </c>
      <c r="Y1145" s="44">
        <f t="shared" si="150"/>
        <v>0</v>
      </c>
    </row>
    <row r="1146" spans="23:25">
      <c r="W1146" s="44">
        <f t="shared" si="148"/>
        <v>0</v>
      </c>
      <c r="X1146" s="44">
        <f t="shared" si="149"/>
        <v>0</v>
      </c>
      <c r="Y1146" s="44">
        <f t="shared" si="150"/>
        <v>0</v>
      </c>
    </row>
    <row r="1147" spans="23:25">
      <c r="W1147" s="44">
        <f t="shared" si="148"/>
        <v>0</v>
      </c>
      <c r="X1147" s="44">
        <f t="shared" si="149"/>
        <v>0</v>
      </c>
      <c r="Y1147" s="44">
        <f t="shared" si="150"/>
        <v>0</v>
      </c>
    </row>
    <row r="1148" spans="23:25">
      <c r="W1148" s="44">
        <f t="shared" si="148"/>
        <v>0</v>
      </c>
      <c r="X1148" s="44">
        <f t="shared" si="149"/>
        <v>0</v>
      </c>
      <c r="Y1148" s="44">
        <f t="shared" si="150"/>
        <v>0</v>
      </c>
    </row>
    <row r="1149" spans="23:25">
      <c r="W1149" s="44">
        <f t="shared" si="148"/>
        <v>0</v>
      </c>
      <c r="X1149" s="44">
        <f t="shared" si="149"/>
        <v>0</v>
      </c>
      <c r="Y1149" s="44">
        <f t="shared" si="150"/>
        <v>0</v>
      </c>
    </row>
    <row r="1150" spans="23:25">
      <c r="W1150" s="44">
        <f t="shared" si="148"/>
        <v>0</v>
      </c>
      <c r="X1150" s="44">
        <f t="shared" si="149"/>
        <v>0</v>
      </c>
      <c r="Y1150" s="44">
        <f t="shared" si="150"/>
        <v>0</v>
      </c>
    </row>
    <row r="1151" spans="23:25">
      <c r="W1151" s="44">
        <f t="shared" si="148"/>
        <v>0</v>
      </c>
      <c r="X1151" s="44">
        <f t="shared" si="149"/>
        <v>0</v>
      </c>
      <c r="Y1151" s="44">
        <f t="shared" si="150"/>
        <v>0</v>
      </c>
    </row>
    <row r="1152" spans="23:25">
      <c r="W1152" s="44">
        <f t="shared" si="148"/>
        <v>0</v>
      </c>
      <c r="X1152" s="44">
        <f t="shared" si="149"/>
        <v>0</v>
      </c>
      <c r="Y1152" s="44">
        <f t="shared" si="150"/>
        <v>0</v>
      </c>
    </row>
    <row r="1153" spans="23:25">
      <c r="W1153" s="44">
        <f t="shared" si="148"/>
        <v>0</v>
      </c>
      <c r="X1153" s="44">
        <f t="shared" si="149"/>
        <v>0</v>
      </c>
      <c r="Y1153" s="44">
        <f t="shared" si="150"/>
        <v>0</v>
      </c>
    </row>
    <row r="1154" spans="23:25">
      <c r="W1154" s="44">
        <f t="shared" si="148"/>
        <v>0</v>
      </c>
      <c r="X1154" s="44">
        <f t="shared" si="149"/>
        <v>0</v>
      </c>
      <c r="Y1154" s="44">
        <f t="shared" si="150"/>
        <v>0</v>
      </c>
    </row>
    <row r="1155" spans="23:25">
      <c r="W1155" s="44">
        <f t="shared" si="148"/>
        <v>0</v>
      </c>
      <c r="X1155" s="44">
        <f t="shared" si="149"/>
        <v>0</v>
      </c>
      <c r="Y1155" s="44">
        <f t="shared" si="150"/>
        <v>0</v>
      </c>
    </row>
    <row r="1156" spans="23:25">
      <c r="W1156" s="44">
        <f t="shared" si="148"/>
        <v>0</v>
      </c>
      <c r="X1156" s="44">
        <f t="shared" si="149"/>
        <v>0</v>
      </c>
      <c r="Y1156" s="44">
        <f t="shared" si="150"/>
        <v>0</v>
      </c>
    </row>
    <row r="1157" spans="23:25">
      <c r="W1157" s="44">
        <f t="shared" si="148"/>
        <v>0</v>
      </c>
      <c r="X1157" s="44">
        <f t="shared" si="149"/>
        <v>0</v>
      </c>
      <c r="Y1157" s="44">
        <f t="shared" si="150"/>
        <v>0</v>
      </c>
    </row>
    <row r="1158" spans="23:25">
      <c r="W1158" s="44">
        <f t="shared" si="148"/>
        <v>0</v>
      </c>
      <c r="X1158" s="44">
        <f t="shared" si="149"/>
        <v>0</v>
      </c>
      <c r="Y1158" s="44">
        <f t="shared" si="150"/>
        <v>0</v>
      </c>
    </row>
    <row r="1159" spans="23:25">
      <c r="W1159" s="44">
        <f t="shared" si="148"/>
        <v>0</v>
      </c>
      <c r="X1159" s="44">
        <f t="shared" si="149"/>
        <v>0</v>
      </c>
      <c r="Y1159" s="44">
        <f t="shared" si="150"/>
        <v>0</v>
      </c>
    </row>
    <row r="1160" spans="23:25">
      <c r="W1160" s="44">
        <f t="shared" ref="W1160:W1223" si="151">+O1160-U1160-V1160-Z1160</f>
        <v>0</v>
      </c>
      <c r="X1160" s="44">
        <f t="shared" ref="X1160:X1223" si="152">(+O1160-U1160-Z1160)*$X$1</f>
        <v>0</v>
      </c>
      <c r="Y1160" s="44">
        <f t="shared" ref="Y1160:Y1223" si="153">+W1160-X1160</f>
        <v>0</v>
      </c>
    </row>
    <row r="1161" spans="23:25">
      <c r="W1161" s="44">
        <f t="shared" si="151"/>
        <v>0</v>
      </c>
      <c r="X1161" s="44">
        <f t="shared" si="152"/>
        <v>0</v>
      </c>
      <c r="Y1161" s="44">
        <f t="shared" si="153"/>
        <v>0</v>
      </c>
    </row>
    <row r="1162" spans="23:25">
      <c r="W1162" s="44">
        <f t="shared" si="151"/>
        <v>0</v>
      </c>
      <c r="X1162" s="44">
        <f t="shared" si="152"/>
        <v>0</v>
      </c>
      <c r="Y1162" s="44">
        <f t="shared" si="153"/>
        <v>0</v>
      </c>
    </row>
    <row r="1163" spans="23:25">
      <c r="W1163" s="44">
        <f t="shared" si="151"/>
        <v>0</v>
      </c>
      <c r="X1163" s="44">
        <f t="shared" si="152"/>
        <v>0</v>
      </c>
      <c r="Y1163" s="44">
        <f t="shared" si="153"/>
        <v>0</v>
      </c>
    </row>
    <row r="1164" spans="23:25">
      <c r="W1164" s="44">
        <f t="shared" si="151"/>
        <v>0</v>
      </c>
      <c r="X1164" s="44">
        <f t="shared" si="152"/>
        <v>0</v>
      </c>
      <c r="Y1164" s="44">
        <f t="shared" si="153"/>
        <v>0</v>
      </c>
    </row>
    <row r="1165" spans="23:25">
      <c r="W1165" s="44">
        <f t="shared" si="151"/>
        <v>0</v>
      </c>
      <c r="X1165" s="44">
        <f t="shared" si="152"/>
        <v>0</v>
      </c>
      <c r="Y1165" s="44">
        <f t="shared" si="153"/>
        <v>0</v>
      </c>
    </row>
    <row r="1166" spans="23:25">
      <c r="W1166" s="44">
        <f t="shared" si="151"/>
        <v>0</v>
      </c>
      <c r="X1166" s="44">
        <f t="shared" si="152"/>
        <v>0</v>
      </c>
      <c r="Y1166" s="44">
        <f t="shared" si="153"/>
        <v>0</v>
      </c>
    </row>
    <row r="1167" spans="23:25">
      <c r="W1167" s="44">
        <f t="shared" si="151"/>
        <v>0</v>
      </c>
      <c r="X1167" s="44">
        <f t="shared" si="152"/>
        <v>0</v>
      </c>
      <c r="Y1167" s="44">
        <f t="shared" si="153"/>
        <v>0</v>
      </c>
    </row>
    <row r="1168" spans="23:25">
      <c r="W1168" s="44">
        <f t="shared" si="151"/>
        <v>0</v>
      </c>
      <c r="X1168" s="44">
        <f t="shared" si="152"/>
        <v>0</v>
      </c>
      <c r="Y1168" s="44">
        <f t="shared" si="153"/>
        <v>0</v>
      </c>
    </row>
    <row r="1169" spans="23:25">
      <c r="W1169" s="44">
        <f t="shared" si="151"/>
        <v>0</v>
      </c>
      <c r="X1169" s="44">
        <f t="shared" si="152"/>
        <v>0</v>
      </c>
      <c r="Y1169" s="44">
        <f t="shared" si="153"/>
        <v>0</v>
      </c>
    </row>
    <row r="1170" spans="23:25">
      <c r="W1170" s="44">
        <f t="shared" si="151"/>
        <v>0</v>
      </c>
      <c r="X1170" s="44">
        <f t="shared" si="152"/>
        <v>0</v>
      </c>
      <c r="Y1170" s="44">
        <f t="shared" si="153"/>
        <v>0</v>
      </c>
    </row>
    <row r="1171" spans="23:25">
      <c r="W1171" s="44">
        <f t="shared" si="151"/>
        <v>0</v>
      </c>
      <c r="X1171" s="44">
        <f t="shared" si="152"/>
        <v>0</v>
      </c>
      <c r="Y1171" s="44">
        <f t="shared" si="153"/>
        <v>0</v>
      </c>
    </row>
    <row r="1172" spans="23:25">
      <c r="W1172" s="44">
        <f t="shared" si="151"/>
        <v>0</v>
      </c>
      <c r="X1172" s="44">
        <f t="shared" si="152"/>
        <v>0</v>
      </c>
      <c r="Y1172" s="44">
        <f t="shared" si="153"/>
        <v>0</v>
      </c>
    </row>
    <row r="1173" spans="23:25">
      <c r="W1173" s="44">
        <f t="shared" si="151"/>
        <v>0</v>
      </c>
      <c r="X1173" s="44">
        <f t="shared" si="152"/>
        <v>0</v>
      </c>
      <c r="Y1173" s="44">
        <f t="shared" si="153"/>
        <v>0</v>
      </c>
    </row>
    <row r="1174" spans="23:25">
      <c r="W1174" s="44">
        <f t="shared" si="151"/>
        <v>0</v>
      </c>
      <c r="X1174" s="44">
        <f t="shared" si="152"/>
        <v>0</v>
      </c>
      <c r="Y1174" s="44">
        <f t="shared" si="153"/>
        <v>0</v>
      </c>
    </row>
    <row r="1175" spans="23:25">
      <c r="W1175" s="44">
        <f t="shared" si="151"/>
        <v>0</v>
      </c>
      <c r="X1175" s="44">
        <f t="shared" si="152"/>
        <v>0</v>
      </c>
      <c r="Y1175" s="44">
        <f t="shared" si="153"/>
        <v>0</v>
      </c>
    </row>
    <row r="1176" spans="23:25">
      <c r="W1176" s="44">
        <f t="shared" si="151"/>
        <v>0</v>
      </c>
      <c r="X1176" s="44">
        <f t="shared" si="152"/>
        <v>0</v>
      </c>
      <c r="Y1176" s="44">
        <f t="shared" si="153"/>
        <v>0</v>
      </c>
    </row>
    <row r="1177" spans="23:25">
      <c r="W1177" s="44">
        <f t="shared" si="151"/>
        <v>0</v>
      </c>
      <c r="X1177" s="44">
        <f t="shared" si="152"/>
        <v>0</v>
      </c>
      <c r="Y1177" s="44">
        <f t="shared" si="153"/>
        <v>0</v>
      </c>
    </row>
    <row r="1178" spans="23:25">
      <c r="W1178" s="44">
        <f t="shared" si="151"/>
        <v>0</v>
      </c>
      <c r="X1178" s="44">
        <f t="shared" si="152"/>
        <v>0</v>
      </c>
      <c r="Y1178" s="44">
        <f t="shared" si="153"/>
        <v>0</v>
      </c>
    </row>
    <row r="1179" spans="23:25">
      <c r="W1179" s="44">
        <f t="shared" si="151"/>
        <v>0</v>
      </c>
      <c r="X1179" s="44">
        <f t="shared" si="152"/>
        <v>0</v>
      </c>
      <c r="Y1179" s="44">
        <f t="shared" si="153"/>
        <v>0</v>
      </c>
    </row>
    <row r="1180" spans="23:25">
      <c r="W1180" s="44">
        <f t="shared" si="151"/>
        <v>0</v>
      </c>
      <c r="X1180" s="44">
        <f t="shared" si="152"/>
        <v>0</v>
      </c>
      <c r="Y1180" s="44">
        <f t="shared" si="153"/>
        <v>0</v>
      </c>
    </row>
    <row r="1181" spans="23:25">
      <c r="W1181" s="44">
        <f t="shared" si="151"/>
        <v>0</v>
      </c>
      <c r="X1181" s="44">
        <f t="shared" si="152"/>
        <v>0</v>
      </c>
      <c r="Y1181" s="44">
        <f t="shared" si="153"/>
        <v>0</v>
      </c>
    </row>
    <row r="1182" spans="23:25">
      <c r="W1182" s="44">
        <f t="shared" si="151"/>
        <v>0</v>
      </c>
      <c r="X1182" s="44">
        <f t="shared" si="152"/>
        <v>0</v>
      </c>
      <c r="Y1182" s="44">
        <f t="shared" si="153"/>
        <v>0</v>
      </c>
    </row>
    <row r="1183" spans="23:25">
      <c r="W1183" s="44">
        <f t="shared" si="151"/>
        <v>0</v>
      </c>
      <c r="X1183" s="44">
        <f t="shared" si="152"/>
        <v>0</v>
      </c>
      <c r="Y1183" s="44">
        <f t="shared" si="153"/>
        <v>0</v>
      </c>
    </row>
    <row r="1184" spans="23:25">
      <c r="W1184" s="44">
        <f t="shared" si="151"/>
        <v>0</v>
      </c>
      <c r="X1184" s="44">
        <f t="shared" si="152"/>
        <v>0</v>
      </c>
      <c r="Y1184" s="44">
        <f t="shared" si="153"/>
        <v>0</v>
      </c>
    </row>
    <row r="1185" spans="23:25">
      <c r="W1185" s="44">
        <f t="shared" si="151"/>
        <v>0</v>
      </c>
      <c r="X1185" s="44">
        <f t="shared" si="152"/>
        <v>0</v>
      </c>
      <c r="Y1185" s="44">
        <f t="shared" si="153"/>
        <v>0</v>
      </c>
    </row>
    <row r="1186" spans="23:25">
      <c r="W1186" s="44">
        <f t="shared" si="151"/>
        <v>0</v>
      </c>
      <c r="X1186" s="44">
        <f t="shared" si="152"/>
        <v>0</v>
      </c>
      <c r="Y1186" s="44">
        <f t="shared" si="153"/>
        <v>0</v>
      </c>
    </row>
    <row r="1187" spans="23:25">
      <c r="W1187" s="44">
        <f t="shared" si="151"/>
        <v>0</v>
      </c>
      <c r="X1187" s="44">
        <f t="shared" si="152"/>
        <v>0</v>
      </c>
      <c r="Y1187" s="44">
        <f t="shared" si="153"/>
        <v>0</v>
      </c>
    </row>
    <row r="1188" spans="23:25">
      <c r="W1188" s="44">
        <f t="shared" si="151"/>
        <v>0</v>
      </c>
      <c r="X1188" s="44">
        <f t="shared" si="152"/>
        <v>0</v>
      </c>
      <c r="Y1188" s="44">
        <f t="shared" si="153"/>
        <v>0</v>
      </c>
    </row>
    <row r="1189" spans="23:25">
      <c r="W1189" s="44">
        <f t="shared" si="151"/>
        <v>0</v>
      </c>
      <c r="X1189" s="44">
        <f t="shared" si="152"/>
        <v>0</v>
      </c>
      <c r="Y1189" s="44">
        <f t="shared" si="153"/>
        <v>0</v>
      </c>
    </row>
    <row r="1190" spans="23:25">
      <c r="W1190" s="44">
        <f t="shared" si="151"/>
        <v>0</v>
      </c>
      <c r="X1190" s="44">
        <f t="shared" si="152"/>
        <v>0</v>
      </c>
      <c r="Y1190" s="44">
        <f t="shared" si="153"/>
        <v>0</v>
      </c>
    </row>
    <row r="1191" spans="23:25">
      <c r="W1191" s="44">
        <f t="shared" si="151"/>
        <v>0</v>
      </c>
      <c r="X1191" s="44">
        <f t="shared" si="152"/>
        <v>0</v>
      </c>
      <c r="Y1191" s="44">
        <f t="shared" si="153"/>
        <v>0</v>
      </c>
    </row>
    <row r="1192" spans="23:25">
      <c r="W1192" s="44">
        <f t="shared" si="151"/>
        <v>0</v>
      </c>
      <c r="X1192" s="44">
        <f t="shared" si="152"/>
        <v>0</v>
      </c>
      <c r="Y1192" s="44">
        <f t="shared" si="153"/>
        <v>0</v>
      </c>
    </row>
    <row r="1193" spans="23:25">
      <c r="W1193" s="44">
        <f t="shared" si="151"/>
        <v>0</v>
      </c>
      <c r="X1193" s="44">
        <f t="shared" si="152"/>
        <v>0</v>
      </c>
      <c r="Y1193" s="44">
        <f t="shared" si="153"/>
        <v>0</v>
      </c>
    </row>
    <row r="1194" spans="23:25">
      <c r="W1194" s="44">
        <f t="shared" si="151"/>
        <v>0</v>
      </c>
      <c r="X1194" s="44">
        <f t="shared" si="152"/>
        <v>0</v>
      </c>
      <c r="Y1194" s="44">
        <f t="shared" si="153"/>
        <v>0</v>
      </c>
    </row>
    <row r="1195" spans="23:25">
      <c r="W1195" s="44">
        <f t="shared" si="151"/>
        <v>0</v>
      </c>
      <c r="X1195" s="44">
        <f t="shared" si="152"/>
        <v>0</v>
      </c>
      <c r="Y1195" s="44">
        <f t="shared" si="153"/>
        <v>0</v>
      </c>
    </row>
    <row r="1196" spans="23:25">
      <c r="W1196" s="44">
        <f t="shared" si="151"/>
        <v>0</v>
      </c>
      <c r="X1196" s="44">
        <f t="shared" si="152"/>
        <v>0</v>
      </c>
      <c r="Y1196" s="44">
        <f t="shared" si="153"/>
        <v>0</v>
      </c>
    </row>
    <row r="1197" spans="23:25">
      <c r="W1197" s="44">
        <f t="shared" si="151"/>
        <v>0</v>
      </c>
      <c r="X1197" s="44">
        <f t="shared" si="152"/>
        <v>0</v>
      </c>
      <c r="Y1197" s="44">
        <f t="shared" si="153"/>
        <v>0</v>
      </c>
    </row>
    <row r="1198" spans="23:25">
      <c r="W1198" s="44">
        <f t="shared" si="151"/>
        <v>0</v>
      </c>
      <c r="X1198" s="44">
        <f t="shared" si="152"/>
        <v>0</v>
      </c>
      <c r="Y1198" s="44">
        <f t="shared" si="153"/>
        <v>0</v>
      </c>
    </row>
    <row r="1199" spans="23:25">
      <c r="W1199" s="44">
        <f t="shared" si="151"/>
        <v>0</v>
      </c>
      <c r="X1199" s="44">
        <f t="shared" si="152"/>
        <v>0</v>
      </c>
      <c r="Y1199" s="44">
        <f t="shared" si="153"/>
        <v>0</v>
      </c>
    </row>
    <row r="1200" spans="23:25">
      <c r="W1200" s="44">
        <f t="shared" si="151"/>
        <v>0</v>
      </c>
      <c r="X1200" s="44">
        <f t="shared" si="152"/>
        <v>0</v>
      </c>
      <c r="Y1200" s="44">
        <f t="shared" si="153"/>
        <v>0</v>
      </c>
    </row>
    <row r="1201" spans="23:25">
      <c r="W1201" s="44">
        <f t="shared" si="151"/>
        <v>0</v>
      </c>
      <c r="X1201" s="44">
        <f t="shared" si="152"/>
        <v>0</v>
      </c>
      <c r="Y1201" s="44">
        <f t="shared" si="153"/>
        <v>0</v>
      </c>
    </row>
    <row r="1202" spans="23:25">
      <c r="W1202" s="44">
        <f t="shared" si="151"/>
        <v>0</v>
      </c>
      <c r="X1202" s="44">
        <f t="shared" si="152"/>
        <v>0</v>
      </c>
      <c r="Y1202" s="44">
        <f t="shared" si="153"/>
        <v>0</v>
      </c>
    </row>
    <row r="1203" spans="23:25">
      <c r="W1203" s="44">
        <f t="shared" si="151"/>
        <v>0</v>
      </c>
      <c r="X1203" s="44">
        <f t="shared" si="152"/>
        <v>0</v>
      </c>
      <c r="Y1203" s="44">
        <f t="shared" si="153"/>
        <v>0</v>
      </c>
    </row>
    <row r="1204" spans="23:25">
      <c r="W1204" s="44">
        <f t="shared" si="151"/>
        <v>0</v>
      </c>
      <c r="X1204" s="44">
        <f t="shared" si="152"/>
        <v>0</v>
      </c>
      <c r="Y1204" s="44">
        <f t="shared" si="153"/>
        <v>0</v>
      </c>
    </row>
    <row r="1205" spans="23:25">
      <c r="W1205" s="44">
        <f t="shared" si="151"/>
        <v>0</v>
      </c>
      <c r="X1205" s="44">
        <f t="shared" si="152"/>
        <v>0</v>
      </c>
      <c r="Y1205" s="44">
        <f t="shared" si="153"/>
        <v>0</v>
      </c>
    </row>
    <row r="1206" spans="23:25">
      <c r="W1206" s="44">
        <f t="shared" si="151"/>
        <v>0</v>
      </c>
      <c r="X1206" s="44">
        <f t="shared" si="152"/>
        <v>0</v>
      </c>
      <c r="Y1206" s="44">
        <f t="shared" si="153"/>
        <v>0</v>
      </c>
    </row>
    <row r="1207" spans="23:25">
      <c r="W1207" s="44">
        <f t="shared" si="151"/>
        <v>0</v>
      </c>
      <c r="X1207" s="44">
        <f t="shared" si="152"/>
        <v>0</v>
      </c>
      <c r="Y1207" s="44">
        <f t="shared" si="153"/>
        <v>0</v>
      </c>
    </row>
    <row r="1208" spans="23:25">
      <c r="W1208" s="44">
        <f t="shared" si="151"/>
        <v>0</v>
      </c>
      <c r="X1208" s="44">
        <f t="shared" si="152"/>
        <v>0</v>
      </c>
      <c r="Y1208" s="44">
        <f t="shared" si="153"/>
        <v>0</v>
      </c>
    </row>
    <row r="1209" spans="23:25">
      <c r="W1209" s="44">
        <f t="shared" si="151"/>
        <v>0</v>
      </c>
      <c r="X1209" s="44">
        <f t="shared" si="152"/>
        <v>0</v>
      </c>
      <c r="Y1209" s="44">
        <f t="shared" si="153"/>
        <v>0</v>
      </c>
    </row>
    <row r="1210" spans="23:25">
      <c r="W1210" s="44">
        <f t="shared" si="151"/>
        <v>0</v>
      </c>
      <c r="X1210" s="44">
        <f t="shared" si="152"/>
        <v>0</v>
      </c>
      <c r="Y1210" s="44">
        <f t="shared" si="153"/>
        <v>0</v>
      </c>
    </row>
    <row r="1211" spans="23:25">
      <c r="W1211" s="44">
        <f t="shared" si="151"/>
        <v>0</v>
      </c>
      <c r="X1211" s="44">
        <f t="shared" si="152"/>
        <v>0</v>
      </c>
      <c r="Y1211" s="44">
        <f t="shared" si="153"/>
        <v>0</v>
      </c>
    </row>
    <row r="1212" spans="23:25">
      <c r="W1212" s="44">
        <f t="shared" si="151"/>
        <v>0</v>
      </c>
      <c r="X1212" s="44">
        <f t="shared" si="152"/>
        <v>0</v>
      </c>
      <c r="Y1212" s="44">
        <f t="shared" si="153"/>
        <v>0</v>
      </c>
    </row>
    <row r="1213" spans="23:25">
      <c r="W1213" s="44">
        <f t="shared" si="151"/>
        <v>0</v>
      </c>
      <c r="X1213" s="44">
        <f t="shared" si="152"/>
        <v>0</v>
      </c>
      <c r="Y1213" s="44">
        <f t="shared" si="153"/>
        <v>0</v>
      </c>
    </row>
    <row r="1214" spans="23:25">
      <c r="W1214" s="44">
        <f t="shared" si="151"/>
        <v>0</v>
      </c>
      <c r="X1214" s="44">
        <f t="shared" si="152"/>
        <v>0</v>
      </c>
      <c r="Y1214" s="44">
        <f t="shared" si="153"/>
        <v>0</v>
      </c>
    </row>
    <row r="1215" spans="23:25">
      <c r="W1215" s="44">
        <f t="shared" si="151"/>
        <v>0</v>
      </c>
      <c r="X1215" s="44">
        <f t="shared" si="152"/>
        <v>0</v>
      </c>
      <c r="Y1215" s="44">
        <f t="shared" si="153"/>
        <v>0</v>
      </c>
    </row>
    <row r="1216" spans="23:25">
      <c r="W1216" s="44">
        <f t="shared" si="151"/>
        <v>0</v>
      </c>
      <c r="X1216" s="44">
        <f t="shared" si="152"/>
        <v>0</v>
      </c>
      <c r="Y1216" s="44">
        <f t="shared" si="153"/>
        <v>0</v>
      </c>
    </row>
    <row r="1217" spans="23:25">
      <c r="W1217" s="44">
        <f t="shared" si="151"/>
        <v>0</v>
      </c>
      <c r="X1217" s="44">
        <f t="shared" si="152"/>
        <v>0</v>
      </c>
      <c r="Y1217" s="44">
        <f t="shared" si="153"/>
        <v>0</v>
      </c>
    </row>
    <row r="1218" spans="23:25">
      <c r="W1218" s="44">
        <f t="shared" si="151"/>
        <v>0</v>
      </c>
      <c r="X1218" s="44">
        <f t="shared" si="152"/>
        <v>0</v>
      </c>
      <c r="Y1218" s="44">
        <f t="shared" si="153"/>
        <v>0</v>
      </c>
    </row>
    <row r="1219" spans="23:25">
      <c r="W1219" s="44">
        <f t="shared" si="151"/>
        <v>0</v>
      </c>
      <c r="X1219" s="44">
        <f t="shared" si="152"/>
        <v>0</v>
      </c>
      <c r="Y1219" s="44">
        <f t="shared" si="153"/>
        <v>0</v>
      </c>
    </row>
    <row r="1220" spans="23:25">
      <c r="W1220" s="44">
        <f t="shared" si="151"/>
        <v>0</v>
      </c>
      <c r="X1220" s="44">
        <f t="shared" si="152"/>
        <v>0</v>
      </c>
      <c r="Y1220" s="44">
        <f t="shared" si="153"/>
        <v>0</v>
      </c>
    </row>
    <row r="1221" spans="23:25">
      <c r="W1221" s="44">
        <f t="shared" si="151"/>
        <v>0</v>
      </c>
      <c r="X1221" s="44">
        <f t="shared" si="152"/>
        <v>0</v>
      </c>
      <c r="Y1221" s="44">
        <f t="shared" si="153"/>
        <v>0</v>
      </c>
    </row>
    <row r="1222" spans="23:25">
      <c r="W1222" s="44">
        <f t="shared" si="151"/>
        <v>0</v>
      </c>
      <c r="X1222" s="44">
        <f t="shared" si="152"/>
        <v>0</v>
      </c>
      <c r="Y1222" s="44">
        <f t="shared" si="153"/>
        <v>0</v>
      </c>
    </row>
    <row r="1223" spans="23:25">
      <c r="W1223" s="44">
        <f t="shared" si="151"/>
        <v>0</v>
      </c>
      <c r="X1223" s="44">
        <f t="shared" si="152"/>
        <v>0</v>
      </c>
      <c r="Y1223" s="44">
        <f t="shared" si="153"/>
        <v>0</v>
      </c>
    </row>
    <row r="1224" spans="23:25">
      <c r="W1224" s="44">
        <f t="shared" ref="W1224:W1287" si="154">+O1224-U1224-V1224-Z1224</f>
        <v>0</v>
      </c>
      <c r="X1224" s="44">
        <f t="shared" ref="X1224:X1287" si="155">(+O1224-U1224-Z1224)*$X$1</f>
        <v>0</v>
      </c>
      <c r="Y1224" s="44">
        <f t="shared" ref="Y1224:Y1287" si="156">+W1224-X1224</f>
        <v>0</v>
      </c>
    </row>
    <row r="1225" spans="23:25">
      <c r="W1225" s="44">
        <f t="shared" si="154"/>
        <v>0</v>
      </c>
      <c r="X1225" s="44">
        <f t="shared" si="155"/>
        <v>0</v>
      </c>
      <c r="Y1225" s="44">
        <f t="shared" si="156"/>
        <v>0</v>
      </c>
    </row>
    <row r="1226" spans="23:25">
      <c r="W1226" s="44">
        <f t="shared" si="154"/>
        <v>0</v>
      </c>
      <c r="X1226" s="44">
        <f t="shared" si="155"/>
        <v>0</v>
      </c>
      <c r="Y1226" s="44">
        <f t="shared" si="156"/>
        <v>0</v>
      </c>
    </row>
    <row r="1227" spans="23:25">
      <c r="W1227" s="44">
        <f t="shared" si="154"/>
        <v>0</v>
      </c>
      <c r="X1227" s="44">
        <f t="shared" si="155"/>
        <v>0</v>
      </c>
      <c r="Y1227" s="44">
        <f t="shared" si="156"/>
        <v>0</v>
      </c>
    </row>
    <row r="1228" spans="23:25">
      <c r="W1228" s="44">
        <f t="shared" si="154"/>
        <v>0</v>
      </c>
      <c r="X1228" s="44">
        <f t="shared" si="155"/>
        <v>0</v>
      </c>
      <c r="Y1228" s="44">
        <f t="shared" si="156"/>
        <v>0</v>
      </c>
    </row>
    <row r="1229" spans="23:25">
      <c r="W1229" s="44">
        <f t="shared" si="154"/>
        <v>0</v>
      </c>
      <c r="X1229" s="44">
        <f t="shared" si="155"/>
        <v>0</v>
      </c>
      <c r="Y1229" s="44">
        <f t="shared" si="156"/>
        <v>0</v>
      </c>
    </row>
    <row r="1230" spans="23:25">
      <c r="W1230" s="44">
        <f t="shared" si="154"/>
        <v>0</v>
      </c>
      <c r="X1230" s="44">
        <f t="shared" si="155"/>
        <v>0</v>
      </c>
      <c r="Y1230" s="44">
        <f t="shared" si="156"/>
        <v>0</v>
      </c>
    </row>
    <row r="1231" spans="23:25">
      <c r="W1231" s="44">
        <f t="shared" si="154"/>
        <v>0</v>
      </c>
      <c r="X1231" s="44">
        <f t="shared" si="155"/>
        <v>0</v>
      </c>
      <c r="Y1231" s="44">
        <f t="shared" si="156"/>
        <v>0</v>
      </c>
    </row>
    <row r="1232" spans="23:25">
      <c r="W1232" s="44">
        <f t="shared" si="154"/>
        <v>0</v>
      </c>
      <c r="X1232" s="44">
        <f t="shared" si="155"/>
        <v>0</v>
      </c>
      <c r="Y1232" s="44">
        <f t="shared" si="156"/>
        <v>0</v>
      </c>
    </row>
    <row r="1233" spans="23:25">
      <c r="W1233" s="44">
        <f t="shared" si="154"/>
        <v>0</v>
      </c>
      <c r="X1233" s="44">
        <f t="shared" si="155"/>
        <v>0</v>
      </c>
      <c r="Y1233" s="44">
        <f t="shared" si="156"/>
        <v>0</v>
      </c>
    </row>
    <row r="1234" spans="23:25">
      <c r="W1234" s="44">
        <f t="shared" si="154"/>
        <v>0</v>
      </c>
      <c r="X1234" s="44">
        <f t="shared" si="155"/>
        <v>0</v>
      </c>
      <c r="Y1234" s="44">
        <f t="shared" si="156"/>
        <v>0</v>
      </c>
    </row>
    <row r="1235" spans="23:25">
      <c r="W1235" s="44">
        <f t="shared" si="154"/>
        <v>0</v>
      </c>
      <c r="X1235" s="44">
        <f t="shared" si="155"/>
        <v>0</v>
      </c>
      <c r="Y1235" s="44">
        <f t="shared" si="156"/>
        <v>0</v>
      </c>
    </row>
    <row r="1236" spans="23:25">
      <c r="W1236" s="44">
        <f t="shared" si="154"/>
        <v>0</v>
      </c>
      <c r="X1236" s="44">
        <f t="shared" si="155"/>
        <v>0</v>
      </c>
      <c r="Y1236" s="44">
        <f t="shared" si="156"/>
        <v>0</v>
      </c>
    </row>
    <row r="1237" spans="23:25">
      <c r="W1237" s="44">
        <f t="shared" si="154"/>
        <v>0</v>
      </c>
      <c r="X1237" s="44">
        <f t="shared" si="155"/>
        <v>0</v>
      </c>
      <c r="Y1237" s="44">
        <f t="shared" si="156"/>
        <v>0</v>
      </c>
    </row>
    <row r="1238" spans="23:25">
      <c r="W1238" s="44">
        <f t="shared" si="154"/>
        <v>0</v>
      </c>
      <c r="X1238" s="44">
        <f t="shared" si="155"/>
        <v>0</v>
      </c>
      <c r="Y1238" s="44">
        <f t="shared" si="156"/>
        <v>0</v>
      </c>
    </row>
    <row r="1239" spans="23:25">
      <c r="W1239" s="44">
        <f t="shared" si="154"/>
        <v>0</v>
      </c>
      <c r="X1239" s="44">
        <f t="shared" si="155"/>
        <v>0</v>
      </c>
      <c r="Y1239" s="44">
        <f t="shared" si="156"/>
        <v>0</v>
      </c>
    </row>
    <row r="1240" spans="23:25">
      <c r="W1240" s="44">
        <f t="shared" si="154"/>
        <v>0</v>
      </c>
      <c r="X1240" s="44">
        <f t="shared" si="155"/>
        <v>0</v>
      </c>
      <c r="Y1240" s="44">
        <f t="shared" si="156"/>
        <v>0</v>
      </c>
    </row>
    <row r="1241" spans="23:25">
      <c r="W1241" s="44">
        <f t="shared" si="154"/>
        <v>0</v>
      </c>
      <c r="X1241" s="44">
        <f t="shared" si="155"/>
        <v>0</v>
      </c>
      <c r="Y1241" s="44">
        <f t="shared" si="156"/>
        <v>0</v>
      </c>
    </row>
    <row r="1242" spans="23:25">
      <c r="W1242" s="44">
        <f t="shared" si="154"/>
        <v>0</v>
      </c>
      <c r="X1242" s="44">
        <f t="shared" si="155"/>
        <v>0</v>
      </c>
      <c r="Y1242" s="44">
        <f t="shared" si="156"/>
        <v>0</v>
      </c>
    </row>
    <row r="1243" spans="23:25">
      <c r="W1243" s="44">
        <f t="shared" si="154"/>
        <v>0</v>
      </c>
      <c r="X1243" s="44">
        <f t="shared" si="155"/>
        <v>0</v>
      </c>
      <c r="Y1243" s="44">
        <f t="shared" si="156"/>
        <v>0</v>
      </c>
    </row>
    <row r="1244" spans="23:25">
      <c r="W1244" s="44">
        <f t="shared" si="154"/>
        <v>0</v>
      </c>
      <c r="X1244" s="44">
        <f t="shared" si="155"/>
        <v>0</v>
      </c>
      <c r="Y1244" s="44">
        <f t="shared" si="156"/>
        <v>0</v>
      </c>
    </row>
    <row r="1245" spans="23:25">
      <c r="W1245" s="44">
        <f t="shared" si="154"/>
        <v>0</v>
      </c>
      <c r="X1245" s="44">
        <f t="shared" si="155"/>
        <v>0</v>
      </c>
      <c r="Y1245" s="44">
        <f t="shared" si="156"/>
        <v>0</v>
      </c>
    </row>
    <row r="1246" spans="23:25">
      <c r="W1246" s="44">
        <f t="shared" si="154"/>
        <v>0</v>
      </c>
      <c r="X1246" s="44">
        <f t="shared" si="155"/>
        <v>0</v>
      </c>
      <c r="Y1246" s="44">
        <f t="shared" si="156"/>
        <v>0</v>
      </c>
    </row>
    <row r="1247" spans="23:25">
      <c r="W1247" s="44">
        <f t="shared" si="154"/>
        <v>0</v>
      </c>
      <c r="X1247" s="44">
        <f t="shared" si="155"/>
        <v>0</v>
      </c>
      <c r="Y1247" s="44">
        <f t="shared" si="156"/>
        <v>0</v>
      </c>
    </row>
    <row r="1248" spans="23:25">
      <c r="W1248" s="44">
        <f t="shared" si="154"/>
        <v>0</v>
      </c>
      <c r="X1248" s="44">
        <f t="shared" si="155"/>
        <v>0</v>
      </c>
      <c r="Y1248" s="44">
        <f t="shared" si="156"/>
        <v>0</v>
      </c>
    </row>
    <row r="1249" spans="23:25">
      <c r="W1249" s="44">
        <f t="shared" si="154"/>
        <v>0</v>
      </c>
      <c r="X1249" s="44">
        <f t="shared" si="155"/>
        <v>0</v>
      </c>
      <c r="Y1249" s="44">
        <f t="shared" si="156"/>
        <v>0</v>
      </c>
    </row>
    <row r="1250" spans="23:25">
      <c r="W1250" s="44">
        <f t="shared" si="154"/>
        <v>0</v>
      </c>
      <c r="X1250" s="44">
        <f t="shared" si="155"/>
        <v>0</v>
      </c>
      <c r="Y1250" s="44">
        <f t="shared" si="156"/>
        <v>0</v>
      </c>
    </row>
    <row r="1251" spans="23:25">
      <c r="W1251" s="44">
        <f t="shared" si="154"/>
        <v>0</v>
      </c>
      <c r="X1251" s="44">
        <f t="shared" si="155"/>
        <v>0</v>
      </c>
      <c r="Y1251" s="44">
        <f t="shared" si="156"/>
        <v>0</v>
      </c>
    </row>
    <row r="1252" spans="23:25">
      <c r="W1252" s="44">
        <f t="shared" si="154"/>
        <v>0</v>
      </c>
      <c r="X1252" s="44">
        <f t="shared" si="155"/>
        <v>0</v>
      </c>
      <c r="Y1252" s="44">
        <f t="shared" si="156"/>
        <v>0</v>
      </c>
    </row>
    <row r="1253" spans="23:25">
      <c r="W1253" s="44">
        <f t="shared" si="154"/>
        <v>0</v>
      </c>
      <c r="X1253" s="44">
        <f t="shared" si="155"/>
        <v>0</v>
      </c>
      <c r="Y1253" s="44">
        <f t="shared" si="156"/>
        <v>0</v>
      </c>
    </row>
    <row r="1254" spans="23:25">
      <c r="W1254" s="44">
        <f t="shared" si="154"/>
        <v>0</v>
      </c>
      <c r="X1254" s="44">
        <f t="shared" si="155"/>
        <v>0</v>
      </c>
      <c r="Y1254" s="44">
        <f t="shared" si="156"/>
        <v>0</v>
      </c>
    </row>
    <row r="1255" spans="23:25">
      <c r="W1255" s="44">
        <f t="shared" si="154"/>
        <v>0</v>
      </c>
      <c r="X1255" s="44">
        <f t="shared" si="155"/>
        <v>0</v>
      </c>
      <c r="Y1255" s="44">
        <f t="shared" si="156"/>
        <v>0</v>
      </c>
    </row>
    <row r="1256" spans="23:25">
      <c r="W1256" s="44">
        <f t="shared" si="154"/>
        <v>0</v>
      </c>
      <c r="X1256" s="44">
        <f t="shared" si="155"/>
        <v>0</v>
      </c>
      <c r="Y1256" s="44">
        <f t="shared" si="156"/>
        <v>0</v>
      </c>
    </row>
    <row r="1257" spans="23:25">
      <c r="W1257" s="44">
        <f t="shared" si="154"/>
        <v>0</v>
      </c>
      <c r="X1257" s="44">
        <f t="shared" si="155"/>
        <v>0</v>
      </c>
      <c r="Y1257" s="44">
        <f t="shared" si="156"/>
        <v>0</v>
      </c>
    </row>
    <row r="1258" spans="23:25">
      <c r="W1258" s="44">
        <f t="shared" si="154"/>
        <v>0</v>
      </c>
      <c r="X1258" s="44">
        <f t="shared" si="155"/>
        <v>0</v>
      </c>
      <c r="Y1258" s="44">
        <f t="shared" si="156"/>
        <v>0</v>
      </c>
    </row>
    <row r="1259" spans="23:25">
      <c r="W1259" s="44">
        <f t="shared" si="154"/>
        <v>0</v>
      </c>
      <c r="X1259" s="44">
        <f t="shared" si="155"/>
        <v>0</v>
      </c>
      <c r="Y1259" s="44">
        <f t="shared" si="156"/>
        <v>0</v>
      </c>
    </row>
    <row r="1260" spans="23:25">
      <c r="W1260" s="44">
        <f t="shared" si="154"/>
        <v>0</v>
      </c>
      <c r="X1260" s="44">
        <f t="shared" si="155"/>
        <v>0</v>
      </c>
      <c r="Y1260" s="44">
        <f t="shared" si="156"/>
        <v>0</v>
      </c>
    </row>
    <row r="1261" spans="23:25">
      <c r="W1261" s="44">
        <f t="shared" si="154"/>
        <v>0</v>
      </c>
      <c r="X1261" s="44">
        <f t="shared" si="155"/>
        <v>0</v>
      </c>
      <c r="Y1261" s="44">
        <f t="shared" si="156"/>
        <v>0</v>
      </c>
    </row>
    <row r="1262" spans="23:25">
      <c r="W1262" s="44">
        <f t="shared" si="154"/>
        <v>0</v>
      </c>
      <c r="X1262" s="44">
        <f t="shared" si="155"/>
        <v>0</v>
      </c>
      <c r="Y1262" s="44">
        <f t="shared" si="156"/>
        <v>0</v>
      </c>
    </row>
    <row r="1263" spans="23:25">
      <c r="W1263" s="44">
        <f t="shared" si="154"/>
        <v>0</v>
      </c>
      <c r="X1263" s="44">
        <f t="shared" si="155"/>
        <v>0</v>
      </c>
      <c r="Y1263" s="44">
        <f t="shared" si="156"/>
        <v>0</v>
      </c>
    </row>
    <row r="1264" spans="23:25">
      <c r="W1264" s="44">
        <f t="shared" si="154"/>
        <v>0</v>
      </c>
      <c r="X1264" s="44">
        <f t="shared" si="155"/>
        <v>0</v>
      </c>
      <c r="Y1264" s="44">
        <f t="shared" si="156"/>
        <v>0</v>
      </c>
    </row>
    <row r="1265" spans="23:25">
      <c r="W1265" s="44">
        <f t="shared" si="154"/>
        <v>0</v>
      </c>
      <c r="X1265" s="44">
        <f t="shared" si="155"/>
        <v>0</v>
      </c>
      <c r="Y1265" s="44">
        <f t="shared" si="156"/>
        <v>0</v>
      </c>
    </row>
    <row r="1266" spans="23:25">
      <c r="W1266" s="44">
        <f t="shared" si="154"/>
        <v>0</v>
      </c>
      <c r="X1266" s="44">
        <f t="shared" si="155"/>
        <v>0</v>
      </c>
      <c r="Y1266" s="44">
        <f t="shared" si="156"/>
        <v>0</v>
      </c>
    </row>
    <row r="1267" spans="23:25">
      <c r="W1267" s="44">
        <f t="shared" si="154"/>
        <v>0</v>
      </c>
      <c r="X1267" s="44">
        <f t="shared" si="155"/>
        <v>0</v>
      </c>
      <c r="Y1267" s="44">
        <f t="shared" si="156"/>
        <v>0</v>
      </c>
    </row>
    <row r="1268" spans="23:25">
      <c r="W1268" s="44">
        <f t="shared" si="154"/>
        <v>0</v>
      </c>
      <c r="X1268" s="44">
        <f t="shared" si="155"/>
        <v>0</v>
      </c>
      <c r="Y1268" s="44">
        <f t="shared" si="156"/>
        <v>0</v>
      </c>
    </row>
    <row r="1269" spans="23:25">
      <c r="W1269" s="44">
        <f t="shared" si="154"/>
        <v>0</v>
      </c>
      <c r="X1269" s="44">
        <f t="shared" si="155"/>
        <v>0</v>
      </c>
      <c r="Y1269" s="44">
        <f t="shared" si="156"/>
        <v>0</v>
      </c>
    </row>
    <row r="1270" spans="23:25">
      <c r="W1270" s="44">
        <f t="shared" si="154"/>
        <v>0</v>
      </c>
      <c r="X1270" s="44">
        <f t="shared" si="155"/>
        <v>0</v>
      </c>
      <c r="Y1270" s="44">
        <f t="shared" si="156"/>
        <v>0</v>
      </c>
    </row>
    <row r="1271" spans="23:25">
      <c r="W1271" s="44">
        <f t="shared" si="154"/>
        <v>0</v>
      </c>
      <c r="X1271" s="44">
        <f t="shared" si="155"/>
        <v>0</v>
      </c>
      <c r="Y1271" s="44">
        <f t="shared" si="156"/>
        <v>0</v>
      </c>
    </row>
    <row r="1272" spans="23:25">
      <c r="W1272" s="44">
        <f t="shared" si="154"/>
        <v>0</v>
      </c>
      <c r="X1272" s="44">
        <f t="shared" si="155"/>
        <v>0</v>
      </c>
      <c r="Y1272" s="44">
        <f t="shared" si="156"/>
        <v>0</v>
      </c>
    </row>
    <row r="1273" spans="23:25">
      <c r="W1273" s="44">
        <f t="shared" si="154"/>
        <v>0</v>
      </c>
      <c r="X1273" s="44">
        <f t="shared" si="155"/>
        <v>0</v>
      </c>
      <c r="Y1273" s="44">
        <f t="shared" si="156"/>
        <v>0</v>
      </c>
    </row>
    <row r="1274" spans="23:25">
      <c r="W1274" s="44">
        <f t="shared" si="154"/>
        <v>0</v>
      </c>
      <c r="X1274" s="44">
        <f t="shared" si="155"/>
        <v>0</v>
      </c>
      <c r="Y1274" s="44">
        <f t="shared" si="156"/>
        <v>0</v>
      </c>
    </row>
    <row r="1275" spans="23:25">
      <c r="W1275" s="44">
        <f t="shared" si="154"/>
        <v>0</v>
      </c>
      <c r="X1275" s="44">
        <f t="shared" si="155"/>
        <v>0</v>
      </c>
      <c r="Y1275" s="44">
        <f t="shared" si="156"/>
        <v>0</v>
      </c>
    </row>
    <row r="1276" spans="23:25">
      <c r="W1276" s="44">
        <f t="shared" si="154"/>
        <v>0</v>
      </c>
      <c r="X1276" s="44">
        <f t="shared" si="155"/>
        <v>0</v>
      </c>
      <c r="Y1276" s="44">
        <f t="shared" si="156"/>
        <v>0</v>
      </c>
    </row>
    <row r="1277" spans="23:25">
      <c r="W1277" s="44">
        <f t="shared" si="154"/>
        <v>0</v>
      </c>
      <c r="X1277" s="44">
        <f t="shared" si="155"/>
        <v>0</v>
      </c>
      <c r="Y1277" s="44">
        <f t="shared" si="156"/>
        <v>0</v>
      </c>
    </row>
    <row r="1278" spans="23:25">
      <c r="W1278" s="44">
        <f t="shared" si="154"/>
        <v>0</v>
      </c>
      <c r="X1278" s="44">
        <f t="shared" si="155"/>
        <v>0</v>
      </c>
      <c r="Y1278" s="44">
        <f t="shared" si="156"/>
        <v>0</v>
      </c>
    </row>
    <row r="1279" spans="23:25">
      <c r="W1279" s="44">
        <f t="shared" si="154"/>
        <v>0</v>
      </c>
      <c r="X1279" s="44">
        <f t="shared" si="155"/>
        <v>0</v>
      </c>
      <c r="Y1279" s="44">
        <f t="shared" si="156"/>
        <v>0</v>
      </c>
    </row>
    <row r="1280" spans="23:25">
      <c r="W1280" s="44">
        <f t="shared" si="154"/>
        <v>0</v>
      </c>
      <c r="X1280" s="44">
        <f t="shared" si="155"/>
        <v>0</v>
      </c>
      <c r="Y1280" s="44">
        <f t="shared" si="156"/>
        <v>0</v>
      </c>
    </row>
    <row r="1281" spans="23:25">
      <c r="W1281" s="44">
        <f t="shared" si="154"/>
        <v>0</v>
      </c>
      <c r="X1281" s="44">
        <f t="shared" si="155"/>
        <v>0</v>
      </c>
      <c r="Y1281" s="44">
        <f t="shared" si="156"/>
        <v>0</v>
      </c>
    </row>
    <row r="1282" spans="23:25">
      <c r="W1282" s="44">
        <f t="shared" si="154"/>
        <v>0</v>
      </c>
      <c r="X1282" s="44">
        <f t="shared" si="155"/>
        <v>0</v>
      </c>
      <c r="Y1282" s="44">
        <f t="shared" si="156"/>
        <v>0</v>
      </c>
    </row>
    <row r="1283" spans="23:25">
      <c r="W1283" s="44">
        <f t="shared" si="154"/>
        <v>0</v>
      </c>
      <c r="X1283" s="44">
        <f t="shared" si="155"/>
        <v>0</v>
      </c>
      <c r="Y1283" s="44">
        <f t="shared" si="156"/>
        <v>0</v>
      </c>
    </row>
    <row r="1284" spans="23:25">
      <c r="W1284" s="44">
        <f t="shared" si="154"/>
        <v>0</v>
      </c>
      <c r="X1284" s="44">
        <f t="shared" si="155"/>
        <v>0</v>
      </c>
      <c r="Y1284" s="44">
        <f t="shared" si="156"/>
        <v>0</v>
      </c>
    </row>
    <row r="1285" spans="23:25">
      <c r="W1285" s="44">
        <f t="shared" si="154"/>
        <v>0</v>
      </c>
      <c r="X1285" s="44">
        <f t="shared" si="155"/>
        <v>0</v>
      </c>
      <c r="Y1285" s="44">
        <f t="shared" si="156"/>
        <v>0</v>
      </c>
    </row>
    <row r="1286" spans="23:25">
      <c r="W1286" s="44">
        <f t="shared" si="154"/>
        <v>0</v>
      </c>
      <c r="X1286" s="44">
        <f t="shared" si="155"/>
        <v>0</v>
      </c>
      <c r="Y1286" s="44">
        <f t="shared" si="156"/>
        <v>0</v>
      </c>
    </row>
    <row r="1287" spans="23:25">
      <c r="W1287" s="44">
        <f t="shared" si="154"/>
        <v>0</v>
      </c>
      <c r="X1287" s="44">
        <f t="shared" si="155"/>
        <v>0</v>
      </c>
      <c r="Y1287" s="44">
        <f t="shared" si="156"/>
        <v>0</v>
      </c>
    </row>
    <row r="1288" spans="23:25">
      <c r="W1288" s="44">
        <f t="shared" ref="W1288:W1351" si="157">+O1288-U1288-V1288-Z1288</f>
        <v>0</v>
      </c>
      <c r="X1288" s="44">
        <f t="shared" ref="X1288:X1351" si="158">(+O1288-U1288-Z1288)*$X$1</f>
        <v>0</v>
      </c>
      <c r="Y1288" s="44">
        <f t="shared" ref="Y1288:Y1351" si="159">+W1288-X1288</f>
        <v>0</v>
      </c>
    </row>
    <row r="1289" spans="23:25">
      <c r="W1289" s="44">
        <f t="shared" si="157"/>
        <v>0</v>
      </c>
      <c r="X1289" s="44">
        <f t="shared" si="158"/>
        <v>0</v>
      </c>
      <c r="Y1289" s="44">
        <f t="shared" si="159"/>
        <v>0</v>
      </c>
    </row>
    <row r="1290" spans="23:25">
      <c r="W1290" s="44">
        <f t="shared" si="157"/>
        <v>0</v>
      </c>
      <c r="X1290" s="44">
        <f t="shared" si="158"/>
        <v>0</v>
      </c>
      <c r="Y1290" s="44">
        <f t="shared" si="159"/>
        <v>0</v>
      </c>
    </row>
    <row r="1291" spans="23:25">
      <c r="W1291" s="44">
        <f t="shared" si="157"/>
        <v>0</v>
      </c>
      <c r="X1291" s="44">
        <f t="shared" si="158"/>
        <v>0</v>
      </c>
      <c r="Y1291" s="44">
        <f t="shared" si="159"/>
        <v>0</v>
      </c>
    </row>
    <row r="1292" spans="23:25">
      <c r="W1292" s="44">
        <f t="shared" si="157"/>
        <v>0</v>
      </c>
      <c r="X1292" s="44">
        <f t="shared" si="158"/>
        <v>0</v>
      </c>
      <c r="Y1292" s="44">
        <f t="shared" si="159"/>
        <v>0</v>
      </c>
    </row>
    <row r="1293" spans="23:25">
      <c r="W1293" s="44">
        <f t="shared" si="157"/>
        <v>0</v>
      </c>
      <c r="X1293" s="44">
        <f t="shared" si="158"/>
        <v>0</v>
      </c>
      <c r="Y1293" s="44">
        <f t="shared" si="159"/>
        <v>0</v>
      </c>
    </row>
    <row r="1294" spans="23:25">
      <c r="W1294" s="44">
        <f t="shared" si="157"/>
        <v>0</v>
      </c>
      <c r="X1294" s="44">
        <f t="shared" si="158"/>
        <v>0</v>
      </c>
      <c r="Y1294" s="44">
        <f t="shared" si="159"/>
        <v>0</v>
      </c>
    </row>
    <row r="1295" spans="23:25">
      <c r="W1295" s="44">
        <f t="shared" si="157"/>
        <v>0</v>
      </c>
      <c r="X1295" s="44">
        <f t="shared" si="158"/>
        <v>0</v>
      </c>
      <c r="Y1295" s="44">
        <f t="shared" si="159"/>
        <v>0</v>
      </c>
    </row>
    <row r="1296" spans="23:25">
      <c r="W1296" s="44">
        <f t="shared" si="157"/>
        <v>0</v>
      </c>
      <c r="X1296" s="44">
        <f t="shared" si="158"/>
        <v>0</v>
      </c>
      <c r="Y1296" s="44">
        <f t="shared" si="159"/>
        <v>0</v>
      </c>
    </row>
    <row r="1297" spans="23:25">
      <c r="W1297" s="44">
        <f t="shared" si="157"/>
        <v>0</v>
      </c>
      <c r="X1297" s="44">
        <f t="shared" si="158"/>
        <v>0</v>
      </c>
      <c r="Y1297" s="44">
        <f t="shared" si="159"/>
        <v>0</v>
      </c>
    </row>
    <row r="1298" spans="23:25">
      <c r="W1298" s="44">
        <f t="shared" si="157"/>
        <v>0</v>
      </c>
      <c r="X1298" s="44">
        <f t="shared" si="158"/>
        <v>0</v>
      </c>
      <c r="Y1298" s="44">
        <f t="shared" si="159"/>
        <v>0</v>
      </c>
    </row>
    <row r="1299" spans="23:25">
      <c r="W1299" s="44">
        <f t="shared" si="157"/>
        <v>0</v>
      </c>
      <c r="X1299" s="44">
        <f t="shared" si="158"/>
        <v>0</v>
      </c>
      <c r="Y1299" s="44">
        <f t="shared" si="159"/>
        <v>0</v>
      </c>
    </row>
    <row r="1300" spans="23:25">
      <c r="W1300" s="44">
        <f t="shared" si="157"/>
        <v>0</v>
      </c>
      <c r="X1300" s="44">
        <f t="shared" si="158"/>
        <v>0</v>
      </c>
      <c r="Y1300" s="44">
        <f t="shared" si="159"/>
        <v>0</v>
      </c>
    </row>
    <row r="1301" spans="23:25">
      <c r="W1301" s="44">
        <f t="shared" si="157"/>
        <v>0</v>
      </c>
      <c r="X1301" s="44">
        <f t="shared" si="158"/>
        <v>0</v>
      </c>
      <c r="Y1301" s="44">
        <f t="shared" si="159"/>
        <v>0</v>
      </c>
    </row>
    <row r="1302" spans="23:25">
      <c r="W1302" s="44">
        <f t="shared" si="157"/>
        <v>0</v>
      </c>
      <c r="X1302" s="44">
        <f t="shared" si="158"/>
        <v>0</v>
      </c>
      <c r="Y1302" s="44">
        <f t="shared" si="159"/>
        <v>0</v>
      </c>
    </row>
    <row r="1303" spans="23:25">
      <c r="W1303" s="44">
        <f t="shared" si="157"/>
        <v>0</v>
      </c>
      <c r="X1303" s="44">
        <f t="shared" si="158"/>
        <v>0</v>
      </c>
      <c r="Y1303" s="44">
        <f t="shared" si="159"/>
        <v>0</v>
      </c>
    </row>
    <row r="1304" spans="23:25">
      <c r="W1304" s="44">
        <f t="shared" si="157"/>
        <v>0</v>
      </c>
      <c r="X1304" s="44">
        <f t="shared" si="158"/>
        <v>0</v>
      </c>
      <c r="Y1304" s="44">
        <f t="shared" si="159"/>
        <v>0</v>
      </c>
    </row>
    <row r="1305" spans="23:25">
      <c r="W1305" s="44">
        <f t="shared" si="157"/>
        <v>0</v>
      </c>
      <c r="X1305" s="44">
        <f t="shared" si="158"/>
        <v>0</v>
      </c>
      <c r="Y1305" s="44">
        <f t="shared" si="159"/>
        <v>0</v>
      </c>
    </row>
    <row r="1306" spans="23:25">
      <c r="W1306" s="44">
        <f t="shared" si="157"/>
        <v>0</v>
      </c>
      <c r="X1306" s="44">
        <f t="shared" si="158"/>
        <v>0</v>
      </c>
      <c r="Y1306" s="44">
        <f t="shared" si="159"/>
        <v>0</v>
      </c>
    </row>
    <row r="1307" spans="23:25">
      <c r="W1307" s="44">
        <f t="shared" si="157"/>
        <v>0</v>
      </c>
      <c r="X1307" s="44">
        <f t="shared" si="158"/>
        <v>0</v>
      </c>
      <c r="Y1307" s="44">
        <f t="shared" si="159"/>
        <v>0</v>
      </c>
    </row>
    <row r="1308" spans="23:25">
      <c r="W1308" s="44">
        <f t="shared" si="157"/>
        <v>0</v>
      </c>
      <c r="X1308" s="44">
        <f t="shared" si="158"/>
        <v>0</v>
      </c>
      <c r="Y1308" s="44">
        <f t="shared" si="159"/>
        <v>0</v>
      </c>
    </row>
    <row r="1309" spans="23:25">
      <c r="W1309" s="44">
        <f t="shared" si="157"/>
        <v>0</v>
      </c>
      <c r="X1309" s="44">
        <f t="shared" si="158"/>
        <v>0</v>
      </c>
      <c r="Y1309" s="44">
        <f t="shared" si="159"/>
        <v>0</v>
      </c>
    </row>
    <row r="1310" spans="23:25">
      <c r="W1310" s="44">
        <f t="shared" si="157"/>
        <v>0</v>
      </c>
      <c r="X1310" s="44">
        <f t="shared" si="158"/>
        <v>0</v>
      </c>
      <c r="Y1310" s="44">
        <f t="shared" si="159"/>
        <v>0</v>
      </c>
    </row>
    <row r="1311" spans="23:25">
      <c r="W1311" s="44">
        <f t="shared" si="157"/>
        <v>0</v>
      </c>
      <c r="X1311" s="44">
        <f t="shared" si="158"/>
        <v>0</v>
      </c>
      <c r="Y1311" s="44">
        <f t="shared" si="159"/>
        <v>0</v>
      </c>
    </row>
    <row r="1312" spans="23:25">
      <c r="W1312" s="44">
        <f t="shared" si="157"/>
        <v>0</v>
      </c>
      <c r="X1312" s="44">
        <f t="shared" si="158"/>
        <v>0</v>
      </c>
      <c r="Y1312" s="44">
        <f t="shared" si="159"/>
        <v>0</v>
      </c>
    </row>
    <row r="1313" spans="23:25">
      <c r="W1313" s="44">
        <f t="shared" si="157"/>
        <v>0</v>
      </c>
      <c r="X1313" s="44">
        <f t="shared" si="158"/>
        <v>0</v>
      </c>
      <c r="Y1313" s="44">
        <f t="shared" si="159"/>
        <v>0</v>
      </c>
    </row>
    <row r="1314" spans="23:25">
      <c r="W1314" s="44">
        <f t="shared" si="157"/>
        <v>0</v>
      </c>
      <c r="X1314" s="44">
        <f t="shared" si="158"/>
        <v>0</v>
      </c>
      <c r="Y1314" s="44">
        <f t="shared" si="159"/>
        <v>0</v>
      </c>
    </row>
    <row r="1315" spans="23:25">
      <c r="W1315" s="44">
        <f t="shared" si="157"/>
        <v>0</v>
      </c>
      <c r="X1315" s="44">
        <f t="shared" si="158"/>
        <v>0</v>
      </c>
      <c r="Y1315" s="44">
        <f t="shared" si="159"/>
        <v>0</v>
      </c>
    </row>
    <row r="1316" spans="23:25">
      <c r="W1316" s="44">
        <f t="shared" si="157"/>
        <v>0</v>
      </c>
      <c r="X1316" s="44">
        <f t="shared" si="158"/>
        <v>0</v>
      </c>
      <c r="Y1316" s="44">
        <f t="shared" si="159"/>
        <v>0</v>
      </c>
    </row>
    <row r="1317" spans="23:25">
      <c r="W1317" s="44">
        <f t="shared" si="157"/>
        <v>0</v>
      </c>
      <c r="X1317" s="44">
        <f t="shared" si="158"/>
        <v>0</v>
      </c>
      <c r="Y1317" s="44">
        <f t="shared" si="159"/>
        <v>0</v>
      </c>
    </row>
    <row r="1318" spans="23:25">
      <c r="W1318" s="44">
        <f t="shared" si="157"/>
        <v>0</v>
      </c>
      <c r="X1318" s="44">
        <f t="shared" si="158"/>
        <v>0</v>
      </c>
      <c r="Y1318" s="44">
        <f t="shared" si="159"/>
        <v>0</v>
      </c>
    </row>
    <row r="1319" spans="23:25">
      <c r="W1319" s="44">
        <f t="shared" si="157"/>
        <v>0</v>
      </c>
      <c r="X1319" s="44">
        <f t="shared" si="158"/>
        <v>0</v>
      </c>
      <c r="Y1319" s="44">
        <f t="shared" si="159"/>
        <v>0</v>
      </c>
    </row>
    <row r="1320" spans="23:25">
      <c r="W1320" s="44">
        <f t="shared" si="157"/>
        <v>0</v>
      </c>
      <c r="X1320" s="44">
        <f t="shared" si="158"/>
        <v>0</v>
      </c>
      <c r="Y1320" s="44">
        <f t="shared" si="159"/>
        <v>0</v>
      </c>
    </row>
    <row r="1321" spans="23:25">
      <c r="W1321" s="44">
        <f t="shared" si="157"/>
        <v>0</v>
      </c>
      <c r="X1321" s="44">
        <f t="shared" si="158"/>
        <v>0</v>
      </c>
      <c r="Y1321" s="44">
        <f t="shared" si="159"/>
        <v>0</v>
      </c>
    </row>
    <row r="1322" spans="23:25">
      <c r="W1322" s="44">
        <f t="shared" si="157"/>
        <v>0</v>
      </c>
      <c r="X1322" s="44">
        <f t="shared" si="158"/>
        <v>0</v>
      </c>
      <c r="Y1322" s="44">
        <f t="shared" si="159"/>
        <v>0</v>
      </c>
    </row>
    <row r="1323" spans="23:25">
      <c r="W1323" s="44">
        <f t="shared" si="157"/>
        <v>0</v>
      </c>
      <c r="X1323" s="44">
        <f t="shared" si="158"/>
        <v>0</v>
      </c>
      <c r="Y1323" s="44">
        <f t="shared" si="159"/>
        <v>0</v>
      </c>
    </row>
    <row r="1324" spans="23:25">
      <c r="W1324" s="44">
        <f t="shared" si="157"/>
        <v>0</v>
      </c>
      <c r="X1324" s="44">
        <f t="shared" si="158"/>
        <v>0</v>
      </c>
      <c r="Y1324" s="44">
        <f t="shared" si="159"/>
        <v>0</v>
      </c>
    </row>
    <row r="1325" spans="23:25">
      <c r="W1325" s="44">
        <f t="shared" si="157"/>
        <v>0</v>
      </c>
      <c r="X1325" s="44">
        <f t="shared" si="158"/>
        <v>0</v>
      </c>
      <c r="Y1325" s="44">
        <f t="shared" si="159"/>
        <v>0</v>
      </c>
    </row>
    <row r="1326" spans="23:25">
      <c r="W1326" s="44">
        <f t="shared" si="157"/>
        <v>0</v>
      </c>
      <c r="X1326" s="44">
        <f t="shared" si="158"/>
        <v>0</v>
      </c>
      <c r="Y1326" s="44">
        <f t="shared" si="159"/>
        <v>0</v>
      </c>
    </row>
    <row r="1327" spans="23:25">
      <c r="W1327" s="44">
        <f t="shared" si="157"/>
        <v>0</v>
      </c>
      <c r="X1327" s="44">
        <f t="shared" si="158"/>
        <v>0</v>
      </c>
      <c r="Y1327" s="44">
        <f t="shared" si="159"/>
        <v>0</v>
      </c>
    </row>
    <row r="1328" spans="23:25">
      <c r="W1328" s="44">
        <f t="shared" si="157"/>
        <v>0</v>
      </c>
      <c r="X1328" s="44">
        <f t="shared" si="158"/>
        <v>0</v>
      </c>
      <c r="Y1328" s="44">
        <f t="shared" si="159"/>
        <v>0</v>
      </c>
    </row>
    <row r="1329" spans="23:25">
      <c r="W1329" s="44">
        <f t="shared" si="157"/>
        <v>0</v>
      </c>
      <c r="X1329" s="44">
        <f t="shared" si="158"/>
        <v>0</v>
      </c>
      <c r="Y1329" s="44">
        <f t="shared" si="159"/>
        <v>0</v>
      </c>
    </row>
    <row r="1330" spans="23:25">
      <c r="W1330" s="44">
        <f t="shared" si="157"/>
        <v>0</v>
      </c>
      <c r="X1330" s="44">
        <f t="shared" si="158"/>
        <v>0</v>
      </c>
      <c r="Y1330" s="44">
        <f t="shared" si="159"/>
        <v>0</v>
      </c>
    </row>
    <row r="1331" spans="23:25">
      <c r="W1331" s="44">
        <f t="shared" si="157"/>
        <v>0</v>
      </c>
      <c r="X1331" s="44">
        <f t="shared" si="158"/>
        <v>0</v>
      </c>
      <c r="Y1331" s="44">
        <f t="shared" si="159"/>
        <v>0</v>
      </c>
    </row>
    <row r="1332" spans="23:25">
      <c r="W1332" s="44">
        <f t="shared" si="157"/>
        <v>0</v>
      </c>
      <c r="X1332" s="44">
        <f t="shared" si="158"/>
        <v>0</v>
      </c>
      <c r="Y1332" s="44">
        <f t="shared" si="159"/>
        <v>0</v>
      </c>
    </row>
    <row r="1333" spans="23:25">
      <c r="W1333" s="44">
        <f t="shared" si="157"/>
        <v>0</v>
      </c>
      <c r="X1333" s="44">
        <f t="shared" si="158"/>
        <v>0</v>
      </c>
      <c r="Y1333" s="44">
        <f t="shared" si="159"/>
        <v>0</v>
      </c>
    </row>
    <row r="1334" spans="23:25">
      <c r="W1334" s="44">
        <f t="shared" si="157"/>
        <v>0</v>
      </c>
      <c r="X1334" s="44">
        <f t="shared" si="158"/>
        <v>0</v>
      </c>
      <c r="Y1334" s="44">
        <f t="shared" si="159"/>
        <v>0</v>
      </c>
    </row>
    <row r="1335" spans="23:25">
      <c r="W1335" s="44">
        <f t="shared" si="157"/>
        <v>0</v>
      </c>
      <c r="X1335" s="44">
        <f t="shared" si="158"/>
        <v>0</v>
      </c>
      <c r="Y1335" s="44">
        <f t="shared" si="159"/>
        <v>0</v>
      </c>
    </row>
    <row r="1336" spans="23:25">
      <c r="W1336" s="44">
        <f t="shared" si="157"/>
        <v>0</v>
      </c>
      <c r="X1336" s="44">
        <f t="shared" si="158"/>
        <v>0</v>
      </c>
      <c r="Y1336" s="44">
        <f t="shared" si="159"/>
        <v>0</v>
      </c>
    </row>
    <row r="1337" spans="23:25">
      <c r="W1337" s="44">
        <f t="shared" si="157"/>
        <v>0</v>
      </c>
      <c r="X1337" s="44">
        <f t="shared" si="158"/>
        <v>0</v>
      </c>
      <c r="Y1337" s="44">
        <f t="shared" si="159"/>
        <v>0</v>
      </c>
    </row>
    <row r="1338" spans="23:25">
      <c r="W1338" s="44">
        <f t="shared" si="157"/>
        <v>0</v>
      </c>
      <c r="X1338" s="44">
        <f t="shared" si="158"/>
        <v>0</v>
      </c>
      <c r="Y1338" s="44">
        <f t="shared" si="159"/>
        <v>0</v>
      </c>
    </row>
    <row r="1339" spans="23:25">
      <c r="W1339" s="44">
        <f t="shared" si="157"/>
        <v>0</v>
      </c>
      <c r="X1339" s="44">
        <f t="shared" si="158"/>
        <v>0</v>
      </c>
      <c r="Y1339" s="44">
        <f t="shared" si="159"/>
        <v>0</v>
      </c>
    </row>
    <row r="1340" spans="23:25">
      <c r="W1340" s="44">
        <f t="shared" si="157"/>
        <v>0</v>
      </c>
      <c r="X1340" s="44">
        <f t="shared" si="158"/>
        <v>0</v>
      </c>
      <c r="Y1340" s="44">
        <f t="shared" si="159"/>
        <v>0</v>
      </c>
    </row>
    <row r="1341" spans="23:25">
      <c r="W1341" s="44">
        <f t="shared" si="157"/>
        <v>0</v>
      </c>
      <c r="X1341" s="44">
        <f t="shared" si="158"/>
        <v>0</v>
      </c>
      <c r="Y1341" s="44">
        <f t="shared" si="159"/>
        <v>0</v>
      </c>
    </row>
    <row r="1342" spans="23:25">
      <c r="W1342" s="44">
        <f t="shared" si="157"/>
        <v>0</v>
      </c>
      <c r="X1342" s="44">
        <f t="shared" si="158"/>
        <v>0</v>
      </c>
      <c r="Y1342" s="44">
        <f t="shared" si="159"/>
        <v>0</v>
      </c>
    </row>
    <row r="1343" spans="23:25">
      <c r="W1343" s="44">
        <f t="shared" si="157"/>
        <v>0</v>
      </c>
      <c r="X1343" s="44">
        <f t="shared" si="158"/>
        <v>0</v>
      </c>
      <c r="Y1343" s="44">
        <f t="shared" si="159"/>
        <v>0</v>
      </c>
    </row>
    <row r="1344" spans="23:25">
      <c r="W1344" s="44">
        <f t="shared" si="157"/>
        <v>0</v>
      </c>
      <c r="X1344" s="44">
        <f t="shared" si="158"/>
        <v>0</v>
      </c>
      <c r="Y1344" s="44">
        <f t="shared" si="159"/>
        <v>0</v>
      </c>
    </row>
    <row r="1345" spans="23:25">
      <c r="W1345" s="44">
        <f t="shared" si="157"/>
        <v>0</v>
      </c>
      <c r="X1345" s="44">
        <f t="shared" si="158"/>
        <v>0</v>
      </c>
      <c r="Y1345" s="44">
        <f t="shared" si="159"/>
        <v>0</v>
      </c>
    </row>
    <row r="1346" spans="23:25">
      <c r="W1346" s="44">
        <f t="shared" si="157"/>
        <v>0</v>
      </c>
      <c r="X1346" s="44">
        <f t="shared" si="158"/>
        <v>0</v>
      </c>
      <c r="Y1346" s="44">
        <f t="shared" si="159"/>
        <v>0</v>
      </c>
    </row>
    <row r="1347" spans="23:25">
      <c r="W1347" s="44">
        <f t="shared" si="157"/>
        <v>0</v>
      </c>
      <c r="X1347" s="44">
        <f t="shared" si="158"/>
        <v>0</v>
      </c>
      <c r="Y1347" s="44">
        <f t="shared" si="159"/>
        <v>0</v>
      </c>
    </row>
    <row r="1348" spans="23:25">
      <c r="W1348" s="44">
        <f t="shared" si="157"/>
        <v>0</v>
      </c>
      <c r="X1348" s="44">
        <f t="shared" si="158"/>
        <v>0</v>
      </c>
      <c r="Y1348" s="44">
        <f t="shared" si="159"/>
        <v>0</v>
      </c>
    </row>
    <row r="1349" spans="23:25">
      <c r="W1349" s="44">
        <f t="shared" si="157"/>
        <v>0</v>
      </c>
      <c r="X1349" s="44">
        <f t="shared" si="158"/>
        <v>0</v>
      </c>
      <c r="Y1349" s="44">
        <f t="shared" si="159"/>
        <v>0</v>
      </c>
    </row>
    <row r="1350" spans="23:25">
      <c r="W1350" s="44">
        <f t="shared" si="157"/>
        <v>0</v>
      </c>
      <c r="X1350" s="44">
        <f t="shared" si="158"/>
        <v>0</v>
      </c>
      <c r="Y1350" s="44">
        <f t="shared" si="159"/>
        <v>0</v>
      </c>
    </row>
    <row r="1351" spans="23:25">
      <c r="W1351" s="44">
        <f t="shared" si="157"/>
        <v>0</v>
      </c>
      <c r="X1351" s="44">
        <f t="shared" si="158"/>
        <v>0</v>
      </c>
      <c r="Y1351" s="44">
        <f t="shared" si="159"/>
        <v>0</v>
      </c>
    </row>
    <row r="1352" spans="23:25">
      <c r="W1352" s="44">
        <f t="shared" ref="W1352:W1415" si="160">+O1352-U1352-V1352-Z1352</f>
        <v>0</v>
      </c>
      <c r="X1352" s="44">
        <f t="shared" ref="X1352:X1395" si="161">(+O1352-U1352-Z1352)*$X$1</f>
        <v>0</v>
      </c>
      <c r="Y1352" s="44">
        <f t="shared" ref="Y1352:Y1415" si="162">+W1352-X1352</f>
        <v>0</v>
      </c>
    </row>
    <row r="1353" spans="23:25">
      <c r="W1353" s="44">
        <f t="shared" si="160"/>
        <v>0</v>
      </c>
      <c r="X1353" s="44">
        <f t="shared" si="161"/>
        <v>0</v>
      </c>
      <c r="Y1353" s="44">
        <f t="shared" si="162"/>
        <v>0</v>
      </c>
    </row>
    <row r="1354" spans="23:25">
      <c r="W1354" s="44">
        <f t="shared" si="160"/>
        <v>0</v>
      </c>
      <c r="X1354" s="44">
        <f t="shared" si="161"/>
        <v>0</v>
      </c>
      <c r="Y1354" s="44">
        <f t="shared" si="162"/>
        <v>0</v>
      </c>
    </row>
    <row r="1355" spans="23:25">
      <c r="W1355" s="44">
        <f t="shared" si="160"/>
        <v>0</v>
      </c>
      <c r="X1355" s="44">
        <f t="shared" si="161"/>
        <v>0</v>
      </c>
      <c r="Y1355" s="44">
        <f t="shared" si="162"/>
        <v>0</v>
      </c>
    </row>
    <row r="1356" spans="23:25">
      <c r="W1356" s="44">
        <f t="shared" si="160"/>
        <v>0</v>
      </c>
      <c r="X1356" s="44">
        <f t="shared" si="161"/>
        <v>0</v>
      </c>
      <c r="Y1356" s="44">
        <f t="shared" si="162"/>
        <v>0</v>
      </c>
    </row>
    <row r="1357" spans="23:25">
      <c r="W1357" s="44">
        <f t="shared" si="160"/>
        <v>0</v>
      </c>
      <c r="X1357" s="44">
        <f t="shared" si="161"/>
        <v>0</v>
      </c>
      <c r="Y1357" s="44">
        <f t="shared" si="162"/>
        <v>0</v>
      </c>
    </row>
    <row r="1358" spans="23:25">
      <c r="W1358" s="44">
        <f t="shared" si="160"/>
        <v>0</v>
      </c>
      <c r="X1358" s="44">
        <f t="shared" si="161"/>
        <v>0</v>
      </c>
      <c r="Y1358" s="44">
        <f t="shared" si="162"/>
        <v>0</v>
      </c>
    </row>
    <row r="1359" spans="23:25">
      <c r="W1359" s="44">
        <f t="shared" si="160"/>
        <v>0</v>
      </c>
      <c r="X1359" s="44">
        <f t="shared" si="161"/>
        <v>0</v>
      </c>
      <c r="Y1359" s="44">
        <f t="shared" si="162"/>
        <v>0</v>
      </c>
    </row>
    <row r="1360" spans="23:25">
      <c r="W1360" s="44">
        <f t="shared" si="160"/>
        <v>0</v>
      </c>
      <c r="X1360" s="44">
        <f t="shared" si="161"/>
        <v>0</v>
      </c>
      <c r="Y1360" s="44">
        <f t="shared" si="162"/>
        <v>0</v>
      </c>
    </row>
    <row r="1361" spans="23:25">
      <c r="W1361" s="44">
        <f t="shared" si="160"/>
        <v>0</v>
      </c>
      <c r="X1361" s="44">
        <f t="shared" si="161"/>
        <v>0</v>
      </c>
      <c r="Y1361" s="44">
        <f t="shared" si="162"/>
        <v>0</v>
      </c>
    </row>
    <row r="1362" spans="23:25">
      <c r="W1362" s="44">
        <f t="shared" si="160"/>
        <v>0</v>
      </c>
      <c r="X1362" s="44">
        <f t="shared" si="161"/>
        <v>0</v>
      </c>
      <c r="Y1362" s="44">
        <f t="shared" si="162"/>
        <v>0</v>
      </c>
    </row>
    <row r="1363" spans="23:25">
      <c r="W1363" s="44">
        <f t="shared" si="160"/>
        <v>0</v>
      </c>
      <c r="X1363" s="44">
        <f t="shared" si="161"/>
        <v>0</v>
      </c>
      <c r="Y1363" s="44">
        <f t="shared" si="162"/>
        <v>0</v>
      </c>
    </row>
    <row r="1364" spans="23:25">
      <c r="W1364" s="44">
        <f t="shared" si="160"/>
        <v>0</v>
      </c>
      <c r="X1364" s="44">
        <f t="shared" si="161"/>
        <v>0</v>
      </c>
      <c r="Y1364" s="44">
        <f t="shared" si="162"/>
        <v>0</v>
      </c>
    </row>
    <row r="1365" spans="23:25">
      <c r="W1365" s="44">
        <f t="shared" si="160"/>
        <v>0</v>
      </c>
      <c r="X1365" s="44">
        <f t="shared" si="161"/>
        <v>0</v>
      </c>
      <c r="Y1365" s="44">
        <f t="shared" si="162"/>
        <v>0</v>
      </c>
    </row>
    <row r="1366" spans="23:25">
      <c r="W1366" s="44">
        <f t="shared" si="160"/>
        <v>0</v>
      </c>
      <c r="X1366" s="44">
        <f t="shared" si="161"/>
        <v>0</v>
      </c>
      <c r="Y1366" s="44">
        <f t="shared" si="162"/>
        <v>0</v>
      </c>
    </row>
    <row r="1367" spans="23:25">
      <c r="W1367" s="44">
        <f t="shared" si="160"/>
        <v>0</v>
      </c>
      <c r="X1367" s="44">
        <f t="shared" si="161"/>
        <v>0</v>
      </c>
      <c r="Y1367" s="44">
        <f t="shared" si="162"/>
        <v>0</v>
      </c>
    </row>
    <row r="1368" spans="23:25">
      <c r="W1368" s="44">
        <f t="shared" si="160"/>
        <v>0</v>
      </c>
      <c r="X1368" s="44">
        <f t="shared" si="161"/>
        <v>0</v>
      </c>
      <c r="Y1368" s="44">
        <f t="shared" si="162"/>
        <v>0</v>
      </c>
    </row>
    <row r="1369" spans="23:25">
      <c r="W1369" s="44">
        <f t="shared" si="160"/>
        <v>0</v>
      </c>
      <c r="X1369" s="44">
        <f t="shared" si="161"/>
        <v>0</v>
      </c>
      <c r="Y1369" s="44">
        <f t="shared" si="162"/>
        <v>0</v>
      </c>
    </row>
    <row r="1370" spans="23:25">
      <c r="W1370" s="44">
        <f t="shared" si="160"/>
        <v>0</v>
      </c>
      <c r="X1370" s="44">
        <f t="shared" si="161"/>
        <v>0</v>
      </c>
      <c r="Y1370" s="44">
        <f t="shared" si="162"/>
        <v>0</v>
      </c>
    </row>
    <row r="1371" spans="23:25">
      <c r="W1371" s="44">
        <f t="shared" si="160"/>
        <v>0</v>
      </c>
      <c r="X1371" s="44">
        <f t="shared" si="161"/>
        <v>0</v>
      </c>
      <c r="Y1371" s="44">
        <f t="shared" si="162"/>
        <v>0</v>
      </c>
    </row>
    <row r="1372" spans="23:25">
      <c r="W1372" s="44">
        <f t="shared" si="160"/>
        <v>0</v>
      </c>
      <c r="X1372" s="44">
        <f t="shared" si="161"/>
        <v>0</v>
      </c>
      <c r="Y1372" s="44">
        <f t="shared" si="162"/>
        <v>0</v>
      </c>
    </row>
    <row r="1373" spans="23:25">
      <c r="W1373" s="44">
        <f t="shared" si="160"/>
        <v>0</v>
      </c>
      <c r="X1373" s="44">
        <f t="shared" si="161"/>
        <v>0</v>
      </c>
      <c r="Y1373" s="44">
        <f t="shared" si="162"/>
        <v>0</v>
      </c>
    </row>
    <row r="1374" spans="23:25">
      <c r="W1374" s="44">
        <f t="shared" si="160"/>
        <v>0</v>
      </c>
      <c r="X1374" s="44">
        <f t="shared" si="161"/>
        <v>0</v>
      </c>
      <c r="Y1374" s="44">
        <f t="shared" si="162"/>
        <v>0</v>
      </c>
    </row>
    <row r="1375" spans="23:25">
      <c r="W1375" s="44">
        <f t="shared" si="160"/>
        <v>0</v>
      </c>
      <c r="X1375" s="44">
        <f t="shared" si="161"/>
        <v>0</v>
      </c>
      <c r="Y1375" s="44">
        <f t="shared" si="162"/>
        <v>0</v>
      </c>
    </row>
    <row r="1376" spans="23:25">
      <c r="W1376" s="44">
        <f t="shared" si="160"/>
        <v>0</v>
      </c>
      <c r="X1376" s="44">
        <f t="shared" si="161"/>
        <v>0</v>
      </c>
      <c r="Y1376" s="44">
        <f t="shared" si="162"/>
        <v>0</v>
      </c>
    </row>
    <row r="1377" spans="23:25">
      <c r="W1377" s="44">
        <f t="shared" si="160"/>
        <v>0</v>
      </c>
      <c r="X1377" s="44">
        <f t="shared" si="161"/>
        <v>0</v>
      </c>
      <c r="Y1377" s="44">
        <f t="shared" si="162"/>
        <v>0</v>
      </c>
    </row>
    <row r="1378" spans="23:25">
      <c r="W1378" s="44">
        <f t="shared" si="160"/>
        <v>0</v>
      </c>
      <c r="X1378" s="44">
        <f t="shared" si="161"/>
        <v>0</v>
      </c>
      <c r="Y1378" s="44">
        <f t="shared" si="162"/>
        <v>0</v>
      </c>
    </row>
    <row r="1379" spans="23:25">
      <c r="W1379" s="44">
        <f t="shared" si="160"/>
        <v>0</v>
      </c>
      <c r="X1379" s="44">
        <f t="shared" si="161"/>
        <v>0</v>
      </c>
      <c r="Y1379" s="44">
        <f t="shared" si="162"/>
        <v>0</v>
      </c>
    </row>
    <row r="1380" spans="23:25">
      <c r="W1380" s="44">
        <f t="shared" si="160"/>
        <v>0</v>
      </c>
      <c r="X1380" s="44">
        <f t="shared" si="161"/>
        <v>0</v>
      </c>
      <c r="Y1380" s="44">
        <f t="shared" si="162"/>
        <v>0</v>
      </c>
    </row>
    <row r="1381" spans="23:25">
      <c r="W1381" s="44">
        <f t="shared" si="160"/>
        <v>0</v>
      </c>
      <c r="X1381" s="44">
        <f t="shared" si="161"/>
        <v>0</v>
      </c>
      <c r="Y1381" s="44">
        <f t="shared" si="162"/>
        <v>0</v>
      </c>
    </row>
    <row r="1382" spans="23:25">
      <c r="W1382" s="44">
        <f t="shared" si="160"/>
        <v>0</v>
      </c>
      <c r="X1382" s="44">
        <f t="shared" si="161"/>
        <v>0</v>
      </c>
      <c r="Y1382" s="44">
        <f t="shared" si="162"/>
        <v>0</v>
      </c>
    </row>
    <row r="1383" spans="23:25">
      <c r="W1383" s="44">
        <f t="shared" si="160"/>
        <v>0</v>
      </c>
      <c r="X1383" s="44">
        <f t="shared" si="161"/>
        <v>0</v>
      </c>
      <c r="Y1383" s="44">
        <f t="shared" si="162"/>
        <v>0</v>
      </c>
    </row>
    <row r="1384" spans="23:25">
      <c r="W1384" s="44">
        <f t="shared" si="160"/>
        <v>0</v>
      </c>
      <c r="X1384" s="44">
        <f t="shared" si="161"/>
        <v>0</v>
      </c>
      <c r="Y1384" s="44">
        <f t="shared" si="162"/>
        <v>0</v>
      </c>
    </row>
    <row r="1385" spans="23:25">
      <c r="W1385" s="44">
        <f t="shared" si="160"/>
        <v>0</v>
      </c>
      <c r="X1385" s="44">
        <f t="shared" si="161"/>
        <v>0</v>
      </c>
      <c r="Y1385" s="44">
        <f t="shared" si="162"/>
        <v>0</v>
      </c>
    </row>
    <row r="1386" spans="23:25">
      <c r="W1386" s="44">
        <f t="shared" si="160"/>
        <v>0</v>
      </c>
      <c r="X1386" s="44">
        <f t="shared" si="161"/>
        <v>0</v>
      </c>
      <c r="Y1386" s="44">
        <f t="shared" si="162"/>
        <v>0</v>
      </c>
    </row>
    <row r="1387" spans="23:25">
      <c r="W1387" s="44">
        <f t="shared" si="160"/>
        <v>0</v>
      </c>
      <c r="X1387" s="44">
        <f t="shared" si="161"/>
        <v>0</v>
      </c>
      <c r="Y1387" s="44">
        <f t="shared" si="162"/>
        <v>0</v>
      </c>
    </row>
    <row r="1388" spans="23:25">
      <c r="W1388" s="44">
        <f t="shared" si="160"/>
        <v>0</v>
      </c>
      <c r="X1388" s="44">
        <f t="shared" si="161"/>
        <v>0</v>
      </c>
      <c r="Y1388" s="44">
        <f t="shared" si="162"/>
        <v>0</v>
      </c>
    </row>
    <row r="1389" spans="23:25">
      <c r="W1389" s="44">
        <f t="shared" si="160"/>
        <v>0</v>
      </c>
      <c r="X1389" s="44">
        <f t="shared" si="161"/>
        <v>0</v>
      </c>
      <c r="Y1389" s="44">
        <f t="shared" si="162"/>
        <v>0</v>
      </c>
    </row>
    <row r="1390" spans="23:25">
      <c r="W1390" s="44">
        <f t="shared" si="160"/>
        <v>0</v>
      </c>
      <c r="X1390" s="44">
        <f t="shared" si="161"/>
        <v>0</v>
      </c>
      <c r="Y1390" s="44">
        <f t="shared" si="162"/>
        <v>0</v>
      </c>
    </row>
    <row r="1391" spans="23:25">
      <c r="W1391" s="44">
        <f t="shared" si="160"/>
        <v>0</v>
      </c>
      <c r="X1391" s="44">
        <f t="shared" si="161"/>
        <v>0</v>
      </c>
      <c r="Y1391" s="44">
        <f t="shared" si="162"/>
        <v>0</v>
      </c>
    </row>
    <row r="1392" spans="23:25">
      <c r="W1392" s="44">
        <f t="shared" si="160"/>
        <v>0</v>
      </c>
      <c r="X1392" s="44">
        <f t="shared" si="161"/>
        <v>0</v>
      </c>
      <c r="Y1392" s="44">
        <f t="shared" si="162"/>
        <v>0</v>
      </c>
    </row>
    <row r="1393" spans="23:25">
      <c r="W1393" s="44">
        <f t="shared" si="160"/>
        <v>0</v>
      </c>
      <c r="X1393" s="44">
        <f t="shared" si="161"/>
        <v>0</v>
      </c>
      <c r="Y1393" s="44">
        <f t="shared" si="162"/>
        <v>0</v>
      </c>
    </row>
    <row r="1394" spans="23:25">
      <c r="W1394" s="44">
        <f t="shared" si="160"/>
        <v>0</v>
      </c>
      <c r="X1394" s="44">
        <f t="shared" si="161"/>
        <v>0</v>
      </c>
      <c r="Y1394" s="44">
        <f t="shared" si="162"/>
        <v>0</v>
      </c>
    </row>
    <row r="1395" spans="23:25">
      <c r="W1395" s="44">
        <f t="shared" si="160"/>
        <v>0</v>
      </c>
      <c r="X1395" s="44">
        <f t="shared" si="161"/>
        <v>0</v>
      </c>
      <c r="Y1395" s="44">
        <f t="shared" si="162"/>
        <v>0</v>
      </c>
    </row>
    <row r="1396" spans="23:25">
      <c r="W1396" s="44">
        <f t="shared" si="160"/>
        <v>0</v>
      </c>
      <c r="X1396" s="44">
        <f t="shared" ref="X1396:X1415" si="163">(+O1396-U1396)*$X$1</f>
        <v>0</v>
      </c>
      <c r="Y1396" s="44">
        <f t="shared" si="162"/>
        <v>0</v>
      </c>
    </row>
    <row r="1397" spans="23:25">
      <c r="W1397" s="44">
        <f t="shared" si="160"/>
        <v>0</v>
      </c>
      <c r="X1397" s="44">
        <f t="shared" si="163"/>
        <v>0</v>
      </c>
      <c r="Y1397" s="44">
        <f t="shared" si="162"/>
        <v>0</v>
      </c>
    </row>
    <row r="1398" spans="23:25">
      <c r="W1398" s="44">
        <f t="shared" si="160"/>
        <v>0</v>
      </c>
      <c r="X1398" s="44">
        <f t="shared" si="163"/>
        <v>0</v>
      </c>
      <c r="Y1398" s="44">
        <f t="shared" si="162"/>
        <v>0</v>
      </c>
    </row>
    <row r="1399" spans="23:25">
      <c r="W1399" s="44">
        <f t="shared" si="160"/>
        <v>0</v>
      </c>
      <c r="X1399" s="44">
        <f t="shared" si="163"/>
        <v>0</v>
      </c>
      <c r="Y1399" s="44">
        <f t="shared" si="162"/>
        <v>0</v>
      </c>
    </row>
    <row r="1400" spans="23:25">
      <c r="W1400" s="44">
        <f t="shared" si="160"/>
        <v>0</v>
      </c>
      <c r="X1400" s="44">
        <f t="shared" si="163"/>
        <v>0</v>
      </c>
      <c r="Y1400" s="44">
        <f t="shared" si="162"/>
        <v>0</v>
      </c>
    </row>
    <row r="1401" spans="23:25">
      <c r="W1401" s="44">
        <f t="shared" si="160"/>
        <v>0</v>
      </c>
      <c r="X1401" s="44">
        <f t="shared" si="163"/>
        <v>0</v>
      </c>
      <c r="Y1401" s="44">
        <f t="shared" si="162"/>
        <v>0</v>
      </c>
    </row>
    <row r="1402" spans="23:25">
      <c r="W1402" s="44">
        <f t="shared" si="160"/>
        <v>0</v>
      </c>
      <c r="X1402" s="44">
        <f t="shared" si="163"/>
        <v>0</v>
      </c>
      <c r="Y1402" s="44">
        <f t="shared" si="162"/>
        <v>0</v>
      </c>
    </row>
    <row r="1403" spans="23:25">
      <c r="W1403" s="44">
        <f t="shared" si="160"/>
        <v>0</v>
      </c>
      <c r="X1403" s="44">
        <f t="shared" si="163"/>
        <v>0</v>
      </c>
      <c r="Y1403" s="44">
        <f t="shared" si="162"/>
        <v>0</v>
      </c>
    </row>
    <row r="1404" spans="23:25">
      <c r="W1404" s="44">
        <f t="shared" si="160"/>
        <v>0</v>
      </c>
      <c r="X1404" s="44">
        <f t="shared" si="163"/>
        <v>0</v>
      </c>
      <c r="Y1404" s="44">
        <f t="shared" si="162"/>
        <v>0</v>
      </c>
    </row>
    <row r="1405" spans="23:25">
      <c r="W1405" s="44">
        <f t="shared" si="160"/>
        <v>0</v>
      </c>
      <c r="X1405" s="44">
        <f t="shared" si="163"/>
        <v>0</v>
      </c>
      <c r="Y1405" s="44">
        <f t="shared" si="162"/>
        <v>0</v>
      </c>
    </row>
    <row r="1406" spans="23:25">
      <c r="W1406" s="44">
        <f t="shared" si="160"/>
        <v>0</v>
      </c>
      <c r="X1406" s="44">
        <f t="shared" si="163"/>
        <v>0</v>
      </c>
      <c r="Y1406" s="44">
        <f t="shared" si="162"/>
        <v>0</v>
      </c>
    </row>
    <row r="1407" spans="23:25">
      <c r="W1407" s="44">
        <f t="shared" si="160"/>
        <v>0</v>
      </c>
      <c r="X1407" s="44">
        <f t="shared" si="163"/>
        <v>0</v>
      </c>
      <c r="Y1407" s="44">
        <f t="shared" si="162"/>
        <v>0</v>
      </c>
    </row>
    <row r="1408" spans="23:25">
      <c r="W1408" s="44">
        <f t="shared" si="160"/>
        <v>0</v>
      </c>
      <c r="X1408" s="44">
        <f t="shared" si="163"/>
        <v>0</v>
      </c>
      <c r="Y1408" s="44">
        <f t="shared" si="162"/>
        <v>0</v>
      </c>
    </row>
    <row r="1409" spans="23:25">
      <c r="W1409" s="44">
        <f t="shared" si="160"/>
        <v>0</v>
      </c>
      <c r="X1409" s="44">
        <f t="shared" si="163"/>
        <v>0</v>
      </c>
      <c r="Y1409" s="44">
        <f t="shared" si="162"/>
        <v>0</v>
      </c>
    </row>
    <row r="1410" spans="23:25">
      <c r="W1410" s="44">
        <f t="shared" si="160"/>
        <v>0</v>
      </c>
      <c r="X1410" s="44">
        <f t="shared" si="163"/>
        <v>0</v>
      </c>
      <c r="Y1410" s="44">
        <f t="shared" si="162"/>
        <v>0</v>
      </c>
    </row>
    <row r="1411" spans="23:25">
      <c r="W1411" s="44">
        <f t="shared" si="160"/>
        <v>0</v>
      </c>
      <c r="X1411" s="44">
        <f t="shared" si="163"/>
        <v>0</v>
      </c>
      <c r="Y1411" s="44">
        <f t="shared" si="162"/>
        <v>0</v>
      </c>
    </row>
    <row r="1412" spans="23:25">
      <c r="W1412" s="44">
        <f t="shared" si="160"/>
        <v>0</v>
      </c>
      <c r="X1412" s="44">
        <f t="shared" si="163"/>
        <v>0</v>
      </c>
      <c r="Y1412" s="44">
        <f t="shared" si="162"/>
        <v>0</v>
      </c>
    </row>
    <row r="1413" spans="23:25">
      <c r="W1413" s="44">
        <f t="shared" si="160"/>
        <v>0</v>
      </c>
      <c r="X1413" s="44">
        <f t="shared" si="163"/>
        <v>0</v>
      </c>
      <c r="Y1413" s="44">
        <f t="shared" si="162"/>
        <v>0</v>
      </c>
    </row>
    <row r="1414" spans="23:25">
      <c r="W1414" s="44">
        <f t="shared" si="160"/>
        <v>0</v>
      </c>
      <c r="X1414" s="44">
        <f t="shared" si="163"/>
        <v>0</v>
      </c>
      <c r="Y1414" s="44">
        <f t="shared" si="162"/>
        <v>0</v>
      </c>
    </row>
    <row r="1415" spans="23:25">
      <c r="W1415" s="44">
        <f t="shared" si="160"/>
        <v>0</v>
      </c>
      <c r="X1415" s="44">
        <f t="shared" si="163"/>
        <v>0</v>
      </c>
      <c r="Y1415" s="44">
        <f t="shared" si="162"/>
        <v>0</v>
      </c>
    </row>
    <row r="1416" spans="23:25">
      <c r="W1416" s="44">
        <f t="shared" ref="W1416:W1479" si="164">+O1416-U1416-V1416-Z1416</f>
        <v>0</v>
      </c>
      <c r="X1416" s="44">
        <f t="shared" ref="X1416:X1479" si="165">(+O1416-U1416)*$X$1</f>
        <v>0</v>
      </c>
      <c r="Y1416" s="44">
        <f t="shared" ref="Y1416:Y1479" si="166">+W1416-X1416</f>
        <v>0</v>
      </c>
    </row>
    <row r="1417" spans="23:25">
      <c r="W1417" s="44">
        <f t="shared" si="164"/>
        <v>0</v>
      </c>
      <c r="X1417" s="44">
        <f t="shared" si="165"/>
        <v>0</v>
      </c>
      <c r="Y1417" s="44">
        <f t="shared" si="166"/>
        <v>0</v>
      </c>
    </row>
    <row r="1418" spans="23:25">
      <c r="W1418" s="44">
        <f t="shared" si="164"/>
        <v>0</v>
      </c>
      <c r="X1418" s="44">
        <f t="shared" si="165"/>
        <v>0</v>
      </c>
      <c r="Y1418" s="44">
        <f t="shared" si="166"/>
        <v>0</v>
      </c>
    </row>
    <row r="1419" spans="23:25">
      <c r="W1419" s="44">
        <f t="shared" si="164"/>
        <v>0</v>
      </c>
      <c r="X1419" s="44">
        <f t="shared" si="165"/>
        <v>0</v>
      </c>
      <c r="Y1419" s="44">
        <f t="shared" si="166"/>
        <v>0</v>
      </c>
    </row>
    <row r="1420" spans="23:25">
      <c r="W1420" s="44">
        <f t="shared" si="164"/>
        <v>0</v>
      </c>
      <c r="X1420" s="44">
        <f t="shared" si="165"/>
        <v>0</v>
      </c>
      <c r="Y1420" s="44">
        <f t="shared" si="166"/>
        <v>0</v>
      </c>
    </row>
    <row r="1421" spans="23:25">
      <c r="W1421" s="44">
        <f t="shared" si="164"/>
        <v>0</v>
      </c>
      <c r="X1421" s="44">
        <f t="shared" si="165"/>
        <v>0</v>
      </c>
      <c r="Y1421" s="44">
        <f t="shared" si="166"/>
        <v>0</v>
      </c>
    </row>
    <row r="1422" spans="23:25">
      <c r="W1422" s="44">
        <f t="shared" si="164"/>
        <v>0</v>
      </c>
      <c r="X1422" s="44">
        <f t="shared" si="165"/>
        <v>0</v>
      </c>
      <c r="Y1422" s="44">
        <f t="shared" si="166"/>
        <v>0</v>
      </c>
    </row>
    <row r="1423" spans="23:25">
      <c r="W1423" s="44">
        <f t="shared" si="164"/>
        <v>0</v>
      </c>
      <c r="X1423" s="44">
        <f t="shared" si="165"/>
        <v>0</v>
      </c>
      <c r="Y1423" s="44">
        <f t="shared" si="166"/>
        <v>0</v>
      </c>
    </row>
    <row r="1424" spans="23:25">
      <c r="W1424" s="44">
        <f t="shared" si="164"/>
        <v>0</v>
      </c>
      <c r="X1424" s="44">
        <f t="shared" si="165"/>
        <v>0</v>
      </c>
      <c r="Y1424" s="44">
        <f t="shared" si="166"/>
        <v>0</v>
      </c>
    </row>
    <row r="1425" spans="23:25">
      <c r="W1425" s="44">
        <f t="shared" si="164"/>
        <v>0</v>
      </c>
      <c r="X1425" s="44">
        <f t="shared" si="165"/>
        <v>0</v>
      </c>
      <c r="Y1425" s="44">
        <f t="shared" si="166"/>
        <v>0</v>
      </c>
    </row>
    <row r="1426" spans="23:25">
      <c r="W1426" s="44">
        <f t="shared" si="164"/>
        <v>0</v>
      </c>
      <c r="X1426" s="44">
        <f t="shared" si="165"/>
        <v>0</v>
      </c>
      <c r="Y1426" s="44">
        <f t="shared" si="166"/>
        <v>0</v>
      </c>
    </row>
    <row r="1427" spans="23:25">
      <c r="W1427" s="44">
        <f t="shared" si="164"/>
        <v>0</v>
      </c>
      <c r="X1427" s="44">
        <f t="shared" si="165"/>
        <v>0</v>
      </c>
      <c r="Y1427" s="44">
        <f t="shared" si="166"/>
        <v>0</v>
      </c>
    </row>
    <row r="1428" spans="23:25">
      <c r="W1428" s="44">
        <f t="shared" si="164"/>
        <v>0</v>
      </c>
      <c r="X1428" s="44">
        <f t="shared" si="165"/>
        <v>0</v>
      </c>
      <c r="Y1428" s="44">
        <f t="shared" si="166"/>
        <v>0</v>
      </c>
    </row>
    <row r="1429" spans="23:25">
      <c r="W1429" s="44">
        <f t="shared" si="164"/>
        <v>0</v>
      </c>
      <c r="X1429" s="44">
        <f t="shared" si="165"/>
        <v>0</v>
      </c>
      <c r="Y1429" s="44">
        <f t="shared" si="166"/>
        <v>0</v>
      </c>
    </row>
    <row r="1430" spans="23:25">
      <c r="W1430" s="44">
        <f t="shared" si="164"/>
        <v>0</v>
      </c>
      <c r="X1430" s="44">
        <f t="shared" si="165"/>
        <v>0</v>
      </c>
      <c r="Y1430" s="44">
        <f t="shared" si="166"/>
        <v>0</v>
      </c>
    </row>
    <row r="1431" spans="23:25">
      <c r="W1431" s="44">
        <f t="shared" si="164"/>
        <v>0</v>
      </c>
      <c r="X1431" s="44">
        <f t="shared" si="165"/>
        <v>0</v>
      </c>
      <c r="Y1431" s="44">
        <f t="shared" si="166"/>
        <v>0</v>
      </c>
    </row>
    <row r="1432" spans="23:25">
      <c r="W1432" s="44">
        <f t="shared" si="164"/>
        <v>0</v>
      </c>
      <c r="X1432" s="44">
        <f t="shared" si="165"/>
        <v>0</v>
      </c>
      <c r="Y1432" s="44">
        <f t="shared" si="166"/>
        <v>0</v>
      </c>
    </row>
    <row r="1433" spans="23:25">
      <c r="W1433" s="44">
        <f t="shared" si="164"/>
        <v>0</v>
      </c>
      <c r="X1433" s="44">
        <f t="shared" si="165"/>
        <v>0</v>
      </c>
      <c r="Y1433" s="44">
        <f t="shared" si="166"/>
        <v>0</v>
      </c>
    </row>
    <row r="1434" spans="23:25">
      <c r="W1434" s="44">
        <f t="shared" si="164"/>
        <v>0</v>
      </c>
      <c r="X1434" s="44">
        <f t="shared" si="165"/>
        <v>0</v>
      </c>
      <c r="Y1434" s="44">
        <f t="shared" si="166"/>
        <v>0</v>
      </c>
    </row>
    <row r="1435" spans="23:25">
      <c r="W1435" s="44">
        <f t="shared" si="164"/>
        <v>0</v>
      </c>
      <c r="X1435" s="44">
        <f t="shared" si="165"/>
        <v>0</v>
      </c>
      <c r="Y1435" s="44">
        <f t="shared" si="166"/>
        <v>0</v>
      </c>
    </row>
    <row r="1436" spans="23:25">
      <c r="W1436" s="44">
        <f t="shared" si="164"/>
        <v>0</v>
      </c>
      <c r="X1436" s="44">
        <f t="shared" si="165"/>
        <v>0</v>
      </c>
      <c r="Y1436" s="44">
        <f t="shared" si="166"/>
        <v>0</v>
      </c>
    </row>
    <row r="1437" spans="23:25">
      <c r="W1437" s="44">
        <f t="shared" si="164"/>
        <v>0</v>
      </c>
      <c r="X1437" s="44">
        <f t="shared" si="165"/>
        <v>0</v>
      </c>
      <c r="Y1437" s="44">
        <f t="shared" si="166"/>
        <v>0</v>
      </c>
    </row>
    <row r="1438" spans="23:25">
      <c r="W1438" s="44">
        <f t="shared" si="164"/>
        <v>0</v>
      </c>
      <c r="X1438" s="44">
        <f t="shared" si="165"/>
        <v>0</v>
      </c>
      <c r="Y1438" s="44">
        <f t="shared" si="166"/>
        <v>0</v>
      </c>
    </row>
    <row r="1439" spans="23:25">
      <c r="W1439" s="44">
        <f t="shared" si="164"/>
        <v>0</v>
      </c>
      <c r="X1439" s="44">
        <f t="shared" si="165"/>
        <v>0</v>
      </c>
      <c r="Y1439" s="44">
        <f t="shared" si="166"/>
        <v>0</v>
      </c>
    </row>
    <row r="1440" spans="23:25">
      <c r="W1440" s="44">
        <f t="shared" si="164"/>
        <v>0</v>
      </c>
      <c r="X1440" s="44">
        <f t="shared" si="165"/>
        <v>0</v>
      </c>
      <c r="Y1440" s="44">
        <f t="shared" si="166"/>
        <v>0</v>
      </c>
    </row>
    <row r="1441" spans="23:25">
      <c r="W1441" s="44">
        <f t="shared" si="164"/>
        <v>0</v>
      </c>
      <c r="X1441" s="44">
        <f t="shared" si="165"/>
        <v>0</v>
      </c>
      <c r="Y1441" s="44">
        <f t="shared" si="166"/>
        <v>0</v>
      </c>
    </row>
    <row r="1442" spans="23:25">
      <c r="W1442" s="44">
        <f t="shared" si="164"/>
        <v>0</v>
      </c>
      <c r="X1442" s="44">
        <f t="shared" si="165"/>
        <v>0</v>
      </c>
      <c r="Y1442" s="44">
        <f t="shared" si="166"/>
        <v>0</v>
      </c>
    </row>
    <row r="1443" spans="23:25">
      <c r="W1443" s="44">
        <f t="shared" si="164"/>
        <v>0</v>
      </c>
      <c r="X1443" s="44">
        <f t="shared" si="165"/>
        <v>0</v>
      </c>
      <c r="Y1443" s="44">
        <f t="shared" si="166"/>
        <v>0</v>
      </c>
    </row>
    <row r="1444" spans="23:25">
      <c r="W1444" s="44">
        <f t="shared" si="164"/>
        <v>0</v>
      </c>
      <c r="X1444" s="44">
        <f t="shared" si="165"/>
        <v>0</v>
      </c>
      <c r="Y1444" s="44">
        <f t="shared" si="166"/>
        <v>0</v>
      </c>
    </row>
    <row r="1445" spans="23:25">
      <c r="W1445" s="44">
        <f t="shared" si="164"/>
        <v>0</v>
      </c>
      <c r="X1445" s="44">
        <f t="shared" si="165"/>
        <v>0</v>
      </c>
      <c r="Y1445" s="44">
        <f t="shared" si="166"/>
        <v>0</v>
      </c>
    </row>
    <row r="1446" spans="23:25">
      <c r="W1446" s="44">
        <f t="shared" si="164"/>
        <v>0</v>
      </c>
      <c r="X1446" s="44">
        <f t="shared" si="165"/>
        <v>0</v>
      </c>
      <c r="Y1446" s="44">
        <f t="shared" si="166"/>
        <v>0</v>
      </c>
    </row>
    <row r="1447" spans="23:25">
      <c r="W1447" s="44">
        <f t="shared" si="164"/>
        <v>0</v>
      </c>
      <c r="X1447" s="44">
        <f t="shared" si="165"/>
        <v>0</v>
      </c>
      <c r="Y1447" s="44">
        <f t="shared" si="166"/>
        <v>0</v>
      </c>
    </row>
    <row r="1448" spans="23:25">
      <c r="W1448" s="44">
        <f t="shared" si="164"/>
        <v>0</v>
      </c>
      <c r="X1448" s="44">
        <f t="shared" si="165"/>
        <v>0</v>
      </c>
      <c r="Y1448" s="44">
        <f t="shared" si="166"/>
        <v>0</v>
      </c>
    </row>
    <row r="1449" spans="23:25">
      <c r="W1449" s="44">
        <f t="shared" si="164"/>
        <v>0</v>
      </c>
      <c r="X1449" s="44">
        <f t="shared" si="165"/>
        <v>0</v>
      </c>
      <c r="Y1449" s="44">
        <f t="shared" si="166"/>
        <v>0</v>
      </c>
    </row>
    <row r="1450" spans="23:25">
      <c r="W1450" s="44">
        <f t="shared" si="164"/>
        <v>0</v>
      </c>
      <c r="X1450" s="44">
        <f t="shared" si="165"/>
        <v>0</v>
      </c>
      <c r="Y1450" s="44">
        <f t="shared" si="166"/>
        <v>0</v>
      </c>
    </row>
    <row r="1451" spans="23:25">
      <c r="W1451" s="44">
        <f t="shared" si="164"/>
        <v>0</v>
      </c>
      <c r="X1451" s="44">
        <f t="shared" si="165"/>
        <v>0</v>
      </c>
      <c r="Y1451" s="44">
        <f t="shared" si="166"/>
        <v>0</v>
      </c>
    </row>
    <row r="1452" spans="23:25">
      <c r="W1452" s="44">
        <f t="shared" si="164"/>
        <v>0</v>
      </c>
      <c r="X1452" s="44">
        <f t="shared" si="165"/>
        <v>0</v>
      </c>
      <c r="Y1452" s="44">
        <f t="shared" si="166"/>
        <v>0</v>
      </c>
    </row>
    <row r="1453" spans="23:25">
      <c r="W1453" s="44">
        <f t="shared" si="164"/>
        <v>0</v>
      </c>
      <c r="X1453" s="44">
        <f t="shared" si="165"/>
        <v>0</v>
      </c>
      <c r="Y1453" s="44">
        <f t="shared" si="166"/>
        <v>0</v>
      </c>
    </row>
    <row r="1454" spans="23:25">
      <c r="W1454" s="44">
        <f t="shared" si="164"/>
        <v>0</v>
      </c>
      <c r="X1454" s="44">
        <f t="shared" si="165"/>
        <v>0</v>
      </c>
      <c r="Y1454" s="44">
        <f t="shared" si="166"/>
        <v>0</v>
      </c>
    </row>
    <row r="1455" spans="23:25">
      <c r="W1455" s="44">
        <f t="shared" si="164"/>
        <v>0</v>
      </c>
      <c r="X1455" s="44">
        <f t="shared" si="165"/>
        <v>0</v>
      </c>
      <c r="Y1455" s="44">
        <f t="shared" si="166"/>
        <v>0</v>
      </c>
    </row>
    <row r="1456" spans="23:25">
      <c r="W1456" s="44">
        <f t="shared" si="164"/>
        <v>0</v>
      </c>
      <c r="X1456" s="44">
        <f t="shared" si="165"/>
        <v>0</v>
      </c>
      <c r="Y1456" s="44">
        <f t="shared" si="166"/>
        <v>0</v>
      </c>
    </row>
    <row r="1457" spans="23:25">
      <c r="W1457" s="44">
        <f t="shared" si="164"/>
        <v>0</v>
      </c>
      <c r="X1457" s="44">
        <f t="shared" si="165"/>
        <v>0</v>
      </c>
      <c r="Y1457" s="44">
        <f t="shared" si="166"/>
        <v>0</v>
      </c>
    </row>
    <row r="1458" spans="23:25">
      <c r="W1458" s="44">
        <f t="shared" si="164"/>
        <v>0</v>
      </c>
      <c r="X1458" s="44">
        <f t="shared" si="165"/>
        <v>0</v>
      </c>
      <c r="Y1458" s="44">
        <f t="shared" si="166"/>
        <v>0</v>
      </c>
    </row>
    <row r="1459" spans="23:25">
      <c r="W1459" s="44">
        <f t="shared" si="164"/>
        <v>0</v>
      </c>
      <c r="X1459" s="44">
        <f t="shared" si="165"/>
        <v>0</v>
      </c>
      <c r="Y1459" s="44">
        <f t="shared" si="166"/>
        <v>0</v>
      </c>
    </row>
    <row r="1460" spans="23:25">
      <c r="W1460" s="44">
        <f t="shared" si="164"/>
        <v>0</v>
      </c>
      <c r="X1460" s="44">
        <f t="shared" si="165"/>
        <v>0</v>
      </c>
      <c r="Y1460" s="44">
        <f t="shared" si="166"/>
        <v>0</v>
      </c>
    </row>
    <row r="1461" spans="23:25">
      <c r="W1461" s="44">
        <f t="shared" si="164"/>
        <v>0</v>
      </c>
      <c r="X1461" s="44">
        <f t="shared" si="165"/>
        <v>0</v>
      </c>
      <c r="Y1461" s="44">
        <f t="shared" si="166"/>
        <v>0</v>
      </c>
    </row>
    <row r="1462" spans="23:25">
      <c r="W1462" s="44">
        <f t="shared" si="164"/>
        <v>0</v>
      </c>
      <c r="X1462" s="44">
        <f t="shared" si="165"/>
        <v>0</v>
      </c>
      <c r="Y1462" s="44">
        <f t="shared" si="166"/>
        <v>0</v>
      </c>
    </row>
    <row r="1463" spans="23:25">
      <c r="W1463" s="44">
        <f t="shared" si="164"/>
        <v>0</v>
      </c>
      <c r="X1463" s="44">
        <f t="shared" si="165"/>
        <v>0</v>
      </c>
      <c r="Y1463" s="44">
        <f t="shared" si="166"/>
        <v>0</v>
      </c>
    </row>
    <row r="1464" spans="23:25">
      <c r="W1464" s="44">
        <f t="shared" si="164"/>
        <v>0</v>
      </c>
      <c r="X1464" s="44">
        <f t="shared" si="165"/>
        <v>0</v>
      </c>
      <c r="Y1464" s="44">
        <f t="shared" si="166"/>
        <v>0</v>
      </c>
    </row>
    <row r="1465" spans="23:25">
      <c r="W1465" s="44">
        <f t="shared" si="164"/>
        <v>0</v>
      </c>
      <c r="X1465" s="44">
        <f t="shared" si="165"/>
        <v>0</v>
      </c>
      <c r="Y1465" s="44">
        <f t="shared" si="166"/>
        <v>0</v>
      </c>
    </row>
    <row r="1466" spans="23:25">
      <c r="W1466" s="44">
        <f t="shared" si="164"/>
        <v>0</v>
      </c>
      <c r="X1466" s="44">
        <f t="shared" si="165"/>
        <v>0</v>
      </c>
      <c r="Y1466" s="44">
        <f t="shared" si="166"/>
        <v>0</v>
      </c>
    </row>
    <row r="1467" spans="23:25">
      <c r="W1467" s="44">
        <f t="shared" si="164"/>
        <v>0</v>
      </c>
      <c r="X1467" s="44">
        <f t="shared" si="165"/>
        <v>0</v>
      </c>
      <c r="Y1467" s="44">
        <f t="shared" si="166"/>
        <v>0</v>
      </c>
    </row>
    <row r="1468" spans="23:25">
      <c r="W1468" s="44">
        <f t="shared" si="164"/>
        <v>0</v>
      </c>
      <c r="X1468" s="44">
        <f t="shared" si="165"/>
        <v>0</v>
      </c>
      <c r="Y1468" s="44">
        <f t="shared" si="166"/>
        <v>0</v>
      </c>
    </row>
    <row r="1469" spans="23:25">
      <c r="W1469" s="44">
        <f t="shared" si="164"/>
        <v>0</v>
      </c>
      <c r="X1469" s="44">
        <f t="shared" si="165"/>
        <v>0</v>
      </c>
      <c r="Y1469" s="44">
        <f t="shared" si="166"/>
        <v>0</v>
      </c>
    </row>
    <row r="1470" spans="23:25">
      <c r="W1470" s="44">
        <f t="shared" si="164"/>
        <v>0</v>
      </c>
      <c r="X1470" s="44">
        <f t="shared" si="165"/>
        <v>0</v>
      </c>
      <c r="Y1470" s="44">
        <f t="shared" si="166"/>
        <v>0</v>
      </c>
    </row>
    <row r="1471" spans="23:25">
      <c r="W1471" s="44">
        <f t="shared" si="164"/>
        <v>0</v>
      </c>
      <c r="X1471" s="44">
        <f t="shared" si="165"/>
        <v>0</v>
      </c>
      <c r="Y1471" s="44">
        <f t="shared" si="166"/>
        <v>0</v>
      </c>
    </row>
    <row r="1472" spans="23:25">
      <c r="W1472" s="44">
        <f t="shared" si="164"/>
        <v>0</v>
      </c>
      <c r="X1472" s="44">
        <f t="shared" si="165"/>
        <v>0</v>
      </c>
      <c r="Y1472" s="44">
        <f t="shared" si="166"/>
        <v>0</v>
      </c>
    </row>
    <row r="1473" spans="23:25">
      <c r="W1473" s="44">
        <f t="shared" si="164"/>
        <v>0</v>
      </c>
      <c r="X1473" s="44">
        <f t="shared" si="165"/>
        <v>0</v>
      </c>
      <c r="Y1473" s="44">
        <f t="shared" si="166"/>
        <v>0</v>
      </c>
    </row>
    <row r="1474" spans="23:25">
      <c r="W1474" s="44">
        <f t="shared" si="164"/>
        <v>0</v>
      </c>
      <c r="X1474" s="44">
        <f t="shared" si="165"/>
        <v>0</v>
      </c>
      <c r="Y1474" s="44">
        <f t="shared" si="166"/>
        <v>0</v>
      </c>
    </row>
    <row r="1475" spans="23:25">
      <c r="W1475" s="44">
        <f t="shared" si="164"/>
        <v>0</v>
      </c>
      <c r="X1475" s="44">
        <f t="shared" si="165"/>
        <v>0</v>
      </c>
      <c r="Y1475" s="44">
        <f t="shared" si="166"/>
        <v>0</v>
      </c>
    </row>
    <row r="1476" spans="23:25">
      <c r="W1476" s="44">
        <f t="shared" si="164"/>
        <v>0</v>
      </c>
      <c r="X1476" s="44">
        <f t="shared" si="165"/>
        <v>0</v>
      </c>
      <c r="Y1476" s="44">
        <f t="shared" si="166"/>
        <v>0</v>
      </c>
    </row>
    <row r="1477" spans="23:25">
      <c r="W1477" s="44">
        <f t="shared" si="164"/>
        <v>0</v>
      </c>
      <c r="X1477" s="44">
        <f t="shared" si="165"/>
        <v>0</v>
      </c>
      <c r="Y1477" s="44">
        <f t="shared" si="166"/>
        <v>0</v>
      </c>
    </row>
    <row r="1478" spans="23:25">
      <c r="W1478" s="44">
        <f t="shared" si="164"/>
        <v>0</v>
      </c>
      <c r="X1478" s="44">
        <f t="shared" si="165"/>
        <v>0</v>
      </c>
      <c r="Y1478" s="44">
        <f t="shared" si="166"/>
        <v>0</v>
      </c>
    </row>
    <row r="1479" spans="23:25">
      <c r="W1479" s="44">
        <f t="shared" si="164"/>
        <v>0</v>
      </c>
      <c r="X1479" s="44">
        <f t="shared" si="165"/>
        <v>0</v>
      </c>
      <c r="Y1479" s="44">
        <f t="shared" si="166"/>
        <v>0</v>
      </c>
    </row>
    <row r="1480" spans="23:25">
      <c r="W1480" s="44">
        <f t="shared" ref="W1480:W1543" si="167">+O1480-U1480-V1480-Z1480</f>
        <v>0</v>
      </c>
      <c r="X1480" s="44">
        <f t="shared" ref="X1480:X1543" si="168">(+O1480-U1480)*$X$1</f>
        <v>0</v>
      </c>
      <c r="Y1480" s="44">
        <f t="shared" ref="Y1480:Y1543" si="169">+W1480-X1480</f>
        <v>0</v>
      </c>
    </row>
    <row r="1481" spans="23:25">
      <c r="W1481" s="44">
        <f t="shared" si="167"/>
        <v>0</v>
      </c>
      <c r="X1481" s="44">
        <f t="shared" si="168"/>
        <v>0</v>
      </c>
      <c r="Y1481" s="44">
        <f t="shared" si="169"/>
        <v>0</v>
      </c>
    </row>
    <row r="1482" spans="23:25">
      <c r="W1482" s="44">
        <f t="shared" si="167"/>
        <v>0</v>
      </c>
      <c r="X1482" s="44">
        <f t="shared" si="168"/>
        <v>0</v>
      </c>
      <c r="Y1482" s="44">
        <f t="shared" si="169"/>
        <v>0</v>
      </c>
    </row>
    <row r="1483" spans="23:25">
      <c r="W1483" s="44">
        <f t="shared" si="167"/>
        <v>0</v>
      </c>
      <c r="X1483" s="44">
        <f t="shared" si="168"/>
        <v>0</v>
      </c>
      <c r="Y1483" s="44">
        <f t="shared" si="169"/>
        <v>0</v>
      </c>
    </row>
    <row r="1484" spans="23:25">
      <c r="W1484" s="44">
        <f t="shared" si="167"/>
        <v>0</v>
      </c>
      <c r="X1484" s="44">
        <f t="shared" si="168"/>
        <v>0</v>
      </c>
      <c r="Y1484" s="44">
        <f t="shared" si="169"/>
        <v>0</v>
      </c>
    </row>
    <row r="1485" spans="23:25">
      <c r="W1485" s="44">
        <f t="shared" si="167"/>
        <v>0</v>
      </c>
      <c r="X1485" s="44">
        <f t="shared" si="168"/>
        <v>0</v>
      </c>
      <c r="Y1485" s="44">
        <f t="shared" si="169"/>
        <v>0</v>
      </c>
    </row>
    <row r="1486" spans="23:25">
      <c r="W1486" s="44">
        <f t="shared" si="167"/>
        <v>0</v>
      </c>
      <c r="X1486" s="44">
        <f t="shared" si="168"/>
        <v>0</v>
      </c>
      <c r="Y1486" s="44">
        <f t="shared" si="169"/>
        <v>0</v>
      </c>
    </row>
    <row r="1487" spans="23:25">
      <c r="W1487" s="44">
        <f t="shared" si="167"/>
        <v>0</v>
      </c>
      <c r="X1487" s="44">
        <f t="shared" si="168"/>
        <v>0</v>
      </c>
      <c r="Y1487" s="44">
        <f t="shared" si="169"/>
        <v>0</v>
      </c>
    </row>
    <row r="1488" spans="23:25">
      <c r="W1488" s="44">
        <f t="shared" si="167"/>
        <v>0</v>
      </c>
      <c r="X1488" s="44">
        <f t="shared" si="168"/>
        <v>0</v>
      </c>
      <c r="Y1488" s="44">
        <f t="shared" si="169"/>
        <v>0</v>
      </c>
    </row>
    <row r="1489" spans="23:25">
      <c r="W1489" s="44">
        <f t="shared" si="167"/>
        <v>0</v>
      </c>
      <c r="X1489" s="44">
        <f t="shared" si="168"/>
        <v>0</v>
      </c>
      <c r="Y1489" s="44">
        <f t="shared" si="169"/>
        <v>0</v>
      </c>
    </row>
    <row r="1490" spans="23:25">
      <c r="W1490" s="44">
        <f t="shared" si="167"/>
        <v>0</v>
      </c>
      <c r="X1490" s="44">
        <f t="shared" si="168"/>
        <v>0</v>
      </c>
      <c r="Y1490" s="44">
        <f t="shared" si="169"/>
        <v>0</v>
      </c>
    </row>
    <row r="1491" spans="23:25">
      <c r="W1491" s="44">
        <f t="shared" si="167"/>
        <v>0</v>
      </c>
      <c r="X1491" s="44">
        <f t="shared" si="168"/>
        <v>0</v>
      </c>
      <c r="Y1491" s="44">
        <f t="shared" si="169"/>
        <v>0</v>
      </c>
    </row>
    <row r="1492" spans="23:25">
      <c r="W1492" s="44">
        <f t="shared" si="167"/>
        <v>0</v>
      </c>
      <c r="X1492" s="44">
        <f t="shared" si="168"/>
        <v>0</v>
      </c>
      <c r="Y1492" s="44">
        <f t="shared" si="169"/>
        <v>0</v>
      </c>
    </row>
    <row r="1493" spans="23:25">
      <c r="W1493" s="44">
        <f t="shared" si="167"/>
        <v>0</v>
      </c>
      <c r="X1493" s="44">
        <f t="shared" si="168"/>
        <v>0</v>
      </c>
      <c r="Y1493" s="44">
        <f t="shared" si="169"/>
        <v>0</v>
      </c>
    </row>
    <row r="1494" spans="23:25">
      <c r="W1494" s="44">
        <f t="shared" si="167"/>
        <v>0</v>
      </c>
      <c r="X1494" s="44">
        <f t="shared" si="168"/>
        <v>0</v>
      </c>
      <c r="Y1494" s="44">
        <f t="shared" si="169"/>
        <v>0</v>
      </c>
    </row>
    <row r="1495" spans="23:25">
      <c r="W1495" s="44">
        <f t="shared" si="167"/>
        <v>0</v>
      </c>
      <c r="X1495" s="44">
        <f t="shared" si="168"/>
        <v>0</v>
      </c>
      <c r="Y1495" s="44">
        <f t="shared" si="169"/>
        <v>0</v>
      </c>
    </row>
    <row r="1496" spans="23:25">
      <c r="W1496" s="44">
        <f t="shared" si="167"/>
        <v>0</v>
      </c>
      <c r="X1496" s="44">
        <f t="shared" si="168"/>
        <v>0</v>
      </c>
      <c r="Y1496" s="44">
        <f t="shared" si="169"/>
        <v>0</v>
      </c>
    </row>
    <row r="1497" spans="23:25">
      <c r="W1497" s="44">
        <f t="shared" si="167"/>
        <v>0</v>
      </c>
      <c r="X1497" s="44">
        <f t="shared" si="168"/>
        <v>0</v>
      </c>
      <c r="Y1497" s="44">
        <f t="shared" si="169"/>
        <v>0</v>
      </c>
    </row>
    <row r="1498" spans="23:25">
      <c r="W1498" s="44">
        <f t="shared" si="167"/>
        <v>0</v>
      </c>
      <c r="X1498" s="44">
        <f t="shared" si="168"/>
        <v>0</v>
      </c>
      <c r="Y1498" s="44">
        <f t="shared" si="169"/>
        <v>0</v>
      </c>
    </row>
    <row r="1499" spans="23:25">
      <c r="W1499" s="44">
        <f t="shared" si="167"/>
        <v>0</v>
      </c>
      <c r="X1499" s="44">
        <f t="shared" si="168"/>
        <v>0</v>
      </c>
      <c r="Y1499" s="44">
        <f t="shared" si="169"/>
        <v>0</v>
      </c>
    </row>
    <row r="1500" spans="23:25">
      <c r="W1500" s="44">
        <f t="shared" si="167"/>
        <v>0</v>
      </c>
      <c r="X1500" s="44">
        <f t="shared" si="168"/>
        <v>0</v>
      </c>
      <c r="Y1500" s="44">
        <f t="shared" si="169"/>
        <v>0</v>
      </c>
    </row>
    <row r="1501" spans="23:25">
      <c r="W1501" s="44">
        <f t="shared" si="167"/>
        <v>0</v>
      </c>
      <c r="X1501" s="44">
        <f t="shared" si="168"/>
        <v>0</v>
      </c>
      <c r="Y1501" s="44">
        <f t="shared" si="169"/>
        <v>0</v>
      </c>
    </row>
    <row r="1502" spans="23:25">
      <c r="W1502" s="44">
        <f t="shared" si="167"/>
        <v>0</v>
      </c>
      <c r="X1502" s="44">
        <f t="shared" si="168"/>
        <v>0</v>
      </c>
      <c r="Y1502" s="44">
        <f t="shared" si="169"/>
        <v>0</v>
      </c>
    </row>
    <row r="1503" spans="23:25">
      <c r="W1503" s="44">
        <f t="shared" si="167"/>
        <v>0</v>
      </c>
      <c r="X1503" s="44">
        <f t="shared" si="168"/>
        <v>0</v>
      </c>
      <c r="Y1503" s="44">
        <f t="shared" si="169"/>
        <v>0</v>
      </c>
    </row>
    <row r="1504" spans="23:25">
      <c r="W1504" s="44">
        <f t="shared" si="167"/>
        <v>0</v>
      </c>
      <c r="X1504" s="44">
        <f t="shared" si="168"/>
        <v>0</v>
      </c>
      <c r="Y1504" s="44">
        <f t="shared" si="169"/>
        <v>0</v>
      </c>
    </row>
    <row r="1505" spans="23:25">
      <c r="W1505" s="44">
        <f t="shared" si="167"/>
        <v>0</v>
      </c>
      <c r="X1505" s="44">
        <f t="shared" si="168"/>
        <v>0</v>
      </c>
      <c r="Y1505" s="44">
        <f t="shared" si="169"/>
        <v>0</v>
      </c>
    </row>
    <row r="1506" spans="23:25">
      <c r="W1506" s="44">
        <f t="shared" si="167"/>
        <v>0</v>
      </c>
      <c r="X1506" s="44">
        <f t="shared" si="168"/>
        <v>0</v>
      </c>
      <c r="Y1506" s="44">
        <f t="shared" si="169"/>
        <v>0</v>
      </c>
    </row>
    <row r="1507" spans="23:25">
      <c r="W1507" s="44">
        <f t="shared" si="167"/>
        <v>0</v>
      </c>
      <c r="X1507" s="44">
        <f t="shared" si="168"/>
        <v>0</v>
      </c>
      <c r="Y1507" s="44">
        <f t="shared" si="169"/>
        <v>0</v>
      </c>
    </row>
    <row r="1508" spans="23:25">
      <c r="W1508" s="44">
        <f t="shared" si="167"/>
        <v>0</v>
      </c>
      <c r="X1508" s="44">
        <f t="shared" si="168"/>
        <v>0</v>
      </c>
      <c r="Y1508" s="44">
        <f t="shared" si="169"/>
        <v>0</v>
      </c>
    </row>
    <row r="1509" spans="23:25">
      <c r="W1509" s="44">
        <f t="shared" si="167"/>
        <v>0</v>
      </c>
      <c r="X1509" s="44">
        <f t="shared" si="168"/>
        <v>0</v>
      </c>
      <c r="Y1509" s="44">
        <f t="shared" si="169"/>
        <v>0</v>
      </c>
    </row>
    <row r="1510" spans="23:25">
      <c r="W1510" s="44">
        <f t="shared" si="167"/>
        <v>0</v>
      </c>
      <c r="X1510" s="44">
        <f t="shared" si="168"/>
        <v>0</v>
      </c>
      <c r="Y1510" s="44">
        <f t="shared" si="169"/>
        <v>0</v>
      </c>
    </row>
    <row r="1511" spans="23:25">
      <c r="W1511" s="44">
        <f t="shared" si="167"/>
        <v>0</v>
      </c>
      <c r="X1511" s="44">
        <f t="shared" si="168"/>
        <v>0</v>
      </c>
      <c r="Y1511" s="44">
        <f t="shared" si="169"/>
        <v>0</v>
      </c>
    </row>
    <row r="1512" spans="23:25">
      <c r="W1512" s="44">
        <f t="shared" si="167"/>
        <v>0</v>
      </c>
      <c r="X1512" s="44">
        <f t="shared" si="168"/>
        <v>0</v>
      </c>
      <c r="Y1512" s="44">
        <f t="shared" si="169"/>
        <v>0</v>
      </c>
    </row>
    <row r="1513" spans="23:25">
      <c r="W1513" s="44">
        <f t="shared" si="167"/>
        <v>0</v>
      </c>
      <c r="X1513" s="44">
        <f t="shared" si="168"/>
        <v>0</v>
      </c>
      <c r="Y1513" s="44">
        <f t="shared" si="169"/>
        <v>0</v>
      </c>
    </row>
    <row r="1514" spans="23:25">
      <c r="W1514" s="44">
        <f t="shared" si="167"/>
        <v>0</v>
      </c>
      <c r="X1514" s="44">
        <f t="shared" si="168"/>
        <v>0</v>
      </c>
      <c r="Y1514" s="44">
        <f t="shared" si="169"/>
        <v>0</v>
      </c>
    </row>
    <row r="1515" spans="23:25">
      <c r="W1515" s="44">
        <f t="shared" si="167"/>
        <v>0</v>
      </c>
      <c r="X1515" s="44">
        <f t="shared" si="168"/>
        <v>0</v>
      </c>
      <c r="Y1515" s="44">
        <f t="shared" si="169"/>
        <v>0</v>
      </c>
    </row>
    <row r="1516" spans="23:25">
      <c r="W1516" s="44">
        <f t="shared" si="167"/>
        <v>0</v>
      </c>
      <c r="X1516" s="44">
        <f t="shared" si="168"/>
        <v>0</v>
      </c>
      <c r="Y1516" s="44">
        <f t="shared" si="169"/>
        <v>0</v>
      </c>
    </row>
    <row r="1517" spans="23:25">
      <c r="W1517" s="44">
        <f t="shared" si="167"/>
        <v>0</v>
      </c>
      <c r="X1517" s="44">
        <f t="shared" si="168"/>
        <v>0</v>
      </c>
      <c r="Y1517" s="44">
        <f t="shared" si="169"/>
        <v>0</v>
      </c>
    </row>
    <row r="1518" spans="23:25">
      <c r="W1518" s="44">
        <f t="shared" si="167"/>
        <v>0</v>
      </c>
      <c r="X1518" s="44">
        <f t="shared" si="168"/>
        <v>0</v>
      </c>
      <c r="Y1518" s="44">
        <f t="shared" si="169"/>
        <v>0</v>
      </c>
    </row>
    <row r="1519" spans="23:25">
      <c r="W1519" s="44">
        <f t="shared" si="167"/>
        <v>0</v>
      </c>
      <c r="X1519" s="44">
        <f t="shared" si="168"/>
        <v>0</v>
      </c>
      <c r="Y1519" s="44">
        <f t="shared" si="169"/>
        <v>0</v>
      </c>
    </row>
    <row r="1520" spans="23:25">
      <c r="W1520" s="44">
        <f t="shared" si="167"/>
        <v>0</v>
      </c>
      <c r="X1520" s="44">
        <f t="shared" si="168"/>
        <v>0</v>
      </c>
      <c r="Y1520" s="44">
        <f t="shared" si="169"/>
        <v>0</v>
      </c>
    </row>
    <row r="1521" spans="23:25">
      <c r="W1521" s="44">
        <f t="shared" si="167"/>
        <v>0</v>
      </c>
      <c r="X1521" s="44">
        <f t="shared" si="168"/>
        <v>0</v>
      </c>
      <c r="Y1521" s="44">
        <f t="shared" si="169"/>
        <v>0</v>
      </c>
    </row>
    <row r="1522" spans="23:25">
      <c r="W1522" s="44">
        <f t="shared" si="167"/>
        <v>0</v>
      </c>
      <c r="X1522" s="44">
        <f t="shared" si="168"/>
        <v>0</v>
      </c>
      <c r="Y1522" s="44">
        <f t="shared" si="169"/>
        <v>0</v>
      </c>
    </row>
    <row r="1523" spans="23:25">
      <c r="W1523" s="44">
        <f t="shared" si="167"/>
        <v>0</v>
      </c>
      <c r="X1523" s="44">
        <f t="shared" si="168"/>
        <v>0</v>
      </c>
      <c r="Y1523" s="44">
        <f t="shared" si="169"/>
        <v>0</v>
      </c>
    </row>
    <row r="1524" spans="23:25">
      <c r="W1524" s="44">
        <f t="shared" si="167"/>
        <v>0</v>
      </c>
      <c r="X1524" s="44">
        <f t="shared" si="168"/>
        <v>0</v>
      </c>
      <c r="Y1524" s="44">
        <f t="shared" si="169"/>
        <v>0</v>
      </c>
    </row>
    <row r="1525" spans="23:25">
      <c r="W1525" s="44">
        <f t="shared" si="167"/>
        <v>0</v>
      </c>
      <c r="X1525" s="44">
        <f t="shared" si="168"/>
        <v>0</v>
      </c>
      <c r="Y1525" s="44">
        <f t="shared" si="169"/>
        <v>0</v>
      </c>
    </row>
    <row r="1526" spans="23:25">
      <c r="W1526" s="44">
        <f t="shared" si="167"/>
        <v>0</v>
      </c>
      <c r="X1526" s="44">
        <f t="shared" si="168"/>
        <v>0</v>
      </c>
      <c r="Y1526" s="44">
        <f t="shared" si="169"/>
        <v>0</v>
      </c>
    </row>
    <row r="1527" spans="23:25">
      <c r="W1527" s="44">
        <f t="shared" si="167"/>
        <v>0</v>
      </c>
      <c r="X1527" s="44">
        <f t="shared" si="168"/>
        <v>0</v>
      </c>
      <c r="Y1527" s="44">
        <f t="shared" si="169"/>
        <v>0</v>
      </c>
    </row>
    <row r="1528" spans="23:25">
      <c r="W1528" s="44">
        <f t="shared" si="167"/>
        <v>0</v>
      </c>
      <c r="X1528" s="44">
        <f t="shared" si="168"/>
        <v>0</v>
      </c>
      <c r="Y1528" s="44">
        <f t="shared" si="169"/>
        <v>0</v>
      </c>
    </row>
    <row r="1529" spans="23:25">
      <c r="W1529" s="44">
        <f t="shared" si="167"/>
        <v>0</v>
      </c>
      <c r="X1529" s="44">
        <f t="shared" si="168"/>
        <v>0</v>
      </c>
      <c r="Y1529" s="44">
        <f t="shared" si="169"/>
        <v>0</v>
      </c>
    </row>
    <row r="1530" spans="23:25">
      <c r="W1530" s="44">
        <f t="shared" si="167"/>
        <v>0</v>
      </c>
      <c r="X1530" s="44">
        <f t="shared" si="168"/>
        <v>0</v>
      </c>
      <c r="Y1530" s="44">
        <f t="shared" si="169"/>
        <v>0</v>
      </c>
    </row>
    <row r="1531" spans="23:25">
      <c r="W1531" s="44">
        <f t="shared" si="167"/>
        <v>0</v>
      </c>
      <c r="X1531" s="44">
        <f t="shared" si="168"/>
        <v>0</v>
      </c>
      <c r="Y1531" s="44">
        <f t="shared" si="169"/>
        <v>0</v>
      </c>
    </row>
    <row r="1532" spans="23:25">
      <c r="W1532" s="44">
        <f t="shared" si="167"/>
        <v>0</v>
      </c>
      <c r="X1532" s="44">
        <f t="shared" si="168"/>
        <v>0</v>
      </c>
      <c r="Y1532" s="44">
        <f t="shared" si="169"/>
        <v>0</v>
      </c>
    </row>
    <row r="1533" spans="23:25">
      <c r="W1533" s="44">
        <f t="shared" si="167"/>
        <v>0</v>
      </c>
      <c r="X1533" s="44">
        <f t="shared" si="168"/>
        <v>0</v>
      </c>
      <c r="Y1533" s="44">
        <f t="shared" si="169"/>
        <v>0</v>
      </c>
    </row>
    <row r="1534" spans="23:25">
      <c r="W1534" s="44">
        <f t="shared" si="167"/>
        <v>0</v>
      </c>
      <c r="X1534" s="44">
        <f t="shared" si="168"/>
        <v>0</v>
      </c>
      <c r="Y1534" s="44">
        <f t="shared" si="169"/>
        <v>0</v>
      </c>
    </row>
    <row r="1535" spans="23:25">
      <c r="W1535" s="44">
        <f t="shared" si="167"/>
        <v>0</v>
      </c>
      <c r="X1535" s="44">
        <f t="shared" si="168"/>
        <v>0</v>
      </c>
      <c r="Y1535" s="44">
        <f t="shared" si="169"/>
        <v>0</v>
      </c>
    </row>
    <row r="1536" spans="23:25">
      <c r="W1536" s="44">
        <f t="shared" si="167"/>
        <v>0</v>
      </c>
      <c r="X1536" s="44">
        <f t="shared" si="168"/>
        <v>0</v>
      </c>
      <c r="Y1536" s="44">
        <f t="shared" si="169"/>
        <v>0</v>
      </c>
    </row>
    <row r="1537" spans="23:25">
      <c r="W1537" s="44">
        <f t="shared" si="167"/>
        <v>0</v>
      </c>
      <c r="X1537" s="44">
        <f t="shared" si="168"/>
        <v>0</v>
      </c>
      <c r="Y1537" s="44">
        <f t="shared" si="169"/>
        <v>0</v>
      </c>
    </row>
    <row r="1538" spans="23:25">
      <c r="W1538" s="44">
        <f t="shared" si="167"/>
        <v>0</v>
      </c>
      <c r="X1538" s="44">
        <f t="shared" si="168"/>
        <v>0</v>
      </c>
      <c r="Y1538" s="44">
        <f t="shared" si="169"/>
        <v>0</v>
      </c>
    </row>
    <row r="1539" spans="23:25">
      <c r="W1539" s="44">
        <f t="shared" si="167"/>
        <v>0</v>
      </c>
      <c r="X1539" s="44">
        <f t="shared" si="168"/>
        <v>0</v>
      </c>
      <c r="Y1539" s="44">
        <f t="shared" si="169"/>
        <v>0</v>
      </c>
    </row>
    <row r="1540" spans="23:25">
      <c r="W1540" s="44">
        <f t="shared" si="167"/>
        <v>0</v>
      </c>
      <c r="X1540" s="44">
        <f t="shared" si="168"/>
        <v>0</v>
      </c>
      <c r="Y1540" s="44">
        <f t="shared" si="169"/>
        <v>0</v>
      </c>
    </row>
    <row r="1541" spans="23:25">
      <c r="W1541" s="44">
        <f t="shared" si="167"/>
        <v>0</v>
      </c>
      <c r="X1541" s="44">
        <f t="shared" si="168"/>
        <v>0</v>
      </c>
      <c r="Y1541" s="44">
        <f t="shared" si="169"/>
        <v>0</v>
      </c>
    </row>
    <row r="1542" spans="23:25">
      <c r="W1542" s="44">
        <f t="shared" si="167"/>
        <v>0</v>
      </c>
      <c r="X1542" s="44">
        <f t="shared" si="168"/>
        <v>0</v>
      </c>
      <c r="Y1542" s="44">
        <f t="shared" si="169"/>
        <v>0</v>
      </c>
    </row>
    <row r="1543" spans="23:25">
      <c r="W1543" s="44">
        <f t="shared" si="167"/>
        <v>0</v>
      </c>
      <c r="X1543" s="44">
        <f t="shared" si="168"/>
        <v>0</v>
      </c>
      <c r="Y1543" s="44">
        <f t="shared" si="169"/>
        <v>0</v>
      </c>
    </row>
    <row r="1544" spans="23:25">
      <c r="W1544" s="44">
        <f t="shared" ref="W1544:W1607" si="170">+O1544-U1544-V1544-Z1544</f>
        <v>0</v>
      </c>
      <c r="X1544" s="44">
        <f t="shared" ref="X1544:X1607" si="171">(+O1544-U1544)*$X$1</f>
        <v>0</v>
      </c>
      <c r="Y1544" s="44">
        <f t="shared" ref="Y1544:Y1607" si="172">+W1544-X1544</f>
        <v>0</v>
      </c>
    </row>
    <row r="1545" spans="23:25">
      <c r="W1545" s="44">
        <f t="shared" si="170"/>
        <v>0</v>
      </c>
      <c r="X1545" s="44">
        <f t="shared" si="171"/>
        <v>0</v>
      </c>
      <c r="Y1545" s="44">
        <f t="shared" si="172"/>
        <v>0</v>
      </c>
    </row>
    <row r="1546" spans="23:25">
      <c r="W1546" s="44">
        <f t="shared" si="170"/>
        <v>0</v>
      </c>
      <c r="X1546" s="44">
        <f t="shared" si="171"/>
        <v>0</v>
      </c>
      <c r="Y1546" s="44">
        <f t="shared" si="172"/>
        <v>0</v>
      </c>
    </row>
    <row r="1547" spans="23:25">
      <c r="W1547" s="44">
        <f t="shared" si="170"/>
        <v>0</v>
      </c>
      <c r="X1547" s="44">
        <f t="shared" si="171"/>
        <v>0</v>
      </c>
      <c r="Y1547" s="44">
        <f t="shared" si="172"/>
        <v>0</v>
      </c>
    </row>
    <row r="1548" spans="23:25">
      <c r="W1548" s="44">
        <f t="shared" si="170"/>
        <v>0</v>
      </c>
      <c r="X1548" s="44">
        <f t="shared" si="171"/>
        <v>0</v>
      </c>
      <c r="Y1548" s="44">
        <f t="shared" si="172"/>
        <v>0</v>
      </c>
    </row>
    <row r="1549" spans="23:25">
      <c r="W1549" s="44">
        <f t="shared" si="170"/>
        <v>0</v>
      </c>
      <c r="X1549" s="44">
        <f t="shared" si="171"/>
        <v>0</v>
      </c>
      <c r="Y1549" s="44">
        <f t="shared" si="172"/>
        <v>0</v>
      </c>
    </row>
    <row r="1550" spans="23:25">
      <c r="W1550" s="44">
        <f t="shared" si="170"/>
        <v>0</v>
      </c>
      <c r="X1550" s="44">
        <f t="shared" si="171"/>
        <v>0</v>
      </c>
      <c r="Y1550" s="44">
        <f t="shared" si="172"/>
        <v>0</v>
      </c>
    </row>
    <row r="1551" spans="23:25">
      <c r="W1551" s="44">
        <f t="shared" si="170"/>
        <v>0</v>
      </c>
      <c r="X1551" s="44">
        <f t="shared" si="171"/>
        <v>0</v>
      </c>
      <c r="Y1551" s="44">
        <f t="shared" si="172"/>
        <v>0</v>
      </c>
    </row>
    <row r="1552" spans="23:25">
      <c r="W1552" s="44">
        <f t="shared" si="170"/>
        <v>0</v>
      </c>
      <c r="X1552" s="44">
        <f t="shared" si="171"/>
        <v>0</v>
      </c>
      <c r="Y1552" s="44">
        <f t="shared" si="172"/>
        <v>0</v>
      </c>
    </row>
    <row r="1553" spans="23:25">
      <c r="W1553" s="44">
        <f t="shared" si="170"/>
        <v>0</v>
      </c>
      <c r="X1553" s="44">
        <f t="shared" si="171"/>
        <v>0</v>
      </c>
      <c r="Y1553" s="44">
        <f t="shared" si="172"/>
        <v>0</v>
      </c>
    </row>
    <row r="1554" spans="23:25">
      <c r="W1554" s="44">
        <f t="shared" si="170"/>
        <v>0</v>
      </c>
      <c r="X1554" s="44">
        <f t="shared" si="171"/>
        <v>0</v>
      </c>
      <c r="Y1554" s="44">
        <f t="shared" si="172"/>
        <v>0</v>
      </c>
    </row>
    <row r="1555" spans="23:25">
      <c r="W1555" s="44">
        <f t="shared" si="170"/>
        <v>0</v>
      </c>
      <c r="X1555" s="44">
        <f t="shared" si="171"/>
        <v>0</v>
      </c>
      <c r="Y1555" s="44">
        <f t="shared" si="172"/>
        <v>0</v>
      </c>
    </row>
    <row r="1556" spans="23:25">
      <c r="W1556" s="44">
        <f t="shared" si="170"/>
        <v>0</v>
      </c>
      <c r="X1556" s="44">
        <f t="shared" si="171"/>
        <v>0</v>
      </c>
      <c r="Y1556" s="44">
        <f t="shared" si="172"/>
        <v>0</v>
      </c>
    </row>
    <row r="1557" spans="23:25">
      <c r="W1557" s="44">
        <f t="shared" si="170"/>
        <v>0</v>
      </c>
      <c r="X1557" s="44">
        <f t="shared" si="171"/>
        <v>0</v>
      </c>
      <c r="Y1557" s="44">
        <f t="shared" si="172"/>
        <v>0</v>
      </c>
    </row>
    <row r="1558" spans="23:25">
      <c r="W1558" s="44">
        <f t="shared" si="170"/>
        <v>0</v>
      </c>
      <c r="X1558" s="44">
        <f t="shared" si="171"/>
        <v>0</v>
      </c>
      <c r="Y1558" s="44">
        <f t="shared" si="172"/>
        <v>0</v>
      </c>
    </row>
    <row r="1559" spans="23:25">
      <c r="W1559" s="44">
        <f t="shared" si="170"/>
        <v>0</v>
      </c>
      <c r="X1559" s="44">
        <f t="shared" si="171"/>
        <v>0</v>
      </c>
      <c r="Y1559" s="44">
        <f t="shared" si="172"/>
        <v>0</v>
      </c>
    </row>
    <row r="1560" spans="23:25">
      <c r="W1560" s="44">
        <f t="shared" si="170"/>
        <v>0</v>
      </c>
      <c r="X1560" s="44">
        <f t="shared" si="171"/>
        <v>0</v>
      </c>
      <c r="Y1560" s="44">
        <f t="shared" si="172"/>
        <v>0</v>
      </c>
    </row>
    <row r="1561" spans="23:25">
      <c r="W1561" s="44">
        <f t="shared" si="170"/>
        <v>0</v>
      </c>
      <c r="X1561" s="44">
        <f t="shared" si="171"/>
        <v>0</v>
      </c>
      <c r="Y1561" s="44">
        <f t="shared" si="172"/>
        <v>0</v>
      </c>
    </row>
    <row r="1562" spans="23:25">
      <c r="W1562" s="44">
        <f t="shared" si="170"/>
        <v>0</v>
      </c>
      <c r="X1562" s="44">
        <f t="shared" si="171"/>
        <v>0</v>
      </c>
      <c r="Y1562" s="44">
        <f t="shared" si="172"/>
        <v>0</v>
      </c>
    </row>
    <row r="1563" spans="23:25">
      <c r="W1563" s="44">
        <f t="shared" si="170"/>
        <v>0</v>
      </c>
      <c r="X1563" s="44">
        <f t="shared" si="171"/>
        <v>0</v>
      </c>
      <c r="Y1563" s="44">
        <f t="shared" si="172"/>
        <v>0</v>
      </c>
    </row>
    <row r="1564" spans="23:25">
      <c r="W1564" s="44">
        <f t="shared" si="170"/>
        <v>0</v>
      </c>
      <c r="X1564" s="44">
        <f t="shared" si="171"/>
        <v>0</v>
      </c>
      <c r="Y1564" s="44">
        <f t="shared" si="172"/>
        <v>0</v>
      </c>
    </row>
    <row r="1565" spans="23:25">
      <c r="W1565" s="44">
        <f t="shared" si="170"/>
        <v>0</v>
      </c>
      <c r="X1565" s="44">
        <f t="shared" si="171"/>
        <v>0</v>
      </c>
      <c r="Y1565" s="44">
        <f t="shared" si="172"/>
        <v>0</v>
      </c>
    </row>
    <row r="1566" spans="23:25">
      <c r="W1566" s="44">
        <f t="shared" si="170"/>
        <v>0</v>
      </c>
      <c r="X1566" s="44">
        <f t="shared" si="171"/>
        <v>0</v>
      </c>
      <c r="Y1566" s="44">
        <f t="shared" si="172"/>
        <v>0</v>
      </c>
    </row>
    <row r="1567" spans="23:25">
      <c r="W1567" s="44">
        <f t="shared" si="170"/>
        <v>0</v>
      </c>
      <c r="X1567" s="44">
        <f t="shared" si="171"/>
        <v>0</v>
      </c>
      <c r="Y1567" s="44">
        <f t="shared" si="172"/>
        <v>0</v>
      </c>
    </row>
    <row r="1568" spans="23:25">
      <c r="W1568" s="44">
        <f t="shared" si="170"/>
        <v>0</v>
      </c>
      <c r="X1568" s="44">
        <f t="shared" si="171"/>
        <v>0</v>
      </c>
      <c r="Y1568" s="44">
        <f t="shared" si="172"/>
        <v>0</v>
      </c>
    </row>
    <row r="1569" spans="23:25">
      <c r="W1569" s="44">
        <f t="shared" si="170"/>
        <v>0</v>
      </c>
      <c r="X1569" s="44">
        <f t="shared" si="171"/>
        <v>0</v>
      </c>
      <c r="Y1569" s="44">
        <f t="shared" si="172"/>
        <v>0</v>
      </c>
    </row>
    <row r="1570" spans="23:25">
      <c r="W1570" s="44">
        <f t="shared" si="170"/>
        <v>0</v>
      </c>
      <c r="X1570" s="44">
        <f t="shared" si="171"/>
        <v>0</v>
      </c>
      <c r="Y1570" s="44">
        <f t="shared" si="172"/>
        <v>0</v>
      </c>
    </row>
    <row r="1571" spans="23:25">
      <c r="W1571" s="44">
        <f t="shared" si="170"/>
        <v>0</v>
      </c>
      <c r="X1571" s="44">
        <f t="shared" si="171"/>
        <v>0</v>
      </c>
      <c r="Y1571" s="44">
        <f t="shared" si="172"/>
        <v>0</v>
      </c>
    </row>
    <row r="1572" spans="23:25">
      <c r="W1572" s="44">
        <f t="shared" si="170"/>
        <v>0</v>
      </c>
      <c r="X1572" s="44">
        <f t="shared" si="171"/>
        <v>0</v>
      </c>
      <c r="Y1572" s="44">
        <f t="shared" si="172"/>
        <v>0</v>
      </c>
    </row>
    <row r="1573" spans="23:25">
      <c r="W1573" s="44">
        <f t="shared" si="170"/>
        <v>0</v>
      </c>
      <c r="X1573" s="44">
        <f t="shared" si="171"/>
        <v>0</v>
      </c>
      <c r="Y1573" s="44">
        <f t="shared" si="172"/>
        <v>0</v>
      </c>
    </row>
    <row r="1574" spans="23:25">
      <c r="W1574" s="44">
        <f t="shared" si="170"/>
        <v>0</v>
      </c>
      <c r="X1574" s="44">
        <f t="shared" si="171"/>
        <v>0</v>
      </c>
      <c r="Y1574" s="44">
        <f t="shared" si="172"/>
        <v>0</v>
      </c>
    </row>
    <row r="1575" spans="23:25">
      <c r="W1575" s="44">
        <f t="shared" si="170"/>
        <v>0</v>
      </c>
      <c r="X1575" s="44">
        <f t="shared" si="171"/>
        <v>0</v>
      </c>
      <c r="Y1575" s="44">
        <f t="shared" si="172"/>
        <v>0</v>
      </c>
    </row>
    <row r="1576" spans="23:25">
      <c r="W1576" s="44">
        <f t="shared" si="170"/>
        <v>0</v>
      </c>
      <c r="X1576" s="44">
        <f t="shared" si="171"/>
        <v>0</v>
      </c>
      <c r="Y1576" s="44">
        <f t="shared" si="172"/>
        <v>0</v>
      </c>
    </row>
    <row r="1577" spans="23:25">
      <c r="W1577" s="44">
        <f t="shared" si="170"/>
        <v>0</v>
      </c>
      <c r="X1577" s="44">
        <f t="shared" si="171"/>
        <v>0</v>
      </c>
      <c r="Y1577" s="44">
        <f t="shared" si="172"/>
        <v>0</v>
      </c>
    </row>
    <row r="1578" spans="23:25">
      <c r="W1578" s="44">
        <f t="shared" si="170"/>
        <v>0</v>
      </c>
      <c r="X1578" s="44">
        <f t="shared" si="171"/>
        <v>0</v>
      </c>
      <c r="Y1578" s="44">
        <f t="shared" si="172"/>
        <v>0</v>
      </c>
    </row>
    <row r="1579" spans="23:25">
      <c r="W1579" s="44">
        <f t="shared" si="170"/>
        <v>0</v>
      </c>
      <c r="X1579" s="44">
        <f t="shared" si="171"/>
        <v>0</v>
      </c>
      <c r="Y1579" s="44">
        <f t="shared" si="172"/>
        <v>0</v>
      </c>
    </row>
    <row r="1580" spans="23:25">
      <c r="W1580" s="44">
        <f t="shared" si="170"/>
        <v>0</v>
      </c>
      <c r="X1580" s="44">
        <f t="shared" si="171"/>
        <v>0</v>
      </c>
      <c r="Y1580" s="44">
        <f t="shared" si="172"/>
        <v>0</v>
      </c>
    </row>
    <row r="1581" spans="23:25">
      <c r="W1581" s="44">
        <f t="shared" si="170"/>
        <v>0</v>
      </c>
      <c r="X1581" s="44">
        <f t="shared" si="171"/>
        <v>0</v>
      </c>
      <c r="Y1581" s="44">
        <f t="shared" si="172"/>
        <v>0</v>
      </c>
    </row>
    <row r="1582" spans="23:25">
      <c r="W1582" s="44">
        <f t="shared" si="170"/>
        <v>0</v>
      </c>
      <c r="X1582" s="44">
        <f t="shared" si="171"/>
        <v>0</v>
      </c>
      <c r="Y1582" s="44">
        <f t="shared" si="172"/>
        <v>0</v>
      </c>
    </row>
    <row r="1583" spans="23:25">
      <c r="W1583" s="44">
        <f t="shared" si="170"/>
        <v>0</v>
      </c>
      <c r="X1583" s="44">
        <f t="shared" si="171"/>
        <v>0</v>
      </c>
      <c r="Y1583" s="44">
        <f t="shared" si="172"/>
        <v>0</v>
      </c>
    </row>
    <row r="1584" spans="23:25">
      <c r="W1584" s="44">
        <f t="shared" si="170"/>
        <v>0</v>
      </c>
      <c r="X1584" s="44">
        <f t="shared" si="171"/>
        <v>0</v>
      </c>
      <c r="Y1584" s="44">
        <f t="shared" si="172"/>
        <v>0</v>
      </c>
    </row>
    <row r="1585" spans="23:25">
      <c r="W1585" s="44">
        <f t="shared" si="170"/>
        <v>0</v>
      </c>
      <c r="X1585" s="44">
        <f t="shared" si="171"/>
        <v>0</v>
      </c>
      <c r="Y1585" s="44">
        <f t="shared" si="172"/>
        <v>0</v>
      </c>
    </row>
    <row r="1586" spans="23:25">
      <c r="W1586" s="44">
        <f t="shared" si="170"/>
        <v>0</v>
      </c>
      <c r="X1586" s="44">
        <f t="shared" si="171"/>
        <v>0</v>
      </c>
      <c r="Y1586" s="44">
        <f t="shared" si="172"/>
        <v>0</v>
      </c>
    </row>
    <row r="1587" spans="23:25">
      <c r="W1587" s="44">
        <f t="shared" si="170"/>
        <v>0</v>
      </c>
      <c r="X1587" s="44">
        <f t="shared" si="171"/>
        <v>0</v>
      </c>
      <c r="Y1587" s="44">
        <f t="shared" si="172"/>
        <v>0</v>
      </c>
    </row>
    <row r="1588" spans="23:25">
      <c r="W1588" s="44">
        <f t="shared" si="170"/>
        <v>0</v>
      </c>
      <c r="X1588" s="44">
        <f t="shared" si="171"/>
        <v>0</v>
      </c>
      <c r="Y1588" s="44">
        <f t="shared" si="172"/>
        <v>0</v>
      </c>
    </row>
    <row r="1589" spans="23:25">
      <c r="W1589" s="44">
        <f t="shared" si="170"/>
        <v>0</v>
      </c>
      <c r="X1589" s="44">
        <f t="shared" si="171"/>
        <v>0</v>
      </c>
      <c r="Y1589" s="44">
        <f t="shared" si="172"/>
        <v>0</v>
      </c>
    </row>
    <row r="1590" spans="23:25">
      <c r="W1590" s="44">
        <f t="shared" si="170"/>
        <v>0</v>
      </c>
      <c r="X1590" s="44">
        <f t="shared" si="171"/>
        <v>0</v>
      </c>
      <c r="Y1590" s="44">
        <f t="shared" si="172"/>
        <v>0</v>
      </c>
    </row>
    <row r="1591" spans="23:25">
      <c r="W1591" s="44">
        <f t="shared" si="170"/>
        <v>0</v>
      </c>
      <c r="X1591" s="44">
        <f t="shared" si="171"/>
        <v>0</v>
      </c>
      <c r="Y1591" s="44">
        <f t="shared" si="172"/>
        <v>0</v>
      </c>
    </row>
    <row r="1592" spans="23:25">
      <c r="W1592" s="44">
        <f t="shared" si="170"/>
        <v>0</v>
      </c>
      <c r="X1592" s="44">
        <f t="shared" si="171"/>
        <v>0</v>
      </c>
      <c r="Y1592" s="44">
        <f t="shared" si="172"/>
        <v>0</v>
      </c>
    </row>
    <row r="1593" spans="23:25">
      <c r="W1593" s="44">
        <f t="shared" si="170"/>
        <v>0</v>
      </c>
      <c r="X1593" s="44">
        <f t="shared" si="171"/>
        <v>0</v>
      </c>
      <c r="Y1593" s="44">
        <f t="shared" si="172"/>
        <v>0</v>
      </c>
    </row>
    <row r="1594" spans="23:25">
      <c r="W1594" s="44">
        <f t="shared" si="170"/>
        <v>0</v>
      </c>
      <c r="X1594" s="44">
        <f t="shared" si="171"/>
        <v>0</v>
      </c>
      <c r="Y1594" s="44">
        <f t="shared" si="172"/>
        <v>0</v>
      </c>
    </row>
    <row r="1595" spans="23:25">
      <c r="W1595" s="44">
        <f t="shared" si="170"/>
        <v>0</v>
      </c>
      <c r="X1595" s="44">
        <f t="shared" si="171"/>
        <v>0</v>
      </c>
      <c r="Y1595" s="44">
        <f t="shared" si="172"/>
        <v>0</v>
      </c>
    </row>
    <row r="1596" spans="23:25">
      <c r="W1596" s="44">
        <f t="shared" si="170"/>
        <v>0</v>
      </c>
      <c r="X1596" s="44">
        <f t="shared" si="171"/>
        <v>0</v>
      </c>
      <c r="Y1596" s="44">
        <f t="shared" si="172"/>
        <v>0</v>
      </c>
    </row>
    <row r="1597" spans="23:25">
      <c r="W1597" s="44">
        <f t="shared" si="170"/>
        <v>0</v>
      </c>
      <c r="X1597" s="44">
        <f t="shared" si="171"/>
        <v>0</v>
      </c>
      <c r="Y1597" s="44">
        <f t="shared" si="172"/>
        <v>0</v>
      </c>
    </row>
    <row r="1598" spans="23:25">
      <c r="W1598" s="44">
        <f t="shared" si="170"/>
        <v>0</v>
      </c>
      <c r="X1598" s="44">
        <f t="shared" si="171"/>
        <v>0</v>
      </c>
      <c r="Y1598" s="44">
        <f t="shared" si="172"/>
        <v>0</v>
      </c>
    </row>
    <row r="1599" spans="23:25">
      <c r="W1599" s="44">
        <f t="shared" si="170"/>
        <v>0</v>
      </c>
      <c r="X1599" s="44">
        <f t="shared" si="171"/>
        <v>0</v>
      </c>
      <c r="Y1599" s="44">
        <f t="shared" si="172"/>
        <v>0</v>
      </c>
    </row>
    <row r="1600" spans="23:25">
      <c r="W1600" s="44">
        <f t="shared" si="170"/>
        <v>0</v>
      </c>
      <c r="X1600" s="44">
        <f t="shared" si="171"/>
        <v>0</v>
      </c>
      <c r="Y1600" s="44">
        <f t="shared" si="172"/>
        <v>0</v>
      </c>
    </row>
    <row r="1601" spans="23:25">
      <c r="W1601" s="44">
        <f t="shared" si="170"/>
        <v>0</v>
      </c>
      <c r="X1601" s="44">
        <f t="shared" si="171"/>
        <v>0</v>
      </c>
      <c r="Y1601" s="44">
        <f t="shared" si="172"/>
        <v>0</v>
      </c>
    </row>
    <row r="1602" spans="23:25">
      <c r="W1602" s="44">
        <f t="shared" si="170"/>
        <v>0</v>
      </c>
      <c r="X1602" s="44">
        <f t="shared" si="171"/>
        <v>0</v>
      </c>
      <c r="Y1602" s="44">
        <f t="shared" si="172"/>
        <v>0</v>
      </c>
    </row>
    <row r="1603" spans="23:25">
      <c r="W1603" s="44">
        <f t="shared" si="170"/>
        <v>0</v>
      </c>
      <c r="X1603" s="44">
        <f t="shared" si="171"/>
        <v>0</v>
      </c>
      <c r="Y1603" s="44">
        <f t="shared" si="172"/>
        <v>0</v>
      </c>
    </row>
    <row r="1604" spans="23:25">
      <c r="W1604" s="44">
        <f t="shared" si="170"/>
        <v>0</v>
      </c>
      <c r="X1604" s="44">
        <f t="shared" si="171"/>
        <v>0</v>
      </c>
      <c r="Y1604" s="44">
        <f t="shared" si="172"/>
        <v>0</v>
      </c>
    </row>
    <row r="1605" spans="23:25">
      <c r="W1605" s="44">
        <f t="shared" si="170"/>
        <v>0</v>
      </c>
      <c r="X1605" s="44">
        <f t="shared" si="171"/>
        <v>0</v>
      </c>
      <c r="Y1605" s="44">
        <f t="shared" si="172"/>
        <v>0</v>
      </c>
    </row>
    <row r="1606" spans="23:25">
      <c r="W1606" s="44">
        <f t="shared" si="170"/>
        <v>0</v>
      </c>
      <c r="X1606" s="44">
        <f t="shared" si="171"/>
        <v>0</v>
      </c>
      <c r="Y1606" s="44">
        <f t="shared" si="172"/>
        <v>0</v>
      </c>
    </row>
    <row r="1607" spans="23:25">
      <c r="W1607" s="44">
        <f t="shared" si="170"/>
        <v>0</v>
      </c>
      <c r="X1607" s="44">
        <f t="shared" si="171"/>
        <v>0</v>
      </c>
      <c r="Y1607" s="44">
        <f t="shared" si="172"/>
        <v>0</v>
      </c>
    </row>
    <row r="1608" spans="23:25">
      <c r="W1608" s="44">
        <f t="shared" ref="W1608:W1671" si="173">+O1608-U1608-V1608-Z1608</f>
        <v>0</v>
      </c>
      <c r="X1608" s="44">
        <f t="shared" ref="X1608:X1671" si="174">(+O1608-U1608)*$X$1</f>
        <v>0</v>
      </c>
      <c r="Y1608" s="44">
        <f t="shared" ref="Y1608:Y1671" si="175">+W1608-X1608</f>
        <v>0</v>
      </c>
    </row>
    <row r="1609" spans="23:25">
      <c r="W1609" s="44">
        <f t="shared" si="173"/>
        <v>0</v>
      </c>
      <c r="X1609" s="44">
        <f t="shared" si="174"/>
        <v>0</v>
      </c>
      <c r="Y1609" s="44">
        <f t="shared" si="175"/>
        <v>0</v>
      </c>
    </row>
    <row r="1610" spans="23:25">
      <c r="W1610" s="44">
        <f t="shared" si="173"/>
        <v>0</v>
      </c>
      <c r="X1610" s="44">
        <f t="shared" si="174"/>
        <v>0</v>
      </c>
      <c r="Y1610" s="44">
        <f t="shared" si="175"/>
        <v>0</v>
      </c>
    </row>
    <row r="1611" spans="23:25">
      <c r="W1611" s="44">
        <f t="shared" si="173"/>
        <v>0</v>
      </c>
      <c r="X1611" s="44">
        <f t="shared" si="174"/>
        <v>0</v>
      </c>
      <c r="Y1611" s="44">
        <f t="shared" si="175"/>
        <v>0</v>
      </c>
    </row>
    <row r="1612" spans="23:25">
      <c r="W1612" s="44">
        <f t="shared" si="173"/>
        <v>0</v>
      </c>
      <c r="X1612" s="44">
        <f t="shared" si="174"/>
        <v>0</v>
      </c>
      <c r="Y1612" s="44">
        <f t="shared" si="175"/>
        <v>0</v>
      </c>
    </row>
    <row r="1613" spans="23:25">
      <c r="W1613" s="44">
        <f t="shared" si="173"/>
        <v>0</v>
      </c>
      <c r="X1613" s="44">
        <f t="shared" si="174"/>
        <v>0</v>
      </c>
      <c r="Y1613" s="44">
        <f t="shared" si="175"/>
        <v>0</v>
      </c>
    </row>
    <row r="1614" spans="23:25">
      <c r="W1614" s="44">
        <f t="shared" si="173"/>
        <v>0</v>
      </c>
      <c r="X1614" s="44">
        <f t="shared" si="174"/>
        <v>0</v>
      </c>
      <c r="Y1614" s="44">
        <f t="shared" si="175"/>
        <v>0</v>
      </c>
    </row>
    <row r="1615" spans="23:25">
      <c r="W1615" s="44">
        <f t="shared" si="173"/>
        <v>0</v>
      </c>
      <c r="X1615" s="44">
        <f t="shared" si="174"/>
        <v>0</v>
      </c>
      <c r="Y1615" s="44">
        <f t="shared" si="175"/>
        <v>0</v>
      </c>
    </row>
    <row r="1616" spans="23:25">
      <c r="W1616" s="44">
        <f t="shared" si="173"/>
        <v>0</v>
      </c>
      <c r="X1616" s="44">
        <f t="shared" si="174"/>
        <v>0</v>
      </c>
      <c r="Y1616" s="44">
        <f t="shared" si="175"/>
        <v>0</v>
      </c>
    </row>
    <row r="1617" spans="23:25">
      <c r="W1617" s="44">
        <f t="shared" si="173"/>
        <v>0</v>
      </c>
      <c r="X1617" s="44">
        <f t="shared" si="174"/>
        <v>0</v>
      </c>
      <c r="Y1617" s="44">
        <f t="shared" si="175"/>
        <v>0</v>
      </c>
    </row>
    <row r="1618" spans="23:25">
      <c r="W1618" s="44">
        <f t="shared" si="173"/>
        <v>0</v>
      </c>
      <c r="X1618" s="44">
        <f t="shared" si="174"/>
        <v>0</v>
      </c>
      <c r="Y1618" s="44">
        <f t="shared" si="175"/>
        <v>0</v>
      </c>
    </row>
    <row r="1619" spans="23:25">
      <c r="W1619" s="44">
        <f t="shared" si="173"/>
        <v>0</v>
      </c>
      <c r="X1619" s="44">
        <f t="shared" si="174"/>
        <v>0</v>
      </c>
      <c r="Y1619" s="44">
        <f t="shared" si="175"/>
        <v>0</v>
      </c>
    </row>
    <row r="1620" spans="23:25">
      <c r="W1620" s="44">
        <f t="shared" si="173"/>
        <v>0</v>
      </c>
      <c r="X1620" s="44">
        <f t="shared" si="174"/>
        <v>0</v>
      </c>
      <c r="Y1620" s="44">
        <f t="shared" si="175"/>
        <v>0</v>
      </c>
    </row>
    <row r="1621" spans="23:25">
      <c r="W1621" s="44">
        <f t="shared" si="173"/>
        <v>0</v>
      </c>
      <c r="X1621" s="44">
        <f t="shared" si="174"/>
        <v>0</v>
      </c>
      <c r="Y1621" s="44">
        <f t="shared" si="175"/>
        <v>0</v>
      </c>
    </row>
    <row r="1622" spans="23:25">
      <c r="W1622" s="44">
        <f t="shared" si="173"/>
        <v>0</v>
      </c>
      <c r="X1622" s="44">
        <f t="shared" si="174"/>
        <v>0</v>
      </c>
      <c r="Y1622" s="44">
        <f t="shared" si="175"/>
        <v>0</v>
      </c>
    </row>
    <row r="1623" spans="23:25">
      <c r="W1623" s="44">
        <f t="shared" si="173"/>
        <v>0</v>
      </c>
      <c r="X1623" s="44">
        <f t="shared" si="174"/>
        <v>0</v>
      </c>
      <c r="Y1623" s="44">
        <f t="shared" si="175"/>
        <v>0</v>
      </c>
    </row>
    <row r="1624" spans="23:25">
      <c r="W1624" s="44">
        <f t="shared" si="173"/>
        <v>0</v>
      </c>
      <c r="X1624" s="44">
        <f t="shared" si="174"/>
        <v>0</v>
      </c>
      <c r="Y1624" s="44">
        <f t="shared" si="175"/>
        <v>0</v>
      </c>
    </row>
    <row r="1625" spans="23:25">
      <c r="W1625" s="44">
        <f t="shared" si="173"/>
        <v>0</v>
      </c>
      <c r="X1625" s="44">
        <f t="shared" si="174"/>
        <v>0</v>
      </c>
      <c r="Y1625" s="44">
        <f t="shared" si="175"/>
        <v>0</v>
      </c>
    </row>
    <row r="1626" spans="23:25">
      <c r="W1626" s="44">
        <f t="shared" si="173"/>
        <v>0</v>
      </c>
      <c r="X1626" s="44">
        <f t="shared" si="174"/>
        <v>0</v>
      </c>
      <c r="Y1626" s="44">
        <f t="shared" si="175"/>
        <v>0</v>
      </c>
    </row>
    <row r="1627" spans="23:25">
      <c r="W1627" s="44">
        <f t="shared" si="173"/>
        <v>0</v>
      </c>
      <c r="X1627" s="44">
        <f t="shared" si="174"/>
        <v>0</v>
      </c>
      <c r="Y1627" s="44">
        <f t="shared" si="175"/>
        <v>0</v>
      </c>
    </row>
    <row r="1628" spans="23:25">
      <c r="W1628" s="44">
        <f t="shared" si="173"/>
        <v>0</v>
      </c>
      <c r="X1628" s="44">
        <f t="shared" si="174"/>
        <v>0</v>
      </c>
      <c r="Y1628" s="44">
        <f t="shared" si="175"/>
        <v>0</v>
      </c>
    </row>
    <row r="1629" spans="23:25">
      <c r="W1629" s="44">
        <f t="shared" si="173"/>
        <v>0</v>
      </c>
      <c r="X1629" s="44">
        <f t="shared" si="174"/>
        <v>0</v>
      </c>
      <c r="Y1629" s="44">
        <f t="shared" si="175"/>
        <v>0</v>
      </c>
    </row>
    <row r="1630" spans="23:25">
      <c r="W1630" s="44">
        <f t="shared" si="173"/>
        <v>0</v>
      </c>
      <c r="X1630" s="44">
        <f t="shared" si="174"/>
        <v>0</v>
      </c>
      <c r="Y1630" s="44">
        <f t="shared" si="175"/>
        <v>0</v>
      </c>
    </row>
    <row r="1631" spans="23:25">
      <c r="W1631" s="44">
        <f t="shared" si="173"/>
        <v>0</v>
      </c>
      <c r="X1631" s="44">
        <f t="shared" si="174"/>
        <v>0</v>
      </c>
      <c r="Y1631" s="44">
        <f t="shared" si="175"/>
        <v>0</v>
      </c>
    </row>
    <row r="1632" spans="23:25">
      <c r="W1632" s="44">
        <f t="shared" si="173"/>
        <v>0</v>
      </c>
      <c r="X1632" s="44">
        <f t="shared" si="174"/>
        <v>0</v>
      </c>
      <c r="Y1632" s="44">
        <f t="shared" si="175"/>
        <v>0</v>
      </c>
    </row>
    <row r="1633" spans="23:25">
      <c r="W1633" s="44">
        <f t="shared" si="173"/>
        <v>0</v>
      </c>
      <c r="X1633" s="44">
        <f t="shared" si="174"/>
        <v>0</v>
      </c>
      <c r="Y1633" s="44">
        <f t="shared" si="175"/>
        <v>0</v>
      </c>
    </row>
    <row r="1634" spans="23:25">
      <c r="W1634" s="44">
        <f t="shared" si="173"/>
        <v>0</v>
      </c>
      <c r="X1634" s="44">
        <f t="shared" si="174"/>
        <v>0</v>
      </c>
      <c r="Y1634" s="44">
        <f t="shared" si="175"/>
        <v>0</v>
      </c>
    </row>
    <row r="1635" spans="23:25">
      <c r="W1635" s="44">
        <f t="shared" si="173"/>
        <v>0</v>
      </c>
      <c r="X1635" s="44">
        <f t="shared" si="174"/>
        <v>0</v>
      </c>
      <c r="Y1635" s="44">
        <f t="shared" si="175"/>
        <v>0</v>
      </c>
    </row>
    <row r="1636" spans="23:25">
      <c r="W1636" s="44">
        <f t="shared" si="173"/>
        <v>0</v>
      </c>
      <c r="X1636" s="44">
        <f t="shared" si="174"/>
        <v>0</v>
      </c>
      <c r="Y1636" s="44">
        <f t="shared" si="175"/>
        <v>0</v>
      </c>
    </row>
    <row r="1637" spans="23:25">
      <c r="W1637" s="44">
        <f t="shared" si="173"/>
        <v>0</v>
      </c>
      <c r="X1637" s="44">
        <f t="shared" si="174"/>
        <v>0</v>
      </c>
      <c r="Y1637" s="44">
        <f t="shared" si="175"/>
        <v>0</v>
      </c>
    </row>
    <row r="1638" spans="23:25">
      <c r="W1638" s="44">
        <f t="shared" si="173"/>
        <v>0</v>
      </c>
      <c r="X1638" s="44">
        <f t="shared" si="174"/>
        <v>0</v>
      </c>
      <c r="Y1638" s="44">
        <f t="shared" si="175"/>
        <v>0</v>
      </c>
    </row>
    <row r="1639" spans="23:25">
      <c r="W1639" s="44">
        <f t="shared" si="173"/>
        <v>0</v>
      </c>
      <c r="X1639" s="44">
        <f t="shared" si="174"/>
        <v>0</v>
      </c>
      <c r="Y1639" s="44">
        <f t="shared" si="175"/>
        <v>0</v>
      </c>
    </row>
    <row r="1640" spans="23:25">
      <c r="W1640" s="44">
        <f t="shared" si="173"/>
        <v>0</v>
      </c>
      <c r="X1640" s="44">
        <f t="shared" si="174"/>
        <v>0</v>
      </c>
      <c r="Y1640" s="44">
        <f t="shared" si="175"/>
        <v>0</v>
      </c>
    </row>
    <row r="1641" spans="23:25">
      <c r="W1641" s="44">
        <f t="shared" si="173"/>
        <v>0</v>
      </c>
      <c r="X1641" s="44">
        <f t="shared" si="174"/>
        <v>0</v>
      </c>
      <c r="Y1641" s="44">
        <f t="shared" si="175"/>
        <v>0</v>
      </c>
    </row>
    <row r="1642" spans="23:25">
      <c r="W1642" s="44">
        <f t="shared" si="173"/>
        <v>0</v>
      </c>
      <c r="X1642" s="44">
        <f t="shared" si="174"/>
        <v>0</v>
      </c>
      <c r="Y1642" s="44">
        <f t="shared" si="175"/>
        <v>0</v>
      </c>
    </row>
    <row r="1643" spans="23:25">
      <c r="W1643" s="44">
        <f t="shared" si="173"/>
        <v>0</v>
      </c>
      <c r="X1643" s="44">
        <f t="shared" si="174"/>
        <v>0</v>
      </c>
      <c r="Y1643" s="44">
        <f t="shared" si="175"/>
        <v>0</v>
      </c>
    </row>
    <row r="1644" spans="23:25">
      <c r="W1644" s="44">
        <f t="shared" si="173"/>
        <v>0</v>
      </c>
      <c r="X1644" s="44">
        <f t="shared" si="174"/>
        <v>0</v>
      </c>
      <c r="Y1644" s="44">
        <f t="shared" si="175"/>
        <v>0</v>
      </c>
    </row>
    <row r="1645" spans="23:25">
      <c r="W1645" s="44">
        <f t="shared" si="173"/>
        <v>0</v>
      </c>
      <c r="X1645" s="44">
        <f t="shared" si="174"/>
        <v>0</v>
      </c>
      <c r="Y1645" s="44">
        <f t="shared" si="175"/>
        <v>0</v>
      </c>
    </row>
    <row r="1646" spans="23:25">
      <c r="W1646" s="44">
        <f t="shared" si="173"/>
        <v>0</v>
      </c>
      <c r="X1646" s="44">
        <f t="shared" si="174"/>
        <v>0</v>
      </c>
      <c r="Y1646" s="44">
        <f t="shared" si="175"/>
        <v>0</v>
      </c>
    </row>
    <row r="1647" spans="23:25">
      <c r="W1647" s="44">
        <f t="shared" si="173"/>
        <v>0</v>
      </c>
      <c r="X1647" s="44">
        <f t="shared" si="174"/>
        <v>0</v>
      </c>
      <c r="Y1647" s="44">
        <f t="shared" si="175"/>
        <v>0</v>
      </c>
    </row>
    <row r="1648" spans="23:25">
      <c r="W1648" s="44">
        <f t="shared" si="173"/>
        <v>0</v>
      </c>
      <c r="X1648" s="44">
        <f t="shared" si="174"/>
        <v>0</v>
      </c>
      <c r="Y1648" s="44">
        <f t="shared" si="175"/>
        <v>0</v>
      </c>
    </row>
    <row r="1649" spans="23:25">
      <c r="W1649" s="44">
        <f t="shared" si="173"/>
        <v>0</v>
      </c>
      <c r="X1649" s="44">
        <f t="shared" si="174"/>
        <v>0</v>
      </c>
      <c r="Y1649" s="44">
        <f t="shared" si="175"/>
        <v>0</v>
      </c>
    </row>
    <row r="1650" spans="23:25">
      <c r="W1650" s="44">
        <f t="shared" si="173"/>
        <v>0</v>
      </c>
      <c r="X1650" s="44">
        <f t="shared" si="174"/>
        <v>0</v>
      </c>
      <c r="Y1650" s="44">
        <f t="shared" si="175"/>
        <v>0</v>
      </c>
    </row>
    <row r="1651" spans="23:25">
      <c r="W1651" s="44">
        <f t="shared" si="173"/>
        <v>0</v>
      </c>
      <c r="X1651" s="44">
        <f t="shared" si="174"/>
        <v>0</v>
      </c>
      <c r="Y1651" s="44">
        <f t="shared" si="175"/>
        <v>0</v>
      </c>
    </row>
    <row r="1652" spans="23:25">
      <c r="W1652" s="44">
        <f t="shared" si="173"/>
        <v>0</v>
      </c>
      <c r="X1652" s="44">
        <f t="shared" si="174"/>
        <v>0</v>
      </c>
      <c r="Y1652" s="44">
        <f t="shared" si="175"/>
        <v>0</v>
      </c>
    </row>
    <row r="1653" spans="23:25">
      <c r="W1653" s="44">
        <f t="shared" si="173"/>
        <v>0</v>
      </c>
      <c r="X1653" s="44">
        <f t="shared" si="174"/>
        <v>0</v>
      </c>
      <c r="Y1653" s="44">
        <f t="shared" si="175"/>
        <v>0</v>
      </c>
    </row>
    <row r="1654" spans="23:25">
      <c r="W1654" s="44">
        <f t="shared" si="173"/>
        <v>0</v>
      </c>
      <c r="X1654" s="44">
        <f t="shared" si="174"/>
        <v>0</v>
      </c>
      <c r="Y1654" s="44">
        <f t="shared" si="175"/>
        <v>0</v>
      </c>
    </row>
    <row r="1655" spans="23:25">
      <c r="W1655" s="44">
        <f t="shared" si="173"/>
        <v>0</v>
      </c>
      <c r="X1655" s="44">
        <f t="shared" si="174"/>
        <v>0</v>
      </c>
      <c r="Y1655" s="44">
        <f t="shared" si="175"/>
        <v>0</v>
      </c>
    </row>
    <row r="1656" spans="23:25">
      <c r="W1656" s="44">
        <f t="shared" si="173"/>
        <v>0</v>
      </c>
      <c r="X1656" s="44">
        <f t="shared" si="174"/>
        <v>0</v>
      </c>
      <c r="Y1656" s="44">
        <f t="shared" si="175"/>
        <v>0</v>
      </c>
    </row>
    <row r="1657" spans="23:25">
      <c r="W1657" s="44">
        <f t="shared" si="173"/>
        <v>0</v>
      </c>
      <c r="X1657" s="44">
        <f t="shared" si="174"/>
        <v>0</v>
      </c>
      <c r="Y1657" s="44">
        <f t="shared" si="175"/>
        <v>0</v>
      </c>
    </row>
    <row r="1658" spans="23:25">
      <c r="W1658" s="44">
        <f t="shared" si="173"/>
        <v>0</v>
      </c>
      <c r="X1658" s="44">
        <f t="shared" si="174"/>
        <v>0</v>
      </c>
      <c r="Y1658" s="44">
        <f t="shared" si="175"/>
        <v>0</v>
      </c>
    </row>
    <row r="1659" spans="23:25">
      <c r="W1659" s="44">
        <f t="shared" si="173"/>
        <v>0</v>
      </c>
      <c r="X1659" s="44">
        <f t="shared" si="174"/>
        <v>0</v>
      </c>
      <c r="Y1659" s="44">
        <f t="shared" si="175"/>
        <v>0</v>
      </c>
    </row>
    <row r="1660" spans="23:25">
      <c r="W1660" s="44">
        <f t="shared" si="173"/>
        <v>0</v>
      </c>
      <c r="X1660" s="44">
        <f t="shared" si="174"/>
        <v>0</v>
      </c>
      <c r="Y1660" s="44">
        <f t="shared" si="175"/>
        <v>0</v>
      </c>
    </row>
    <row r="1661" spans="23:25">
      <c r="W1661" s="44">
        <f t="shared" si="173"/>
        <v>0</v>
      </c>
      <c r="X1661" s="44">
        <f t="shared" si="174"/>
        <v>0</v>
      </c>
      <c r="Y1661" s="44">
        <f t="shared" si="175"/>
        <v>0</v>
      </c>
    </row>
    <row r="1662" spans="23:25">
      <c r="W1662" s="44">
        <f t="shared" si="173"/>
        <v>0</v>
      </c>
      <c r="X1662" s="44">
        <f t="shared" si="174"/>
        <v>0</v>
      </c>
      <c r="Y1662" s="44">
        <f t="shared" si="175"/>
        <v>0</v>
      </c>
    </row>
    <row r="1663" spans="23:25">
      <c r="W1663" s="44">
        <f t="shared" si="173"/>
        <v>0</v>
      </c>
      <c r="X1663" s="44">
        <f t="shared" si="174"/>
        <v>0</v>
      </c>
      <c r="Y1663" s="44">
        <f t="shared" si="175"/>
        <v>0</v>
      </c>
    </row>
    <row r="1664" spans="23:25">
      <c r="W1664" s="44">
        <f t="shared" si="173"/>
        <v>0</v>
      </c>
      <c r="X1664" s="44">
        <f t="shared" si="174"/>
        <v>0</v>
      </c>
      <c r="Y1664" s="44">
        <f t="shared" si="175"/>
        <v>0</v>
      </c>
    </row>
    <row r="1665" spans="23:25">
      <c r="W1665" s="44">
        <f t="shared" si="173"/>
        <v>0</v>
      </c>
      <c r="X1665" s="44">
        <f t="shared" si="174"/>
        <v>0</v>
      </c>
      <c r="Y1665" s="44">
        <f t="shared" si="175"/>
        <v>0</v>
      </c>
    </row>
    <row r="1666" spans="23:25">
      <c r="W1666" s="44">
        <f t="shared" si="173"/>
        <v>0</v>
      </c>
      <c r="X1666" s="44">
        <f t="shared" si="174"/>
        <v>0</v>
      </c>
      <c r="Y1666" s="44">
        <f t="shared" si="175"/>
        <v>0</v>
      </c>
    </row>
    <row r="1667" spans="23:25">
      <c r="W1667" s="44">
        <f t="shared" si="173"/>
        <v>0</v>
      </c>
      <c r="X1667" s="44">
        <f t="shared" si="174"/>
        <v>0</v>
      </c>
      <c r="Y1667" s="44">
        <f t="shared" si="175"/>
        <v>0</v>
      </c>
    </row>
    <row r="1668" spans="23:25">
      <c r="W1668" s="44">
        <f t="shared" si="173"/>
        <v>0</v>
      </c>
      <c r="X1668" s="44">
        <f t="shared" si="174"/>
        <v>0</v>
      </c>
      <c r="Y1668" s="44">
        <f t="shared" si="175"/>
        <v>0</v>
      </c>
    </row>
    <row r="1669" spans="23:25">
      <c r="W1669" s="44">
        <f t="shared" si="173"/>
        <v>0</v>
      </c>
      <c r="X1669" s="44">
        <f t="shared" si="174"/>
        <v>0</v>
      </c>
      <c r="Y1669" s="44">
        <f t="shared" si="175"/>
        <v>0</v>
      </c>
    </row>
    <row r="1670" spans="23:25">
      <c r="W1670" s="44">
        <f t="shared" si="173"/>
        <v>0</v>
      </c>
      <c r="X1670" s="44">
        <f t="shared" si="174"/>
        <v>0</v>
      </c>
      <c r="Y1670" s="44">
        <f t="shared" si="175"/>
        <v>0</v>
      </c>
    </row>
    <row r="1671" spans="23:25">
      <c r="W1671" s="44">
        <f t="shared" si="173"/>
        <v>0</v>
      </c>
      <c r="X1671" s="44">
        <f t="shared" si="174"/>
        <v>0</v>
      </c>
      <c r="Y1671" s="44">
        <f t="shared" si="175"/>
        <v>0</v>
      </c>
    </row>
    <row r="1672" spans="23:25">
      <c r="W1672" s="44">
        <f t="shared" ref="W1672:W1735" si="176">+O1672-U1672-V1672-Z1672</f>
        <v>0</v>
      </c>
      <c r="X1672" s="44">
        <f t="shared" ref="X1672:X1735" si="177">(+O1672-U1672)*$X$1</f>
        <v>0</v>
      </c>
      <c r="Y1672" s="44">
        <f t="shared" ref="Y1672:Y1735" si="178">+W1672-X1672</f>
        <v>0</v>
      </c>
    </row>
    <row r="1673" spans="23:25">
      <c r="W1673" s="44">
        <f t="shared" si="176"/>
        <v>0</v>
      </c>
      <c r="X1673" s="44">
        <f t="shared" si="177"/>
        <v>0</v>
      </c>
      <c r="Y1673" s="44">
        <f t="shared" si="178"/>
        <v>0</v>
      </c>
    </row>
    <row r="1674" spans="23:25">
      <c r="W1674" s="44">
        <f t="shared" si="176"/>
        <v>0</v>
      </c>
      <c r="X1674" s="44">
        <f t="shared" si="177"/>
        <v>0</v>
      </c>
      <c r="Y1674" s="44">
        <f t="shared" si="178"/>
        <v>0</v>
      </c>
    </row>
    <row r="1675" spans="23:25">
      <c r="W1675" s="44">
        <f t="shared" si="176"/>
        <v>0</v>
      </c>
      <c r="X1675" s="44">
        <f t="shared" si="177"/>
        <v>0</v>
      </c>
      <c r="Y1675" s="44">
        <f t="shared" si="178"/>
        <v>0</v>
      </c>
    </row>
    <row r="1676" spans="23:25">
      <c r="W1676" s="44">
        <f t="shared" si="176"/>
        <v>0</v>
      </c>
      <c r="X1676" s="44">
        <f t="shared" si="177"/>
        <v>0</v>
      </c>
      <c r="Y1676" s="44">
        <f t="shared" si="178"/>
        <v>0</v>
      </c>
    </row>
    <row r="1677" spans="23:25">
      <c r="W1677" s="44">
        <f t="shared" si="176"/>
        <v>0</v>
      </c>
      <c r="X1677" s="44">
        <f t="shared" si="177"/>
        <v>0</v>
      </c>
      <c r="Y1677" s="44">
        <f t="shared" si="178"/>
        <v>0</v>
      </c>
    </row>
    <row r="1678" spans="23:25">
      <c r="W1678" s="44">
        <f t="shared" si="176"/>
        <v>0</v>
      </c>
      <c r="X1678" s="44">
        <f t="shared" si="177"/>
        <v>0</v>
      </c>
      <c r="Y1678" s="44">
        <f t="shared" si="178"/>
        <v>0</v>
      </c>
    </row>
    <row r="1679" spans="23:25">
      <c r="W1679" s="44">
        <f t="shared" si="176"/>
        <v>0</v>
      </c>
      <c r="X1679" s="44">
        <f t="shared" si="177"/>
        <v>0</v>
      </c>
      <c r="Y1679" s="44">
        <f t="shared" si="178"/>
        <v>0</v>
      </c>
    </row>
    <row r="1680" spans="23:25">
      <c r="W1680" s="44">
        <f t="shared" si="176"/>
        <v>0</v>
      </c>
      <c r="X1680" s="44">
        <f t="shared" si="177"/>
        <v>0</v>
      </c>
      <c r="Y1680" s="44">
        <f t="shared" si="178"/>
        <v>0</v>
      </c>
    </row>
    <row r="1681" spans="23:25">
      <c r="W1681" s="44">
        <f t="shared" si="176"/>
        <v>0</v>
      </c>
      <c r="X1681" s="44">
        <f t="shared" si="177"/>
        <v>0</v>
      </c>
      <c r="Y1681" s="44">
        <f t="shared" si="178"/>
        <v>0</v>
      </c>
    </row>
    <row r="1682" spans="23:25">
      <c r="W1682" s="44">
        <f t="shared" si="176"/>
        <v>0</v>
      </c>
      <c r="X1682" s="44">
        <f t="shared" si="177"/>
        <v>0</v>
      </c>
      <c r="Y1682" s="44">
        <f t="shared" si="178"/>
        <v>0</v>
      </c>
    </row>
    <row r="1683" spans="23:25">
      <c r="W1683" s="44">
        <f t="shared" si="176"/>
        <v>0</v>
      </c>
      <c r="X1683" s="44">
        <f t="shared" si="177"/>
        <v>0</v>
      </c>
      <c r="Y1683" s="44">
        <f t="shared" si="178"/>
        <v>0</v>
      </c>
    </row>
    <row r="1684" spans="23:25">
      <c r="W1684" s="44">
        <f t="shared" si="176"/>
        <v>0</v>
      </c>
      <c r="X1684" s="44">
        <f t="shared" si="177"/>
        <v>0</v>
      </c>
      <c r="Y1684" s="44">
        <f t="shared" si="178"/>
        <v>0</v>
      </c>
    </row>
    <row r="1685" spans="23:25">
      <c r="W1685" s="44">
        <f t="shared" si="176"/>
        <v>0</v>
      </c>
      <c r="X1685" s="44">
        <f t="shared" si="177"/>
        <v>0</v>
      </c>
      <c r="Y1685" s="44">
        <f t="shared" si="178"/>
        <v>0</v>
      </c>
    </row>
    <row r="1686" spans="23:25">
      <c r="W1686" s="44">
        <f t="shared" si="176"/>
        <v>0</v>
      </c>
      <c r="X1686" s="44">
        <f t="shared" si="177"/>
        <v>0</v>
      </c>
      <c r="Y1686" s="44">
        <f t="shared" si="178"/>
        <v>0</v>
      </c>
    </row>
    <row r="1687" spans="23:25">
      <c r="W1687" s="44">
        <f t="shared" si="176"/>
        <v>0</v>
      </c>
      <c r="X1687" s="44">
        <f t="shared" si="177"/>
        <v>0</v>
      </c>
      <c r="Y1687" s="44">
        <f t="shared" si="178"/>
        <v>0</v>
      </c>
    </row>
    <row r="1688" spans="23:25">
      <c r="W1688" s="44">
        <f t="shared" si="176"/>
        <v>0</v>
      </c>
      <c r="X1688" s="44">
        <f t="shared" si="177"/>
        <v>0</v>
      </c>
      <c r="Y1688" s="44">
        <f t="shared" si="178"/>
        <v>0</v>
      </c>
    </row>
    <row r="1689" spans="23:25">
      <c r="W1689" s="44">
        <f t="shared" si="176"/>
        <v>0</v>
      </c>
      <c r="X1689" s="44">
        <f t="shared" si="177"/>
        <v>0</v>
      </c>
      <c r="Y1689" s="44">
        <f t="shared" si="178"/>
        <v>0</v>
      </c>
    </row>
    <row r="1690" spans="23:25">
      <c r="W1690" s="44">
        <f t="shared" si="176"/>
        <v>0</v>
      </c>
      <c r="X1690" s="44">
        <f t="shared" si="177"/>
        <v>0</v>
      </c>
      <c r="Y1690" s="44">
        <f t="shared" si="178"/>
        <v>0</v>
      </c>
    </row>
    <row r="1691" spans="23:25">
      <c r="W1691" s="44">
        <f t="shared" si="176"/>
        <v>0</v>
      </c>
      <c r="X1691" s="44">
        <f t="shared" si="177"/>
        <v>0</v>
      </c>
      <c r="Y1691" s="44">
        <f t="shared" si="178"/>
        <v>0</v>
      </c>
    </row>
    <row r="1692" spans="23:25">
      <c r="W1692" s="44">
        <f t="shared" si="176"/>
        <v>0</v>
      </c>
      <c r="X1692" s="44">
        <f t="shared" si="177"/>
        <v>0</v>
      </c>
      <c r="Y1692" s="44">
        <f t="shared" si="178"/>
        <v>0</v>
      </c>
    </row>
    <row r="1693" spans="23:25">
      <c r="W1693" s="44">
        <f t="shared" si="176"/>
        <v>0</v>
      </c>
      <c r="X1693" s="44">
        <f t="shared" si="177"/>
        <v>0</v>
      </c>
      <c r="Y1693" s="44">
        <f t="shared" si="178"/>
        <v>0</v>
      </c>
    </row>
    <row r="1694" spans="23:25">
      <c r="W1694" s="44">
        <f t="shared" si="176"/>
        <v>0</v>
      </c>
      <c r="X1694" s="44">
        <f t="shared" si="177"/>
        <v>0</v>
      </c>
      <c r="Y1694" s="44">
        <f t="shared" si="178"/>
        <v>0</v>
      </c>
    </row>
    <row r="1695" spans="23:25">
      <c r="W1695" s="44">
        <f t="shared" si="176"/>
        <v>0</v>
      </c>
      <c r="X1695" s="44">
        <f t="shared" si="177"/>
        <v>0</v>
      </c>
      <c r="Y1695" s="44">
        <f t="shared" si="178"/>
        <v>0</v>
      </c>
    </row>
    <row r="1696" spans="23:25">
      <c r="W1696" s="44">
        <f t="shared" si="176"/>
        <v>0</v>
      </c>
      <c r="X1696" s="44">
        <f t="shared" si="177"/>
        <v>0</v>
      </c>
      <c r="Y1696" s="44">
        <f t="shared" si="178"/>
        <v>0</v>
      </c>
    </row>
    <row r="1697" spans="23:25">
      <c r="W1697" s="44">
        <f t="shared" si="176"/>
        <v>0</v>
      </c>
      <c r="X1697" s="44">
        <f t="shared" si="177"/>
        <v>0</v>
      </c>
      <c r="Y1697" s="44">
        <f t="shared" si="178"/>
        <v>0</v>
      </c>
    </row>
    <row r="1698" spans="23:25">
      <c r="W1698" s="44">
        <f t="shared" si="176"/>
        <v>0</v>
      </c>
      <c r="X1698" s="44">
        <f t="shared" si="177"/>
        <v>0</v>
      </c>
      <c r="Y1698" s="44">
        <f t="shared" si="178"/>
        <v>0</v>
      </c>
    </row>
    <row r="1699" spans="23:25">
      <c r="W1699" s="44">
        <f t="shared" si="176"/>
        <v>0</v>
      </c>
      <c r="X1699" s="44">
        <f t="shared" si="177"/>
        <v>0</v>
      </c>
      <c r="Y1699" s="44">
        <f t="shared" si="178"/>
        <v>0</v>
      </c>
    </row>
    <row r="1700" spans="23:25">
      <c r="W1700" s="44">
        <f t="shared" si="176"/>
        <v>0</v>
      </c>
      <c r="X1700" s="44">
        <f t="shared" si="177"/>
        <v>0</v>
      </c>
      <c r="Y1700" s="44">
        <f t="shared" si="178"/>
        <v>0</v>
      </c>
    </row>
    <row r="1701" spans="23:25">
      <c r="W1701" s="44">
        <f t="shared" si="176"/>
        <v>0</v>
      </c>
      <c r="X1701" s="44">
        <f t="shared" si="177"/>
        <v>0</v>
      </c>
      <c r="Y1701" s="44">
        <f t="shared" si="178"/>
        <v>0</v>
      </c>
    </row>
    <row r="1702" spans="23:25">
      <c r="W1702" s="44">
        <f t="shared" si="176"/>
        <v>0</v>
      </c>
      <c r="X1702" s="44">
        <f t="shared" si="177"/>
        <v>0</v>
      </c>
      <c r="Y1702" s="44">
        <f t="shared" si="178"/>
        <v>0</v>
      </c>
    </row>
    <row r="1703" spans="23:25">
      <c r="W1703" s="44">
        <f t="shared" si="176"/>
        <v>0</v>
      </c>
      <c r="X1703" s="44">
        <f t="shared" si="177"/>
        <v>0</v>
      </c>
      <c r="Y1703" s="44">
        <f t="shared" si="178"/>
        <v>0</v>
      </c>
    </row>
    <row r="1704" spans="23:25">
      <c r="W1704" s="44">
        <f t="shared" si="176"/>
        <v>0</v>
      </c>
      <c r="X1704" s="44">
        <f t="shared" si="177"/>
        <v>0</v>
      </c>
      <c r="Y1704" s="44">
        <f t="shared" si="178"/>
        <v>0</v>
      </c>
    </row>
    <row r="1705" spans="23:25">
      <c r="W1705" s="44">
        <f t="shared" si="176"/>
        <v>0</v>
      </c>
      <c r="X1705" s="44">
        <f t="shared" si="177"/>
        <v>0</v>
      </c>
      <c r="Y1705" s="44">
        <f t="shared" si="178"/>
        <v>0</v>
      </c>
    </row>
    <row r="1706" spans="23:25">
      <c r="W1706" s="44">
        <f t="shared" si="176"/>
        <v>0</v>
      </c>
      <c r="X1706" s="44">
        <f t="shared" si="177"/>
        <v>0</v>
      </c>
      <c r="Y1706" s="44">
        <f t="shared" si="178"/>
        <v>0</v>
      </c>
    </row>
    <row r="1707" spans="23:25">
      <c r="W1707" s="44">
        <f t="shared" si="176"/>
        <v>0</v>
      </c>
      <c r="X1707" s="44">
        <f t="shared" si="177"/>
        <v>0</v>
      </c>
      <c r="Y1707" s="44">
        <f t="shared" si="178"/>
        <v>0</v>
      </c>
    </row>
    <row r="1708" spans="23:25">
      <c r="W1708" s="44">
        <f t="shared" si="176"/>
        <v>0</v>
      </c>
      <c r="X1708" s="44">
        <f t="shared" si="177"/>
        <v>0</v>
      </c>
      <c r="Y1708" s="44">
        <f t="shared" si="178"/>
        <v>0</v>
      </c>
    </row>
    <row r="1709" spans="23:25">
      <c r="W1709" s="44">
        <f t="shared" si="176"/>
        <v>0</v>
      </c>
      <c r="X1709" s="44">
        <f t="shared" si="177"/>
        <v>0</v>
      </c>
      <c r="Y1709" s="44">
        <f t="shared" si="178"/>
        <v>0</v>
      </c>
    </row>
    <row r="1710" spans="23:25">
      <c r="W1710" s="44">
        <f t="shared" si="176"/>
        <v>0</v>
      </c>
      <c r="X1710" s="44">
        <f t="shared" si="177"/>
        <v>0</v>
      </c>
      <c r="Y1710" s="44">
        <f t="shared" si="178"/>
        <v>0</v>
      </c>
    </row>
    <row r="1711" spans="23:25">
      <c r="W1711" s="44">
        <f t="shared" si="176"/>
        <v>0</v>
      </c>
      <c r="X1711" s="44">
        <f t="shared" si="177"/>
        <v>0</v>
      </c>
      <c r="Y1711" s="44">
        <f t="shared" si="178"/>
        <v>0</v>
      </c>
    </row>
    <row r="1712" spans="23:25">
      <c r="W1712" s="44">
        <f t="shared" si="176"/>
        <v>0</v>
      </c>
      <c r="X1712" s="44">
        <f t="shared" si="177"/>
        <v>0</v>
      </c>
      <c r="Y1712" s="44">
        <f t="shared" si="178"/>
        <v>0</v>
      </c>
    </row>
    <row r="1713" spans="23:25">
      <c r="W1713" s="44">
        <f t="shared" si="176"/>
        <v>0</v>
      </c>
      <c r="X1713" s="44">
        <f t="shared" si="177"/>
        <v>0</v>
      </c>
      <c r="Y1713" s="44">
        <f t="shared" si="178"/>
        <v>0</v>
      </c>
    </row>
    <row r="1714" spans="23:25">
      <c r="W1714" s="44">
        <f t="shared" si="176"/>
        <v>0</v>
      </c>
      <c r="X1714" s="44">
        <f t="shared" si="177"/>
        <v>0</v>
      </c>
      <c r="Y1714" s="44">
        <f t="shared" si="178"/>
        <v>0</v>
      </c>
    </row>
    <row r="1715" spans="23:25">
      <c r="W1715" s="44">
        <f t="shared" si="176"/>
        <v>0</v>
      </c>
      <c r="X1715" s="44">
        <f t="shared" si="177"/>
        <v>0</v>
      </c>
      <c r="Y1715" s="44">
        <f t="shared" si="178"/>
        <v>0</v>
      </c>
    </row>
    <row r="1716" spans="23:25">
      <c r="W1716" s="44">
        <f t="shared" si="176"/>
        <v>0</v>
      </c>
      <c r="X1716" s="44">
        <f t="shared" si="177"/>
        <v>0</v>
      </c>
      <c r="Y1716" s="44">
        <f t="shared" si="178"/>
        <v>0</v>
      </c>
    </row>
    <row r="1717" spans="23:25">
      <c r="W1717" s="44">
        <f t="shared" si="176"/>
        <v>0</v>
      </c>
      <c r="X1717" s="44">
        <f t="shared" si="177"/>
        <v>0</v>
      </c>
      <c r="Y1717" s="44">
        <f t="shared" si="178"/>
        <v>0</v>
      </c>
    </row>
    <row r="1718" spans="23:25">
      <c r="W1718" s="44">
        <f t="shared" si="176"/>
        <v>0</v>
      </c>
      <c r="X1718" s="44">
        <f t="shared" si="177"/>
        <v>0</v>
      </c>
      <c r="Y1718" s="44">
        <f t="shared" si="178"/>
        <v>0</v>
      </c>
    </row>
    <row r="1719" spans="23:25">
      <c r="W1719" s="44">
        <f t="shared" si="176"/>
        <v>0</v>
      </c>
      <c r="X1719" s="44">
        <f t="shared" si="177"/>
        <v>0</v>
      </c>
      <c r="Y1719" s="44">
        <f t="shared" si="178"/>
        <v>0</v>
      </c>
    </row>
    <row r="1720" spans="23:25">
      <c r="W1720" s="44">
        <f t="shared" si="176"/>
        <v>0</v>
      </c>
      <c r="X1720" s="44">
        <f t="shared" si="177"/>
        <v>0</v>
      </c>
      <c r="Y1720" s="44">
        <f t="shared" si="178"/>
        <v>0</v>
      </c>
    </row>
    <row r="1721" spans="23:25">
      <c r="W1721" s="44">
        <f t="shared" si="176"/>
        <v>0</v>
      </c>
      <c r="X1721" s="44">
        <f t="shared" si="177"/>
        <v>0</v>
      </c>
      <c r="Y1721" s="44">
        <f t="shared" si="178"/>
        <v>0</v>
      </c>
    </row>
    <row r="1722" spans="23:25">
      <c r="W1722" s="44">
        <f t="shared" si="176"/>
        <v>0</v>
      </c>
      <c r="X1722" s="44">
        <f t="shared" si="177"/>
        <v>0</v>
      </c>
      <c r="Y1722" s="44">
        <f t="shared" si="178"/>
        <v>0</v>
      </c>
    </row>
    <row r="1723" spans="23:25">
      <c r="W1723" s="44">
        <f t="shared" si="176"/>
        <v>0</v>
      </c>
      <c r="X1723" s="44">
        <f t="shared" si="177"/>
        <v>0</v>
      </c>
      <c r="Y1723" s="44">
        <f t="shared" si="178"/>
        <v>0</v>
      </c>
    </row>
    <row r="1724" spans="23:25">
      <c r="W1724" s="44">
        <f t="shared" si="176"/>
        <v>0</v>
      </c>
      <c r="X1724" s="44">
        <f t="shared" si="177"/>
        <v>0</v>
      </c>
      <c r="Y1724" s="44">
        <f t="shared" si="178"/>
        <v>0</v>
      </c>
    </row>
    <row r="1725" spans="23:25">
      <c r="W1725" s="44">
        <f t="shared" si="176"/>
        <v>0</v>
      </c>
      <c r="X1725" s="44">
        <f t="shared" si="177"/>
        <v>0</v>
      </c>
      <c r="Y1725" s="44">
        <f t="shared" si="178"/>
        <v>0</v>
      </c>
    </row>
    <row r="1726" spans="23:25">
      <c r="W1726" s="44">
        <f t="shared" si="176"/>
        <v>0</v>
      </c>
      <c r="X1726" s="44">
        <f t="shared" si="177"/>
        <v>0</v>
      </c>
      <c r="Y1726" s="44">
        <f t="shared" si="178"/>
        <v>0</v>
      </c>
    </row>
    <row r="1727" spans="23:25">
      <c r="W1727" s="44">
        <f t="shared" si="176"/>
        <v>0</v>
      </c>
      <c r="X1727" s="44">
        <f t="shared" si="177"/>
        <v>0</v>
      </c>
      <c r="Y1727" s="44">
        <f t="shared" si="178"/>
        <v>0</v>
      </c>
    </row>
    <row r="1728" spans="23:25">
      <c r="W1728" s="44">
        <f t="shared" si="176"/>
        <v>0</v>
      </c>
      <c r="X1728" s="44">
        <f t="shared" si="177"/>
        <v>0</v>
      </c>
      <c r="Y1728" s="44">
        <f t="shared" si="178"/>
        <v>0</v>
      </c>
    </row>
    <row r="1729" spans="23:25">
      <c r="W1729" s="44">
        <f t="shared" si="176"/>
        <v>0</v>
      </c>
      <c r="X1729" s="44">
        <f t="shared" si="177"/>
        <v>0</v>
      </c>
      <c r="Y1729" s="44">
        <f t="shared" si="178"/>
        <v>0</v>
      </c>
    </row>
    <row r="1730" spans="23:25">
      <c r="W1730" s="44">
        <f t="shared" si="176"/>
        <v>0</v>
      </c>
      <c r="X1730" s="44">
        <f t="shared" si="177"/>
        <v>0</v>
      </c>
      <c r="Y1730" s="44">
        <f t="shared" si="178"/>
        <v>0</v>
      </c>
    </row>
    <row r="1731" spans="23:25">
      <c r="W1731" s="44">
        <f t="shared" si="176"/>
        <v>0</v>
      </c>
      <c r="X1731" s="44">
        <f t="shared" si="177"/>
        <v>0</v>
      </c>
      <c r="Y1731" s="44">
        <f t="shared" si="178"/>
        <v>0</v>
      </c>
    </row>
    <row r="1732" spans="23:25">
      <c r="W1732" s="44">
        <f t="shared" si="176"/>
        <v>0</v>
      </c>
      <c r="X1732" s="44">
        <f t="shared" si="177"/>
        <v>0</v>
      </c>
      <c r="Y1732" s="44">
        <f t="shared" si="178"/>
        <v>0</v>
      </c>
    </row>
    <row r="1733" spans="23:25">
      <c r="W1733" s="44">
        <f t="shared" si="176"/>
        <v>0</v>
      </c>
      <c r="X1733" s="44">
        <f t="shared" si="177"/>
        <v>0</v>
      </c>
      <c r="Y1733" s="44">
        <f t="shared" si="178"/>
        <v>0</v>
      </c>
    </row>
    <row r="1734" spans="23:25">
      <c r="W1734" s="44">
        <f t="shared" si="176"/>
        <v>0</v>
      </c>
      <c r="X1734" s="44">
        <f t="shared" si="177"/>
        <v>0</v>
      </c>
      <c r="Y1734" s="44">
        <f t="shared" si="178"/>
        <v>0</v>
      </c>
    </row>
    <row r="1735" spans="23:25">
      <c r="W1735" s="44">
        <f t="shared" si="176"/>
        <v>0</v>
      </c>
      <c r="X1735" s="44">
        <f t="shared" si="177"/>
        <v>0</v>
      </c>
      <c r="Y1735" s="44">
        <f t="shared" si="178"/>
        <v>0</v>
      </c>
    </row>
    <row r="1736" spans="23:25">
      <c r="W1736" s="44">
        <f t="shared" ref="W1736:W1799" si="179">+O1736-U1736-V1736-Z1736</f>
        <v>0</v>
      </c>
      <c r="X1736" s="44">
        <f t="shared" ref="X1736:X1799" si="180">(+O1736-U1736)*$X$1</f>
        <v>0</v>
      </c>
      <c r="Y1736" s="44">
        <f t="shared" ref="Y1736:Y1799" si="181">+W1736-X1736</f>
        <v>0</v>
      </c>
    </row>
    <row r="1737" spans="23:25">
      <c r="W1737" s="44">
        <f t="shared" si="179"/>
        <v>0</v>
      </c>
      <c r="X1737" s="44">
        <f t="shared" si="180"/>
        <v>0</v>
      </c>
      <c r="Y1737" s="44">
        <f t="shared" si="181"/>
        <v>0</v>
      </c>
    </row>
    <row r="1738" spans="23:25">
      <c r="W1738" s="44">
        <f t="shared" si="179"/>
        <v>0</v>
      </c>
      <c r="X1738" s="44">
        <f t="shared" si="180"/>
        <v>0</v>
      </c>
      <c r="Y1738" s="44">
        <f t="shared" si="181"/>
        <v>0</v>
      </c>
    </row>
    <row r="1739" spans="23:25">
      <c r="W1739" s="44">
        <f t="shared" si="179"/>
        <v>0</v>
      </c>
      <c r="X1739" s="44">
        <f t="shared" si="180"/>
        <v>0</v>
      </c>
      <c r="Y1739" s="44">
        <f t="shared" si="181"/>
        <v>0</v>
      </c>
    </row>
    <row r="1740" spans="23:25">
      <c r="W1740" s="44">
        <f t="shared" si="179"/>
        <v>0</v>
      </c>
      <c r="X1740" s="44">
        <f t="shared" si="180"/>
        <v>0</v>
      </c>
      <c r="Y1740" s="44">
        <f t="shared" si="181"/>
        <v>0</v>
      </c>
    </row>
    <row r="1741" spans="23:25">
      <c r="W1741" s="44">
        <f t="shared" si="179"/>
        <v>0</v>
      </c>
      <c r="X1741" s="44">
        <f t="shared" si="180"/>
        <v>0</v>
      </c>
      <c r="Y1741" s="44">
        <f t="shared" si="181"/>
        <v>0</v>
      </c>
    </row>
    <row r="1742" spans="23:25">
      <c r="W1742" s="44">
        <f t="shared" si="179"/>
        <v>0</v>
      </c>
      <c r="X1742" s="44">
        <f t="shared" si="180"/>
        <v>0</v>
      </c>
      <c r="Y1742" s="44">
        <f t="shared" si="181"/>
        <v>0</v>
      </c>
    </row>
    <row r="1743" spans="23:25">
      <c r="W1743" s="44">
        <f t="shared" si="179"/>
        <v>0</v>
      </c>
      <c r="X1743" s="44">
        <f t="shared" si="180"/>
        <v>0</v>
      </c>
      <c r="Y1743" s="44">
        <f t="shared" si="181"/>
        <v>0</v>
      </c>
    </row>
    <row r="1744" spans="23:25">
      <c r="W1744" s="44">
        <f t="shared" si="179"/>
        <v>0</v>
      </c>
      <c r="X1744" s="44">
        <f t="shared" si="180"/>
        <v>0</v>
      </c>
      <c r="Y1744" s="44">
        <f t="shared" si="181"/>
        <v>0</v>
      </c>
    </row>
    <row r="1745" spans="23:25">
      <c r="W1745" s="44">
        <f t="shared" si="179"/>
        <v>0</v>
      </c>
      <c r="X1745" s="44">
        <f t="shared" si="180"/>
        <v>0</v>
      </c>
      <c r="Y1745" s="44">
        <f t="shared" si="181"/>
        <v>0</v>
      </c>
    </row>
    <row r="1746" spans="23:25">
      <c r="W1746" s="44">
        <f t="shared" si="179"/>
        <v>0</v>
      </c>
      <c r="X1746" s="44">
        <f t="shared" si="180"/>
        <v>0</v>
      </c>
      <c r="Y1746" s="44">
        <f t="shared" si="181"/>
        <v>0</v>
      </c>
    </row>
    <row r="1747" spans="23:25">
      <c r="W1747" s="44">
        <f t="shared" si="179"/>
        <v>0</v>
      </c>
      <c r="X1747" s="44">
        <f t="shared" si="180"/>
        <v>0</v>
      </c>
      <c r="Y1747" s="44">
        <f t="shared" si="181"/>
        <v>0</v>
      </c>
    </row>
    <row r="1748" spans="23:25">
      <c r="W1748" s="44">
        <f t="shared" si="179"/>
        <v>0</v>
      </c>
      <c r="X1748" s="44">
        <f t="shared" si="180"/>
        <v>0</v>
      </c>
      <c r="Y1748" s="44">
        <f t="shared" si="181"/>
        <v>0</v>
      </c>
    </row>
    <row r="1749" spans="23:25">
      <c r="W1749" s="44">
        <f t="shared" si="179"/>
        <v>0</v>
      </c>
      <c r="X1749" s="44">
        <f t="shared" si="180"/>
        <v>0</v>
      </c>
      <c r="Y1749" s="44">
        <f t="shared" si="181"/>
        <v>0</v>
      </c>
    </row>
    <row r="1750" spans="23:25">
      <c r="W1750" s="44">
        <f t="shared" si="179"/>
        <v>0</v>
      </c>
      <c r="X1750" s="44">
        <f t="shared" si="180"/>
        <v>0</v>
      </c>
      <c r="Y1750" s="44">
        <f t="shared" si="181"/>
        <v>0</v>
      </c>
    </row>
    <row r="1751" spans="23:25">
      <c r="W1751" s="44">
        <f t="shared" si="179"/>
        <v>0</v>
      </c>
      <c r="X1751" s="44">
        <f t="shared" si="180"/>
        <v>0</v>
      </c>
      <c r="Y1751" s="44">
        <f t="shared" si="181"/>
        <v>0</v>
      </c>
    </row>
    <row r="1752" spans="23:25">
      <c r="W1752" s="44">
        <f t="shared" si="179"/>
        <v>0</v>
      </c>
      <c r="X1752" s="44">
        <f t="shared" si="180"/>
        <v>0</v>
      </c>
      <c r="Y1752" s="44">
        <f t="shared" si="181"/>
        <v>0</v>
      </c>
    </row>
    <row r="1753" spans="23:25">
      <c r="W1753" s="44">
        <f t="shared" si="179"/>
        <v>0</v>
      </c>
      <c r="X1753" s="44">
        <f t="shared" si="180"/>
        <v>0</v>
      </c>
      <c r="Y1753" s="44">
        <f t="shared" si="181"/>
        <v>0</v>
      </c>
    </row>
    <row r="1754" spans="23:25">
      <c r="W1754" s="44">
        <f t="shared" si="179"/>
        <v>0</v>
      </c>
      <c r="X1754" s="44">
        <f t="shared" si="180"/>
        <v>0</v>
      </c>
      <c r="Y1754" s="44">
        <f t="shared" si="181"/>
        <v>0</v>
      </c>
    </row>
    <row r="1755" spans="23:25">
      <c r="W1755" s="44">
        <f t="shared" si="179"/>
        <v>0</v>
      </c>
      <c r="X1755" s="44">
        <f t="shared" si="180"/>
        <v>0</v>
      </c>
      <c r="Y1755" s="44">
        <f t="shared" si="181"/>
        <v>0</v>
      </c>
    </row>
    <row r="1756" spans="23:25">
      <c r="W1756" s="44">
        <f t="shared" si="179"/>
        <v>0</v>
      </c>
      <c r="X1756" s="44">
        <f t="shared" si="180"/>
        <v>0</v>
      </c>
      <c r="Y1756" s="44">
        <f t="shared" si="181"/>
        <v>0</v>
      </c>
    </row>
    <row r="1757" spans="23:25">
      <c r="W1757" s="44">
        <f t="shared" si="179"/>
        <v>0</v>
      </c>
      <c r="X1757" s="44">
        <f t="shared" si="180"/>
        <v>0</v>
      </c>
      <c r="Y1757" s="44">
        <f t="shared" si="181"/>
        <v>0</v>
      </c>
    </row>
    <row r="1758" spans="23:25">
      <c r="W1758" s="44">
        <f t="shared" si="179"/>
        <v>0</v>
      </c>
      <c r="X1758" s="44">
        <f t="shared" si="180"/>
        <v>0</v>
      </c>
      <c r="Y1758" s="44">
        <f t="shared" si="181"/>
        <v>0</v>
      </c>
    </row>
    <row r="1759" spans="23:25">
      <c r="W1759" s="44">
        <f t="shared" si="179"/>
        <v>0</v>
      </c>
      <c r="X1759" s="44">
        <f t="shared" si="180"/>
        <v>0</v>
      </c>
      <c r="Y1759" s="44">
        <f t="shared" si="181"/>
        <v>0</v>
      </c>
    </row>
    <row r="1760" spans="23:25">
      <c r="W1760" s="44">
        <f t="shared" si="179"/>
        <v>0</v>
      </c>
      <c r="X1760" s="44">
        <f t="shared" si="180"/>
        <v>0</v>
      </c>
      <c r="Y1760" s="44">
        <f t="shared" si="181"/>
        <v>0</v>
      </c>
    </row>
    <row r="1761" spans="23:25">
      <c r="W1761" s="44">
        <f t="shared" si="179"/>
        <v>0</v>
      </c>
      <c r="X1761" s="44">
        <f t="shared" si="180"/>
        <v>0</v>
      </c>
      <c r="Y1761" s="44">
        <f t="shared" si="181"/>
        <v>0</v>
      </c>
    </row>
    <row r="1762" spans="23:25">
      <c r="W1762" s="44">
        <f t="shared" si="179"/>
        <v>0</v>
      </c>
      <c r="X1762" s="44">
        <f t="shared" si="180"/>
        <v>0</v>
      </c>
      <c r="Y1762" s="44">
        <f t="shared" si="181"/>
        <v>0</v>
      </c>
    </row>
    <row r="1763" spans="23:25">
      <c r="W1763" s="44">
        <f t="shared" si="179"/>
        <v>0</v>
      </c>
      <c r="X1763" s="44">
        <f t="shared" si="180"/>
        <v>0</v>
      </c>
      <c r="Y1763" s="44">
        <f t="shared" si="181"/>
        <v>0</v>
      </c>
    </row>
    <row r="1764" spans="23:25">
      <c r="W1764" s="44">
        <f t="shared" si="179"/>
        <v>0</v>
      </c>
      <c r="X1764" s="44">
        <f t="shared" si="180"/>
        <v>0</v>
      </c>
      <c r="Y1764" s="44">
        <f t="shared" si="181"/>
        <v>0</v>
      </c>
    </row>
    <row r="1765" spans="23:25">
      <c r="W1765" s="44">
        <f t="shared" si="179"/>
        <v>0</v>
      </c>
      <c r="X1765" s="44">
        <f t="shared" si="180"/>
        <v>0</v>
      </c>
      <c r="Y1765" s="44">
        <f t="shared" si="181"/>
        <v>0</v>
      </c>
    </row>
    <row r="1766" spans="23:25">
      <c r="W1766" s="44">
        <f t="shared" si="179"/>
        <v>0</v>
      </c>
      <c r="X1766" s="44">
        <f t="shared" si="180"/>
        <v>0</v>
      </c>
      <c r="Y1766" s="44">
        <f t="shared" si="181"/>
        <v>0</v>
      </c>
    </row>
    <row r="1767" spans="23:25">
      <c r="W1767" s="44">
        <f t="shared" si="179"/>
        <v>0</v>
      </c>
      <c r="X1767" s="44">
        <f t="shared" si="180"/>
        <v>0</v>
      </c>
      <c r="Y1767" s="44">
        <f t="shared" si="181"/>
        <v>0</v>
      </c>
    </row>
    <row r="1768" spans="23:25">
      <c r="W1768" s="44">
        <f t="shared" si="179"/>
        <v>0</v>
      </c>
      <c r="X1768" s="44">
        <f t="shared" si="180"/>
        <v>0</v>
      </c>
      <c r="Y1768" s="44">
        <f t="shared" si="181"/>
        <v>0</v>
      </c>
    </row>
    <row r="1769" spans="23:25">
      <c r="W1769" s="44">
        <f t="shared" si="179"/>
        <v>0</v>
      </c>
      <c r="X1769" s="44">
        <f t="shared" si="180"/>
        <v>0</v>
      </c>
      <c r="Y1769" s="44">
        <f t="shared" si="181"/>
        <v>0</v>
      </c>
    </row>
    <row r="1770" spans="23:25">
      <c r="W1770" s="44">
        <f t="shared" si="179"/>
        <v>0</v>
      </c>
      <c r="X1770" s="44">
        <f t="shared" si="180"/>
        <v>0</v>
      </c>
      <c r="Y1770" s="44">
        <f t="shared" si="181"/>
        <v>0</v>
      </c>
    </row>
    <row r="1771" spans="23:25">
      <c r="W1771" s="44">
        <f t="shared" si="179"/>
        <v>0</v>
      </c>
      <c r="X1771" s="44">
        <f t="shared" si="180"/>
        <v>0</v>
      </c>
      <c r="Y1771" s="44">
        <f t="shared" si="181"/>
        <v>0</v>
      </c>
    </row>
    <row r="1772" spans="23:25">
      <c r="W1772" s="44">
        <f t="shared" si="179"/>
        <v>0</v>
      </c>
      <c r="X1772" s="44">
        <f t="shared" si="180"/>
        <v>0</v>
      </c>
      <c r="Y1772" s="44">
        <f t="shared" si="181"/>
        <v>0</v>
      </c>
    </row>
    <row r="1773" spans="23:25">
      <c r="W1773" s="44">
        <f t="shared" si="179"/>
        <v>0</v>
      </c>
      <c r="X1773" s="44">
        <f t="shared" si="180"/>
        <v>0</v>
      </c>
      <c r="Y1773" s="44">
        <f t="shared" si="181"/>
        <v>0</v>
      </c>
    </row>
    <row r="1774" spans="23:25">
      <c r="W1774" s="44">
        <f t="shared" si="179"/>
        <v>0</v>
      </c>
      <c r="X1774" s="44">
        <f t="shared" si="180"/>
        <v>0</v>
      </c>
      <c r="Y1774" s="44">
        <f t="shared" si="181"/>
        <v>0</v>
      </c>
    </row>
    <row r="1775" spans="23:25">
      <c r="W1775" s="44">
        <f t="shared" si="179"/>
        <v>0</v>
      </c>
      <c r="X1775" s="44">
        <f t="shared" si="180"/>
        <v>0</v>
      </c>
      <c r="Y1775" s="44">
        <f t="shared" si="181"/>
        <v>0</v>
      </c>
    </row>
    <row r="1776" spans="23:25">
      <c r="W1776" s="44">
        <f t="shared" si="179"/>
        <v>0</v>
      </c>
      <c r="X1776" s="44">
        <f t="shared" si="180"/>
        <v>0</v>
      </c>
      <c r="Y1776" s="44">
        <f t="shared" si="181"/>
        <v>0</v>
      </c>
    </row>
    <row r="1777" spans="23:25">
      <c r="W1777" s="44">
        <f t="shared" si="179"/>
        <v>0</v>
      </c>
      <c r="X1777" s="44">
        <f t="shared" si="180"/>
        <v>0</v>
      </c>
      <c r="Y1777" s="44">
        <f t="shared" si="181"/>
        <v>0</v>
      </c>
    </row>
    <row r="1778" spans="23:25">
      <c r="W1778" s="44">
        <f t="shared" si="179"/>
        <v>0</v>
      </c>
      <c r="X1778" s="44">
        <f t="shared" si="180"/>
        <v>0</v>
      </c>
      <c r="Y1778" s="44">
        <f t="shared" si="181"/>
        <v>0</v>
      </c>
    </row>
    <row r="1779" spans="23:25">
      <c r="W1779" s="44">
        <f t="shared" si="179"/>
        <v>0</v>
      </c>
      <c r="X1779" s="44">
        <f t="shared" si="180"/>
        <v>0</v>
      </c>
      <c r="Y1779" s="44">
        <f t="shared" si="181"/>
        <v>0</v>
      </c>
    </row>
    <row r="1780" spans="23:25">
      <c r="W1780" s="44">
        <f t="shared" si="179"/>
        <v>0</v>
      </c>
      <c r="X1780" s="44">
        <f t="shared" si="180"/>
        <v>0</v>
      </c>
      <c r="Y1780" s="44">
        <f t="shared" si="181"/>
        <v>0</v>
      </c>
    </row>
    <row r="1781" spans="23:25">
      <c r="W1781" s="44">
        <f t="shared" si="179"/>
        <v>0</v>
      </c>
      <c r="X1781" s="44">
        <f t="shared" si="180"/>
        <v>0</v>
      </c>
      <c r="Y1781" s="44">
        <f t="shared" si="181"/>
        <v>0</v>
      </c>
    </row>
    <row r="1782" spans="23:25">
      <c r="W1782" s="44">
        <f t="shared" si="179"/>
        <v>0</v>
      </c>
      <c r="X1782" s="44">
        <f t="shared" si="180"/>
        <v>0</v>
      </c>
      <c r="Y1782" s="44">
        <f t="shared" si="181"/>
        <v>0</v>
      </c>
    </row>
    <row r="1783" spans="23:25">
      <c r="W1783" s="44">
        <f t="shared" si="179"/>
        <v>0</v>
      </c>
      <c r="X1783" s="44">
        <f t="shared" si="180"/>
        <v>0</v>
      </c>
      <c r="Y1783" s="44">
        <f t="shared" si="181"/>
        <v>0</v>
      </c>
    </row>
    <row r="1784" spans="23:25">
      <c r="W1784" s="44">
        <f t="shared" si="179"/>
        <v>0</v>
      </c>
      <c r="X1784" s="44">
        <f t="shared" si="180"/>
        <v>0</v>
      </c>
      <c r="Y1784" s="44">
        <f t="shared" si="181"/>
        <v>0</v>
      </c>
    </row>
    <row r="1785" spans="23:25">
      <c r="W1785" s="44">
        <f t="shared" si="179"/>
        <v>0</v>
      </c>
      <c r="X1785" s="44">
        <f t="shared" si="180"/>
        <v>0</v>
      </c>
      <c r="Y1785" s="44">
        <f t="shared" si="181"/>
        <v>0</v>
      </c>
    </row>
    <row r="1786" spans="23:25">
      <c r="W1786" s="44">
        <f t="shared" si="179"/>
        <v>0</v>
      </c>
      <c r="X1786" s="44">
        <f t="shared" si="180"/>
        <v>0</v>
      </c>
      <c r="Y1786" s="44">
        <f t="shared" si="181"/>
        <v>0</v>
      </c>
    </row>
    <row r="1787" spans="23:25">
      <c r="W1787" s="44">
        <f t="shared" si="179"/>
        <v>0</v>
      </c>
      <c r="X1787" s="44">
        <f t="shared" si="180"/>
        <v>0</v>
      </c>
      <c r="Y1787" s="44">
        <f t="shared" si="181"/>
        <v>0</v>
      </c>
    </row>
    <row r="1788" spans="23:25">
      <c r="W1788" s="44">
        <f t="shared" si="179"/>
        <v>0</v>
      </c>
      <c r="X1788" s="44">
        <f t="shared" si="180"/>
        <v>0</v>
      </c>
      <c r="Y1788" s="44">
        <f t="shared" si="181"/>
        <v>0</v>
      </c>
    </row>
    <row r="1789" spans="23:25">
      <c r="W1789" s="44">
        <f t="shared" si="179"/>
        <v>0</v>
      </c>
      <c r="X1789" s="44">
        <f t="shared" si="180"/>
        <v>0</v>
      </c>
      <c r="Y1789" s="44">
        <f t="shared" si="181"/>
        <v>0</v>
      </c>
    </row>
    <row r="1790" spans="23:25">
      <c r="W1790" s="44">
        <f t="shared" si="179"/>
        <v>0</v>
      </c>
      <c r="X1790" s="44">
        <f t="shared" si="180"/>
        <v>0</v>
      </c>
      <c r="Y1790" s="44">
        <f t="shared" si="181"/>
        <v>0</v>
      </c>
    </row>
    <row r="1791" spans="23:25">
      <c r="W1791" s="44">
        <f t="shared" si="179"/>
        <v>0</v>
      </c>
      <c r="X1791" s="44">
        <f t="shared" si="180"/>
        <v>0</v>
      </c>
      <c r="Y1791" s="44">
        <f t="shared" si="181"/>
        <v>0</v>
      </c>
    </row>
    <row r="1792" spans="23:25">
      <c r="W1792" s="44">
        <f t="shared" si="179"/>
        <v>0</v>
      </c>
      <c r="X1792" s="44">
        <f t="shared" si="180"/>
        <v>0</v>
      </c>
      <c r="Y1792" s="44">
        <f t="shared" si="181"/>
        <v>0</v>
      </c>
    </row>
    <row r="1793" spans="23:25">
      <c r="W1793" s="44">
        <f t="shared" si="179"/>
        <v>0</v>
      </c>
      <c r="X1793" s="44">
        <f t="shared" si="180"/>
        <v>0</v>
      </c>
      <c r="Y1793" s="44">
        <f t="shared" si="181"/>
        <v>0</v>
      </c>
    </row>
    <row r="1794" spans="23:25">
      <c r="W1794" s="44">
        <f t="shared" si="179"/>
        <v>0</v>
      </c>
      <c r="X1794" s="44">
        <f t="shared" si="180"/>
        <v>0</v>
      </c>
      <c r="Y1794" s="44">
        <f t="shared" si="181"/>
        <v>0</v>
      </c>
    </row>
    <row r="1795" spans="23:25">
      <c r="W1795" s="44">
        <f t="shared" si="179"/>
        <v>0</v>
      </c>
      <c r="X1795" s="44">
        <f t="shared" si="180"/>
        <v>0</v>
      </c>
      <c r="Y1795" s="44">
        <f t="shared" si="181"/>
        <v>0</v>
      </c>
    </row>
    <row r="1796" spans="23:25">
      <c r="W1796" s="44">
        <f t="shared" si="179"/>
        <v>0</v>
      </c>
      <c r="X1796" s="44">
        <f t="shared" si="180"/>
        <v>0</v>
      </c>
      <c r="Y1796" s="44">
        <f t="shared" si="181"/>
        <v>0</v>
      </c>
    </row>
    <row r="1797" spans="23:25">
      <c r="W1797" s="44">
        <f t="shared" si="179"/>
        <v>0</v>
      </c>
      <c r="X1797" s="44">
        <f t="shared" si="180"/>
        <v>0</v>
      </c>
      <c r="Y1797" s="44">
        <f t="shared" si="181"/>
        <v>0</v>
      </c>
    </row>
    <row r="1798" spans="23:25">
      <c r="W1798" s="44">
        <f t="shared" si="179"/>
        <v>0</v>
      </c>
      <c r="X1798" s="44">
        <f t="shared" si="180"/>
        <v>0</v>
      </c>
      <c r="Y1798" s="44">
        <f t="shared" si="181"/>
        <v>0</v>
      </c>
    </row>
    <row r="1799" spans="23:25">
      <c r="W1799" s="44">
        <f t="shared" si="179"/>
        <v>0</v>
      </c>
      <c r="X1799" s="44">
        <f t="shared" si="180"/>
        <v>0</v>
      </c>
      <c r="Y1799" s="44">
        <f t="shared" si="181"/>
        <v>0</v>
      </c>
    </row>
    <row r="1800" spans="23:25">
      <c r="W1800" s="44">
        <f t="shared" ref="W1800:W1863" si="182">+O1800-U1800-V1800-Z1800</f>
        <v>0</v>
      </c>
      <c r="X1800" s="44">
        <f t="shared" ref="X1800:X1863" si="183">(+O1800-U1800)*$X$1</f>
        <v>0</v>
      </c>
      <c r="Y1800" s="44">
        <f t="shared" ref="Y1800:Y1863" si="184">+W1800-X1800</f>
        <v>0</v>
      </c>
    </row>
    <row r="1801" spans="23:25">
      <c r="W1801" s="44">
        <f t="shared" si="182"/>
        <v>0</v>
      </c>
      <c r="X1801" s="44">
        <f t="shared" si="183"/>
        <v>0</v>
      </c>
      <c r="Y1801" s="44">
        <f t="shared" si="184"/>
        <v>0</v>
      </c>
    </row>
    <row r="1802" spans="23:25">
      <c r="W1802" s="44">
        <f t="shared" si="182"/>
        <v>0</v>
      </c>
      <c r="X1802" s="44">
        <f t="shared" si="183"/>
        <v>0</v>
      </c>
      <c r="Y1802" s="44">
        <f t="shared" si="184"/>
        <v>0</v>
      </c>
    </row>
    <row r="1803" spans="23:25">
      <c r="W1803" s="44">
        <f t="shared" si="182"/>
        <v>0</v>
      </c>
      <c r="X1803" s="44">
        <f t="shared" si="183"/>
        <v>0</v>
      </c>
      <c r="Y1803" s="44">
        <f t="shared" si="184"/>
        <v>0</v>
      </c>
    </row>
    <row r="1804" spans="23:25">
      <c r="W1804" s="44">
        <f t="shared" si="182"/>
        <v>0</v>
      </c>
      <c r="X1804" s="44">
        <f t="shared" si="183"/>
        <v>0</v>
      </c>
      <c r="Y1804" s="44">
        <f t="shared" si="184"/>
        <v>0</v>
      </c>
    </row>
    <row r="1805" spans="23:25">
      <c r="W1805" s="44">
        <f t="shared" si="182"/>
        <v>0</v>
      </c>
      <c r="X1805" s="44">
        <f t="shared" si="183"/>
        <v>0</v>
      </c>
      <c r="Y1805" s="44">
        <f t="shared" si="184"/>
        <v>0</v>
      </c>
    </row>
    <row r="1806" spans="23:25">
      <c r="W1806" s="44">
        <f t="shared" si="182"/>
        <v>0</v>
      </c>
      <c r="X1806" s="44">
        <f t="shared" si="183"/>
        <v>0</v>
      </c>
      <c r="Y1806" s="44">
        <f t="shared" si="184"/>
        <v>0</v>
      </c>
    </row>
    <row r="1807" spans="23:25">
      <c r="W1807" s="44">
        <f t="shared" si="182"/>
        <v>0</v>
      </c>
      <c r="X1807" s="44">
        <f t="shared" si="183"/>
        <v>0</v>
      </c>
      <c r="Y1807" s="44">
        <f t="shared" si="184"/>
        <v>0</v>
      </c>
    </row>
    <row r="1808" spans="23:25">
      <c r="W1808" s="44">
        <f t="shared" si="182"/>
        <v>0</v>
      </c>
      <c r="X1808" s="44">
        <f t="shared" si="183"/>
        <v>0</v>
      </c>
      <c r="Y1808" s="44">
        <f t="shared" si="184"/>
        <v>0</v>
      </c>
    </row>
    <row r="1809" spans="23:25">
      <c r="W1809" s="44">
        <f t="shared" si="182"/>
        <v>0</v>
      </c>
      <c r="X1809" s="44">
        <f t="shared" si="183"/>
        <v>0</v>
      </c>
      <c r="Y1809" s="44">
        <f t="shared" si="184"/>
        <v>0</v>
      </c>
    </row>
    <row r="1810" spans="23:25">
      <c r="W1810" s="44">
        <f t="shared" si="182"/>
        <v>0</v>
      </c>
      <c r="X1810" s="44">
        <f t="shared" si="183"/>
        <v>0</v>
      </c>
      <c r="Y1810" s="44">
        <f t="shared" si="184"/>
        <v>0</v>
      </c>
    </row>
    <row r="1811" spans="23:25">
      <c r="W1811" s="44">
        <f t="shared" si="182"/>
        <v>0</v>
      </c>
      <c r="X1811" s="44">
        <f t="shared" si="183"/>
        <v>0</v>
      </c>
      <c r="Y1811" s="44">
        <f t="shared" si="184"/>
        <v>0</v>
      </c>
    </row>
    <row r="1812" spans="23:25">
      <c r="W1812" s="44">
        <f t="shared" si="182"/>
        <v>0</v>
      </c>
      <c r="X1812" s="44">
        <f t="shared" si="183"/>
        <v>0</v>
      </c>
      <c r="Y1812" s="44">
        <f t="shared" si="184"/>
        <v>0</v>
      </c>
    </row>
    <row r="1813" spans="23:25">
      <c r="W1813" s="44">
        <f t="shared" si="182"/>
        <v>0</v>
      </c>
      <c r="X1813" s="44">
        <f t="shared" si="183"/>
        <v>0</v>
      </c>
      <c r="Y1813" s="44">
        <f t="shared" si="184"/>
        <v>0</v>
      </c>
    </row>
    <row r="1814" spans="23:25">
      <c r="W1814" s="44">
        <f t="shared" si="182"/>
        <v>0</v>
      </c>
      <c r="X1814" s="44">
        <f t="shared" si="183"/>
        <v>0</v>
      </c>
      <c r="Y1814" s="44">
        <f t="shared" si="184"/>
        <v>0</v>
      </c>
    </row>
    <row r="1815" spans="23:25">
      <c r="W1815" s="44">
        <f t="shared" si="182"/>
        <v>0</v>
      </c>
      <c r="X1815" s="44">
        <f t="shared" si="183"/>
        <v>0</v>
      </c>
      <c r="Y1815" s="44">
        <f t="shared" si="184"/>
        <v>0</v>
      </c>
    </row>
    <row r="1816" spans="23:25">
      <c r="W1816" s="44">
        <f t="shared" si="182"/>
        <v>0</v>
      </c>
      <c r="X1816" s="44">
        <f t="shared" si="183"/>
        <v>0</v>
      </c>
      <c r="Y1816" s="44">
        <f t="shared" si="184"/>
        <v>0</v>
      </c>
    </row>
    <row r="1817" spans="23:25">
      <c r="W1817" s="44">
        <f t="shared" si="182"/>
        <v>0</v>
      </c>
      <c r="X1817" s="44">
        <f t="shared" si="183"/>
        <v>0</v>
      </c>
      <c r="Y1817" s="44">
        <f t="shared" si="184"/>
        <v>0</v>
      </c>
    </row>
    <row r="1818" spans="23:25">
      <c r="W1818" s="44">
        <f t="shared" si="182"/>
        <v>0</v>
      </c>
      <c r="X1818" s="44">
        <f t="shared" si="183"/>
        <v>0</v>
      </c>
      <c r="Y1818" s="44">
        <f t="shared" si="184"/>
        <v>0</v>
      </c>
    </row>
    <row r="1819" spans="23:25">
      <c r="W1819" s="44">
        <f t="shared" si="182"/>
        <v>0</v>
      </c>
      <c r="X1819" s="44">
        <f t="shared" si="183"/>
        <v>0</v>
      </c>
      <c r="Y1819" s="44">
        <f t="shared" si="184"/>
        <v>0</v>
      </c>
    </row>
    <row r="1820" spans="23:25">
      <c r="W1820" s="44">
        <f t="shared" si="182"/>
        <v>0</v>
      </c>
      <c r="X1820" s="44">
        <f t="shared" si="183"/>
        <v>0</v>
      </c>
      <c r="Y1820" s="44">
        <f t="shared" si="184"/>
        <v>0</v>
      </c>
    </row>
    <row r="1821" spans="23:25">
      <c r="W1821" s="44">
        <f t="shared" si="182"/>
        <v>0</v>
      </c>
      <c r="X1821" s="44">
        <f t="shared" si="183"/>
        <v>0</v>
      </c>
      <c r="Y1821" s="44">
        <f t="shared" si="184"/>
        <v>0</v>
      </c>
    </row>
    <row r="1822" spans="23:25">
      <c r="W1822" s="44">
        <f t="shared" si="182"/>
        <v>0</v>
      </c>
      <c r="X1822" s="44">
        <f t="shared" si="183"/>
        <v>0</v>
      </c>
      <c r="Y1822" s="44">
        <f t="shared" si="184"/>
        <v>0</v>
      </c>
    </row>
    <row r="1823" spans="23:25">
      <c r="W1823" s="44">
        <f t="shared" si="182"/>
        <v>0</v>
      </c>
      <c r="X1823" s="44">
        <f t="shared" si="183"/>
        <v>0</v>
      </c>
      <c r="Y1823" s="44">
        <f t="shared" si="184"/>
        <v>0</v>
      </c>
    </row>
    <row r="1824" spans="23:25">
      <c r="W1824" s="44">
        <f t="shared" si="182"/>
        <v>0</v>
      </c>
      <c r="X1824" s="44">
        <f t="shared" si="183"/>
        <v>0</v>
      </c>
      <c r="Y1824" s="44">
        <f t="shared" si="184"/>
        <v>0</v>
      </c>
    </row>
    <row r="1825" spans="23:25">
      <c r="W1825" s="44">
        <f t="shared" si="182"/>
        <v>0</v>
      </c>
      <c r="X1825" s="44">
        <f t="shared" si="183"/>
        <v>0</v>
      </c>
      <c r="Y1825" s="44">
        <f t="shared" si="184"/>
        <v>0</v>
      </c>
    </row>
    <row r="1826" spans="23:25">
      <c r="W1826" s="44">
        <f t="shared" si="182"/>
        <v>0</v>
      </c>
      <c r="X1826" s="44">
        <f t="shared" si="183"/>
        <v>0</v>
      </c>
      <c r="Y1826" s="44">
        <f t="shared" si="184"/>
        <v>0</v>
      </c>
    </row>
    <row r="1827" spans="23:25">
      <c r="W1827" s="44">
        <f t="shared" si="182"/>
        <v>0</v>
      </c>
      <c r="X1827" s="44">
        <f t="shared" si="183"/>
        <v>0</v>
      </c>
      <c r="Y1827" s="44">
        <f t="shared" si="184"/>
        <v>0</v>
      </c>
    </row>
    <row r="1828" spans="23:25">
      <c r="W1828" s="44">
        <f t="shared" si="182"/>
        <v>0</v>
      </c>
      <c r="X1828" s="44">
        <f t="shared" si="183"/>
        <v>0</v>
      </c>
      <c r="Y1828" s="44">
        <f t="shared" si="184"/>
        <v>0</v>
      </c>
    </row>
    <row r="1829" spans="23:25">
      <c r="W1829" s="44">
        <f t="shared" si="182"/>
        <v>0</v>
      </c>
      <c r="X1829" s="44">
        <f t="shared" si="183"/>
        <v>0</v>
      </c>
      <c r="Y1829" s="44">
        <f t="shared" si="184"/>
        <v>0</v>
      </c>
    </row>
    <row r="1830" spans="23:25">
      <c r="W1830" s="44">
        <f t="shared" si="182"/>
        <v>0</v>
      </c>
      <c r="X1830" s="44">
        <f t="shared" si="183"/>
        <v>0</v>
      </c>
      <c r="Y1830" s="44">
        <f t="shared" si="184"/>
        <v>0</v>
      </c>
    </row>
    <row r="1831" spans="23:25">
      <c r="W1831" s="44">
        <f t="shared" si="182"/>
        <v>0</v>
      </c>
      <c r="X1831" s="44">
        <f t="shared" si="183"/>
        <v>0</v>
      </c>
      <c r="Y1831" s="44">
        <f t="shared" si="184"/>
        <v>0</v>
      </c>
    </row>
    <row r="1832" spans="23:25">
      <c r="W1832" s="44">
        <f t="shared" si="182"/>
        <v>0</v>
      </c>
      <c r="X1832" s="44">
        <f t="shared" si="183"/>
        <v>0</v>
      </c>
      <c r="Y1832" s="44">
        <f t="shared" si="184"/>
        <v>0</v>
      </c>
    </row>
    <row r="1833" spans="23:25">
      <c r="W1833" s="44">
        <f t="shared" si="182"/>
        <v>0</v>
      </c>
      <c r="X1833" s="44">
        <f t="shared" si="183"/>
        <v>0</v>
      </c>
      <c r="Y1833" s="44">
        <f t="shared" si="184"/>
        <v>0</v>
      </c>
    </row>
    <row r="1834" spans="23:25">
      <c r="W1834" s="44">
        <f t="shared" si="182"/>
        <v>0</v>
      </c>
      <c r="X1834" s="44">
        <f t="shared" si="183"/>
        <v>0</v>
      </c>
      <c r="Y1834" s="44">
        <f t="shared" si="184"/>
        <v>0</v>
      </c>
    </row>
    <row r="1835" spans="23:25">
      <c r="W1835" s="44">
        <f t="shared" si="182"/>
        <v>0</v>
      </c>
      <c r="X1835" s="44">
        <f t="shared" si="183"/>
        <v>0</v>
      </c>
      <c r="Y1835" s="44">
        <f t="shared" si="184"/>
        <v>0</v>
      </c>
    </row>
    <row r="1836" spans="23:25">
      <c r="W1836" s="44">
        <f t="shared" si="182"/>
        <v>0</v>
      </c>
      <c r="X1836" s="44">
        <f t="shared" si="183"/>
        <v>0</v>
      </c>
      <c r="Y1836" s="44">
        <f t="shared" si="184"/>
        <v>0</v>
      </c>
    </row>
    <row r="1837" spans="23:25">
      <c r="W1837" s="44">
        <f t="shared" si="182"/>
        <v>0</v>
      </c>
      <c r="X1837" s="44">
        <f t="shared" si="183"/>
        <v>0</v>
      </c>
      <c r="Y1837" s="44">
        <f t="shared" si="184"/>
        <v>0</v>
      </c>
    </row>
    <row r="1838" spans="23:25">
      <c r="W1838" s="44">
        <f t="shared" si="182"/>
        <v>0</v>
      </c>
      <c r="X1838" s="44">
        <f t="shared" si="183"/>
        <v>0</v>
      </c>
      <c r="Y1838" s="44">
        <f t="shared" si="184"/>
        <v>0</v>
      </c>
    </row>
    <row r="1839" spans="23:25">
      <c r="W1839" s="44">
        <f t="shared" si="182"/>
        <v>0</v>
      </c>
      <c r="X1839" s="44">
        <f t="shared" si="183"/>
        <v>0</v>
      </c>
      <c r="Y1839" s="44">
        <f t="shared" si="184"/>
        <v>0</v>
      </c>
    </row>
    <row r="1840" spans="23:25">
      <c r="W1840" s="44">
        <f t="shared" si="182"/>
        <v>0</v>
      </c>
      <c r="X1840" s="44">
        <f t="shared" si="183"/>
        <v>0</v>
      </c>
      <c r="Y1840" s="44">
        <f t="shared" si="184"/>
        <v>0</v>
      </c>
    </row>
    <row r="1841" spans="23:25">
      <c r="W1841" s="44">
        <f t="shared" si="182"/>
        <v>0</v>
      </c>
      <c r="X1841" s="44">
        <f t="shared" si="183"/>
        <v>0</v>
      </c>
      <c r="Y1841" s="44">
        <f t="shared" si="184"/>
        <v>0</v>
      </c>
    </row>
    <row r="1842" spans="23:25">
      <c r="W1842" s="44">
        <f t="shared" si="182"/>
        <v>0</v>
      </c>
      <c r="X1842" s="44">
        <f t="shared" si="183"/>
        <v>0</v>
      </c>
      <c r="Y1842" s="44">
        <f t="shared" si="184"/>
        <v>0</v>
      </c>
    </row>
    <row r="1843" spans="23:25">
      <c r="W1843" s="44">
        <f t="shared" si="182"/>
        <v>0</v>
      </c>
      <c r="X1843" s="44">
        <f t="shared" si="183"/>
        <v>0</v>
      </c>
      <c r="Y1843" s="44">
        <f t="shared" si="184"/>
        <v>0</v>
      </c>
    </row>
    <row r="1844" spans="23:25">
      <c r="W1844" s="44">
        <f t="shared" si="182"/>
        <v>0</v>
      </c>
      <c r="X1844" s="44">
        <f t="shared" si="183"/>
        <v>0</v>
      </c>
      <c r="Y1844" s="44">
        <f t="shared" si="184"/>
        <v>0</v>
      </c>
    </row>
    <row r="1845" spans="23:25">
      <c r="W1845" s="44">
        <f t="shared" si="182"/>
        <v>0</v>
      </c>
      <c r="X1845" s="44">
        <f t="shared" si="183"/>
        <v>0</v>
      </c>
      <c r="Y1845" s="44">
        <f t="shared" si="184"/>
        <v>0</v>
      </c>
    </row>
    <row r="1846" spans="23:25">
      <c r="W1846" s="44">
        <f t="shared" si="182"/>
        <v>0</v>
      </c>
      <c r="X1846" s="44">
        <f t="shared" si="183"/>
        <v>0</v>
      </c>
      <c r="Y1846" s="44">
        <f t="shared" si="184"/>
        <v>0</v>
      </c>
    </row>
    <row r="1847" spans="23:25">
      <c r="W1847" s="44">
        <f t="shared" si="182"/>
        <v>0</v>
      </c>
      <c r="X1847" s="44">
        <f t="shared" si="183"/>
        <v>0</v>
      </c>
      <c r="Y1847" s="44">
        <f t="shared" si="184"/>
        <v>0</v>
      </c>
    </row>
    <row r="1848" spans="23:25">
      <c r="W1848" s="44">
        <f t="shared" si="182"/>
        <v>0</v>
      </c>
      <c r="X1848" s="44">
        <f t="shared" si="183"/>
        <v>0</v>
      </c>
      <c r="Y1848" s="44">
        <f t="shared" si="184"/>
        <v>0</v>
      </c>
    </row>
    <row r="1849" spans="23:25">
      <c r="W1849" s="44">
        <f t="shared" si="182"/>
        <v>0</v>
      </c>
      <c r="X1849" s="44">
        <f t="shared" si="183"/>
        <v>0</v>
      </c>
      <c r="Y1849" s="44">
        <f t="shared" si="184"/>
        <v>0</v>
      </c>
    </row>
    <row r="1850" spans="23:25">
      <c r="W1850" s="44">
        <f t="shared" si="182"/>
        <v>0</v>
      </c>
      <c r="X1850" s="44">
        <f t="shared" si="183"/>
        <v>0</v>
      </c>
      <c r="Y1850" s="44">
        <f t="shared" si="184"/>
        <v>0</v>
      </c>
    </row>
    <row r="1851" spans="23:25">
      <c r="W1851" s="44">
        <f t="shared" si="182"/>
        <v>0</v>
      </c>
      <c r="X1851" s="44">
        <f t="shared" si="183"/>
        <v>0</v>
      </c>
      <c r="Y1851" s="44">
        <f t="shared" si="184"/>
        <v>0</v>
      </c>
    </row>
    <row r="1852" spans="23:25">
      <c r="W1852" s="44">
        <f t="shared" si="182"/>
        <v>0</v>
      </c>
      <c r="X1852" s="44">
        <f t="shared" si="183"/>
        <v>0</v>
      </c>
      <c r="Y1852" s="44">
        <f t="shared" si="184"/>
        <v>0</v>
      </c>
    </row>
    <row r="1853" spans="23:25">
      <c r="W1853" s="44">
        <f t="shared" si="182"/>
        <v>0</v>
      </c>
      <c r="X1853" s="44">
        <f t="shared" si="183"/>
        <v>0</v>
      </c>
      <c r="Y1853" s="44">
        <f t="shared" si="184"/>
        <v>0</v>
      </c>
    </row>
    <row r="1854" spans="23:25">
      <c r="W1854" s="44">
        <f t="shared" si="182"/>
        <v>0</v>
      </c>
      <c r="X1854" s="44">
        <f t="shared" si="183"/>
        <v>0</v>
      </c>
      <c r="Y1854" s="44">
        <f t="shared" si="184"/>
        <v>0</v>
      </c>
    </row>
    <row r="1855" spans="23:25">
      <c r="W1855" s="44">
        <f t="shared" si="182"/>
        <v>0</v>
      </c>
      <c r="X1855" s="44">
        <f t="shared" si="183"/>
        <v>0</v>
      </c>
      <c r="Y1855" s="44">
        <f t="shared" si="184"/>
        <v>0</v>
      </c>
    </row>
    <row r="1856" spans="23:25">
      <c r="W1856" s="44">
        <f t="shared" si="182"/>
        <v>0</v>
      </c>
      <c r="X1856" s="44">
        <f t="shared" si="183"/>
        <v>0</v>
      </c>
      <c r="Y1856" s="44">
        <f t="shared" si="184"/>
        <v>0</v>
      </c>
    </row>
    <row r="1857" spans="23:25">
      <c r="W1857" s="44">
        <f t="shared" si="182"/>
        <v>0</v>
      </c>
      <c r="X1857" s="44">
        <f t="shared" si="183"/>
        <v>0</v>
      </c>
      <c r="Y1857" s="44">
        <f t="shared" si="184"/>
        <v>0</v>
      </c>
    </row>
    <row r="1858" spans="23:25">
      <c r="W1858" s="44">
        <f t="shared" si="182"/>
        <v>0</v>
      </c>
      <c r="X1858" s="44">
        <f t="shared" si="183"/>
        <v>0</v>
      </c>
      <c r="Y1858" s="44">
        <f t="shared" si="184"/>
        <v>0</v>
      </c>
    </row>
    <row r="1859" spans="23:25">
      <c r="W1859" s="44">
        <f t="shared" si="182"/>
        <v>0</v>
      </c>
      <c r="X1859" s="44">
        <f t="shared" si="183"/>
        <v>0</v>
      </c>
      <c r="Y1859" s="44">
        <f t="shared" si="184"/>
        <v>0</v>
      </c>
    </row>
    <row r="1860" spans="23:25">
      <c r="W1860" s="44">
        <f t="shared" si="182"/>
        <v>0</v>
      </c>
      <c r="X1860" s="44">
        <f t="shared" si="183"/>
        <v>0</v>
      </c>
      <c r="Y1860" s="44">
        <f t="shared" si="184"/>
        <v>0</v>
      </c>
    </row>
    <row r="1861" spans="23:25">
      <c r="W1861" s="44">
        <f t="shared" si="182"/>
        <v>0</v>
      </c>
      <c r="X1861" s="44">
        <f t="shared" si="183"/>
        <v>0</v>
      </c>
      <c r="Y1861" s="44">
        <f t="shared" si="184"/>
        <v>0</v>
      </c>
    </row>
    <row r="1862" spans="23:25">
      <c r="W1862" s="44">
        <f t="shared" si="182"/>
        <v>0</v>
      </c>
      <c r="X1862" s="44">
        <f t="shared" si="183"/>
        <v>0</v>
      </c>
      <c r="Y1862" s="44">
        <f t="shared" si="184"/>
        <v>0</v>
      </c>
    </row>
    <row r="1863" spans="23:25">
      <c r="W1863" s="44">
        <f t="shared" si="182"/>
        <v>0</v>
      </c>
      <c r="X1863" s="44">
        <f t="shared" si="183"/>
        <v>0</v>
      </c>
      <c r="Y1863" s="44">
        <f t="shared" si="184"/>
        <v>0</v>
      </c>
    </row>
    <row r="1864" spans="23:25">
      <c r="W1864" s="44">
        <f t="shared" ref="W1864:W1927" si="185">+O1864-U1864-V1864-Z1864</f>
        <v>0</v>
      </c>
      <c r="X1864" s="44">
        <f t="shared" ref="X1864:X1927" si="186">(+O1864-U1864)*$X$1</f>
        <v>0</v>
      </c>
      <c r="Y1864" s="44">
        <f t="shared" ref="Y1864:Y1927" si="187">+W1864-X1864</f>
        <v>0</v>
      </c>
    </row>
    <row r="1865" spans="23:25">
      <c r="W1865" s="44">
        <f t="shared" si="185"/>
        <v>0</v>
      </c>
      <c r="X1865" s="44">
        <f t="shared" si="186"/>
        <v>0</v>
      </c>
      <c r="Y1865" s="44">
        <f t="shared" si="187"/>
        <v>0</v>
      </c>
    </row>
    <row r="1866" spans="23:25">
      <c r="W1866" s="44">
        <f t="shared" si="185"/>
        <v>0</v>
      </c>
      <c r="X1866" s="44">
        <f t="shared" si="186"/>
        <v>0</v>
      </c>
      <c r="Y1866" s="44">
        <f t="shared" si="187"/>
        <v>0</v>
      </c>
    </row>
    <row r="1867" spans="23:25">
      <c r="W1867" s="44">
        <f t="shared" si="185"/>
        <v>0</v>
      </c>
      <c r="X1867" s="44">
        <f t="shared" si="186"/>
        <v>0</v>
      </c>
      <c r="Y1867" s="44">
        <f t="shared" si="187"/>
        <v>0</v>
      </c>
    </row>
    <row r="1868" spans="23:25">
      <c r="W1868" s="44">
        <f t="shared" si="185"/>
        <v>0</v>
      </c>
      <c r="X1868" s="44">
        <f t="shared" si="186"/>
        <v>0</v>
      </c>
      <c r="Y1868" s="44">
        <f t="shared" si="187"/>
        <v>0</v>
      </c>
    </row>
    <row r="1869" spans="23:25">
      <c r="W1869" s="44">
        <f t="shared" si="185"/>
        <v>0</v>
      </c>
      <c r="X1869" s="44">
        <f t="shared" si="186"/>
        <v>0</v>
      </c>
      <c r="Y1869" s="44">
        <f t="shared" si="187"/>
        <v>0</v>
      </c>
    </row>
    <row r="1870" spans="23:25">
      <c r="W1870" s="44">
        <f t="shared" si="185"/>
        <v>0</v>
      </c>
      <c r="X1870" s="44">
        <f t="shared" si="186"/>
        <v>0</v>
      </c>
      <c r="Y1870" s="44">
        <f t="shared" si="187"/>
        <v>0</v>
      </c>
    </row>
    <row r="1871" spans="23:25">
      <c r="W1871" s="44">
        <f t="shared" si="185"/>
        <v>0</v>
      </c>
      <c r="X1871" s="44">
        <f t="shared" si="186"/>
        <v>0</v>
      </c>
      <c r="Y1871" s="44">
        <f t="shared" si="187"/>
        <v>0</v>
      </c>
    </row>
    <row r="1872" spans="23:25">
      <c r="W1872" s="44">
        <f t="shared" si="185"/>
        <v>0</v>
      </c>
      <c r="X1872" s="44">
        <f t="shared" si="186"/>
        <v>0</v>
      </c>
      <c r="Y1872" s="44">
        <f t="shared" si="187"/>
        <v>0</v>
      </c>
    </row>
    <row r="1873" spans="23:25">
      <c r="W1873" s="44">
        <f t="shared" si="185"/>
        <v>0</v>
      </c>
      <c r="X1873" s="44">
        <f t="shared" si="186"/>
        <v>0</v>
      </c>
      <c r="Y1873" s="44">
        <f t="shared" si="187"/>
        <v>0</v>
      </c>
    </row>
    <row r="1874" spans="23:25">
      <c r="W1874" s="44">
        <f t="shared" si="185"/>
        <v>0</v>
      </c>
      <c r="X1874" s="44">
        <f t="shared" si="186"/>
        <v>0</v>
      </c>
      <c r="Y1874" s="44">
        <f t="shared" si="187"/>
        <v>0</v>
      </c>
    </row>
    <row r="1875" spans="23:25">
      <c r="W1875" s="44">
        <f t="shared" si="185"/>
        <v>0</v>
      </c>
      <c r="X1875" s="44">
        <f t="shared" si="186"/>
        <v>0</v>
      </c>
      <c r="Y1875" s="44">
        <f t="shared" si="187"/>
        <v>0</v>
      </c>
    </row>
    <row r="1876" spans="23:25">
      <c r="W1876" s="44">
        <f t="shared" si="185"/>
        <v>0</v>
      </c>
      <c r="X1876" s="44">
        <f t="shared" si="186"/>
        <v>0</v>
      </c>
      <c r="Y1876" s="44">
        <f t="shared" si="187"/>
        <v>0</v>
      </c>
    </row>
    <row r="1877" spans="23:25">
      <c r="W1877" s="44">
        <f t="shared" si="185"/>
        <v>0</v>
      </c>
      <c r="X1877" s="44">
        <f t="shared" si="186"/>
        <v>0</v>
      </c>
      <c r="Y1877" s="44">
        <f t="shared" si="187"/>
        <v>0</v>
      </c>
    </row>
    <row r="1878" spans="23:25">
      <c r="W1878" s="44">
        <f t="shared" si="185"/>
        <v>0</v>
      </c>
      <c r="X1878" s="44">
        <f t="shared" si="186"/>
        <v>0</v>
      </c>
      <c r="Y1878" s="44">
        <f t="shared" si="187"/>
        <v>0</v>
      </c>
    </row>
    <row r="1879" spans="23:25">
      <c r="W1879" s="44">
        <f t="shared" si="185"/>
        <v>0</v>
      </c>
      <c r="X1879" s="44">
        <f t="shared" si="186"/>
        <v>0</v>
      </c>
      <c r="Y1879" s="44">
        <f t="shared" si="187"/>
        <v>0</v>
      </c>
    </row>
    <row r="1880" spans="23:25">
      <c r="W1880" s="44">
        <f t="shared" si="185"/>
        <v>0</v>
      </c>
      <c r="X1880" s="44">
        <f t="shared" si="186"/>
        <v>0</v>
      </c>
      <c r="Y1880" s="44">
        <f t="shared" si="187"/>
        <v>0</v>
      </c>
    </row>
    <row r="1881" spans="23:25">
      <c r="W1881" s="44">
        <f t="shared" si="185"/>
        <v>0</v>
      </c>
      <c r="X1881" s="44">
        <f t="shared" si="186"/>
        <v>0</v>
      </c>
      <c r="Y1881" s="44">
        <f t="shared" si="187"/>
        <v>0</v>
      </c>
    </row>
    <row r="1882" spans="23:25">
      <c r="W1882" s="44">
        <f t="shared" si="185"/>
        <v>0</v>
      </c>
      <c r="X1882" s="44">
        <f t="shared" si="186"/>
        <v>0</v>
      </c>
      <c r="Y1882" s="44">
        <f t="shared" si="187"/>
        <v>0</v>
      </c>
    </row>
    <row r="1883" spans="23:25">
      <c r="W1883" s="44">
        <f t="shared" si="185"/>
        <v>0</v>
      </c>
      <c r="X1883" s="44">
        <f t="shared" si="186"/>
        <v>0</v>
      </c>
      <c r="Y1883" s="44">
        <f t="shared" si="187"/>
        <v>0</v>
      </c>
    </row>
    <row r="1884" spans="23:25">
      <c r="W1884" s="44">
        <f t="shared" si="185"/>
        <v>0</v>
      </c>
      <c r="X1884" s="44">
        <f t="shared" si="186"/>
        <v>0</v>
      </c>
      <c r="Y1884" s="44">
        <f t="shared" si="187"/>
        <v>0</v>
      </c>
    </row>
    <row r="1885" spans="23:25">
      <c r="W1885" s="44">
        <f t="shared" si="185"/>
        <v>0</v>
      </c>
      <c r="X1885" s="44">
        <f t="shared" si="186"/>
        <v>0</v>
      </c>
      <c r="Y1885" s="44">
        <f t="shared" si="187"/>
        <v>0</v>
      </c>
    </row>
    <row r="1886" spans="23:25">
      <c r="W1886" s="44">
        <f t="shared" si="185"/>
        <v>0</v>
      </c>
      <c r="X1886" s="44">
        <f t="shared" si="186"/>
        <v>0</v>
      </c>
      <c r="Y1886" s="44">
        <f t="shared" si="187"/>
        <v>0</v>
      </c>
    </row>
    <row r="1887" spans="23:25">
      <c r="W1887" s="44">
        <f t="shared" si="185"/>
        <v>0</v>
      </c>
      <c r="X1887" s="44">
        <f t="shared" si="186"/>
        <v>0</v>
      </c>
      <c r="Y1887" s="44">
        <f t="shared" si="187"/>
        <v>0</v>
      </c>
    </row>
    <row r="1888" spans="23:25">
      <c r="W1888" s="44">
        <f t="shared" si="185"/>
        <v>0</v>
      </c>
      <c r="X1888" s="44">
        <f t="shared" si="186"/>
        <v>0</v>
      </c>
      <c r="Y1888" s="44">
        <f t="shared" si="187"/>
        <v>0</v>
      </c>
    </row>
    <row r="1889" spans="23:25">
      <c r="W1889" s="44">
        <f t="shared" si="185"/>
        <v>0</v>
      </c>
      <c r="X1889" s="44">
        <f t="shared" si="186"/>
        <v>0</v>
      </c>
      <c r="Y1889" s="44">
        <f t="shared" si="187"/>
        <v>0</v>
      </c>
    </row>
    <row r="1890" spans="23:25">
      <c r="W1890" s="44">
        <f t="shared" si="185"/>
        <v>0</v>
      </c>
      <c r="X1890" s="44">
        <f t="shared" si="186"/>
        <v>0</v>
      </c>
      <c r="Y1890" s="44">
        <f t="shared" si="187"/>
        <v>0</v>
      </c>
    </row>
    <row r="1891" spans="23:25">
      <c r="W1891" s="44">
        <f t="shared" si="185"/>
        <v>0</v>
      </c>
      <c r="X1891" s="44">
        <f t="shared" si="186"/>
        <v>0</v>
      </c>
      <c r="Y1891" s="44">
        <f t="shared" si="187"/>
        <v>0</v>
      </c>
    </row>
    <row r="1892" spans="23:25">
      <c r="W1892" s="44">
        <f t="shared" si="185"/>
        <v>0</v>
      </c>
      <c r="X1892" s="44">
        <f t="shared" si="186"/>
        <v>0</v>
      </c>
      <c r="Y1892" s="44">
        <f t="shared" si="187"/>
        <v>0</v>
      </c>
    </row>
    <row r="1893" spans="23:25">
      <c r="W1893" s="44">
        <f t="shared" si="185"/>
        <v>0</v>
      </c>
      <c r="X1893" s="44">
        <f t="shared" si="186"/>
        <v>0</v>
      </c>
      <c r="Y1893" s="44">
        <f t="shared" si="187"/>
        <v>0</v>
      </c>
    </row>
    <row r="1894" spans="23:25">
      <c r="W1894" s="44">
        <f t="shared" si="185"/>
        <v>0</v>
      </c>
      <c r="X1894" s="44">
        <f t="shared" si="186"/>
        <v>0</v>
      </c>
      <c r="Y1894" s="44">
        <f t="shared" si="187"/>
        <v>0</v>
      </c>
    </row>
    <row r="1895" spans="23:25">
      <c r="W1895" s="44">
        <f t="shared" si="185"/>
        <v>0</v>
      </c>
      <c r="X1895" s="44">
        <f t="shared" si="186"/>
        <v>0</v>
      </c>
      <c r="Y1895" s="44">
        <f t="shared" si="187"/>
        <v>0</v>
      </c>
    </row>
    <row r="1896" spans="23:25">
      <c r="W1896" s="44">
        <f t="shared" si="185"/>
        <v>0</v>
      </c>
      <c r="X1896" s="44">
        <f t="shared" si="186"/>
        <v>0</v>
      </c>
      <c r="Y1896" s="44">
        <f t="shared" si="187"/>
        <v>0</v>
      </c>
    </row>
    <row r="1897" spans="23:25">
      <c r="W1897" s="44">
        <f t="shared" si="185"/>
        <v>0</v>
      </c>
      <c r="X1897" s="44">
        <f t="shared" si="186"/>
        <v>0</v>
      </c>
      <c r="Y1897" s="44">
        <f t="shared" si="187"/>
        <v>0</v>
      </c>
    </row>
    <row r="1898" spans="23:25">
      <c r="W1898" s="44">
        <f t="shared" si="185"/>
        <v>0</v>
      </c>
      <c r="X1898" s="44">
        <f t="shared" si="186"/>
        <v>0</v>
      </c>
      <c r="Y1898" s="44">
        <f t="shared" si="187"/>
        <v>0</v>
      </c>
    </row>
    <row r="1899" spans="23:25">
      <c r="W1899" s="44">
        <f t="shared" si="185"/>
        <v>0</v>
      </c>
      <c r="X1899" s="44">
        <f t="shared" si="186"/>
        <v>0</v>
      </c>
      <c r="Y1899" s="44">
        <f t="shared" si="187"/>
        <v>0</v>
      </c>
    </row>
    <row r="1900" spans="23:25">
      <c r="W1900" s="44">
        <f t="shared" si="185"/>
        <v>0</v>
      </c>
      <c r="X1900" s="44">
        <f t="shared" si="186"/>
        <v>0</v>
      </c>
      <c r="Y1900" s="44">
        <f t="shared" si="187"/>
        <v>0</v>
      </c>
    </row>
    <row r="1901" spans="23:25">
      <c r="W1901" s="44">
        <f t="shared" si="185"/>
        <v>0</v>
      </c>
      <c r="X1901" s="44">
        <f t="shared" si="186"/>
        <v>0</v>
      </c>
      <c r="Y1901" s="44">
        <f t="shared" si="187"/>
        <v>0</v>
      </c>
    </row>
    <row r="1902" spans="23:25">
      <c r="W1902" s="44">
        <f t="shared" si="185"/>
        <v>0</v>
      </c>
      <c r="X1902" s="44">
        <f t="shared" si="186"/>
        <v>0</v>
      </c>
      <c r="Y1902" s="44">
        <f t="shared" si="187"/>
        <v>0</v>
      </c>
    </row>
    <row r="1903" spans="23:25">
      <c r="W1903" s="44">
        <f t="shared" si="185"/>
        <v>0</v>
      </c>
      <c r="X1903" s="44">
        <f t="shared" si="186"/>
        <v>0</v>
      </c>
      <c r="Y1903" s="44">
        <f t="shared" si="187"/>
        <v>0</v>
      </c>
    </row>
    <row r="1904" spans="23:25">
      <c r="W1904" s="44">
        <f t="shared" si="185"/>
        <v>0</v>
      </c>
      <c r="X1904" s="44">
        <f t="shared" si="186"/>
        <v>0</v>
      </c>
      <c r="Y1904" s="44">
        <f t="shared" si="187"/>
        <v>0</v>
      </c>
    </row>
    <row r="1905" spans="23:25">
      <c r="W1905" s="44">
        <f t="shared" si="185"/>
        <v>0</v>
      </c>
      <c r="X1905" s="44">
        <f t="shared" si="186"/>
        <v>0</v>
      </c>
      <c r="Y1905" s="44">
        <f t="shared" si="187"/>
        <v>0</v>
      </c>
    </row>
    <row r="1906" spans="23:25">
      <c r="W1906" s="44">
        <f t="shared" si="185"/>
        <v>0</v>
      </c>
      <c r="X1906" s="44">
        <f t="shared" si="186"/>
        <v>0</v>
      </c>
      <c r="Y1906" s="44">
        <f t="shared" si="187"/>
        <v>0</v>
      </c>
    </row>
    <row r="1907" spans="23:25">
      <c r="W1907" s="44">
        <f t="shared" si="185"/>
        <v>0</v>
      </c>
      <c r="X1907" s="44">
        <f t="shared" si="186"/>
        <v>0</v>
      </c>
      <c r="Y1907" s="44">
        <f t="shared" si="187"/>
        <v>0</v>
      </c>
    </row>
    <row r="1908" spans="23:25">
      <c r="W1908" s="44">
        <f t="shared" si="185"/>
        <v>0</v>
      </c>
      <c r="X1908" s="44">
        <f t="shared" si="186"/>
        <v>0</v>
      </c>
      <c r="Y1908" s="44">
        <f t="shared" si="187"/>
        <v>0</v>
      </c>
    </row>
    <row r="1909" spans="23:25">
      <c r="W1909" s="44">
        <f t="shared" si="185"/>
        <v>0</v>
      </c>
      <c r="X1909" s="44">
        <f t="shared" si="186"/>
        <v>0</v>
      </c>
      <c r="Y1909" s="44">
        <f t="shared" si="187"/>
        <v>0</v>
      </c>
    </row>
    <row r="1910" spans="23:25">
      <c r="W1910" s="44">
        <f t="shared" si="185"/>
        <v>0</v>
      </c>
      <c r="X1910" s="44">
        <f t="shared" si="186"/>
        <v>0</v>
      </c>
      <c r="Y1910" s="44">
        <f t="shared" si="187"/>
        <v>0</v>
      </c>
    </row>
    <row r="1911" spans="23:25">
      <c r="W1911" s="44">
        <f t="shared" si="185"/>
        <v>0</v>
      </c>
      <c r="X1911" s="44">
        <f t="shared" si="186"/>
        <v>0</v>
      </c>
      <c r="Y1911" s="44">
        <f t="shared" si="187"/>
        <v>0</v>
      </c>
    </row>
    <row r="1912" spans="23:25">
      <c r="W1912" s="44">
        <f t="shared" si="185"/>
        <v>0</v>
      </c>
      <c r="X1912" s="44">
        <f t="shared" si="186"/>
        <v>0</v>
      </c>
      <c r="Y1912" s="44">
        <f t="shared" si="187"/>
        <v>0</v>
      </c>
    </row>
    <row r="1913" spans="23:25">
      <c r="W1913" s="44">
        <f t="shared" si="185"/>
        <v>0</v>
      </c>
      <c r="X1913" s="44">
        <f t="shared" si="186"/>
        <v>0</v>
      </c>
      <c r="Y1913" s="44">
        <f t="shared" si="187"/>
        <v>0</v>
      </c>
    </row>
    <row r="1914" spans="23:25">
      <c r="W1914" s="44">
        <f t="shared" si="185"/>
        <v>0</v>
      </c>
      <c r="X1914" s="44">
        <f t="shared" si="186"/>
        <v>0</v>
      </c>
      <c r="Y1914" s="44">
        <f t="shared" si="187"/>
        <v>0</v>
      </c>
    </row>
    <row r="1915" spans="23:25">
      <c r="W1915" s="44">
        <f t="shared" si="185"/>
        <v>0</v>
      </c>
      <c r="X1915" s="44">
        <f t="shared" si="186"/>
        <v>0</v>
      </c>
      <c r="Y1915" s="44">
        <f t="shared" si="187"/>
        <v>0</v>
      </c>
    </row>
    <row r="1916" spans="23:25">
      <c r="W1916" s="44">
        <f t="shared" si="185"/>
        <v>0</v>
      </c>
      <c r="X1916" s="44">
        <f t="shared" si="186"/>
        <v>0</v>
      </c>
      <c r="Y1916" s="44">
        <f t="shared" si="187"/>
        <v>0</v>
      </c>
    </row>
    <row r="1917" spans="23:25">
      <c r="W1917" s="44">
        <f t="shared" si="185"/>
        <v>0</v>
      </c>
      <c r="X1917" s="44">
        <f t="shared" si="186"/>
        <v>0</v>
      </c>
      <c r="Y1917" s="44">
        <f t="shared" si="187"/>
        <v>0</v>
      </c>
    </row>
    <row r="1918" spans="23:25">
      <c r="W1918" s="44">
        <f t="shared" si="185"/>
        <v>0</v>
      </c>
      <c r="X1918" s="44">
        <f t="shared" si="186"/>
        <v>0</v>
      </c>
      <c r="Y1918" s="44">
        <f t="shared" si="187"/>
        <v>0</v>
      </c>
    </row>
    <row r="1919" spans="23:25">
      <c r="W1919" s="44">
        <f t="shared" si="185"/>
        <v>0</v>
      </c>
      <c r="X1919" s="44">
        <f t="shared" si="186"/>
        <v>0</v>
      </c>
      <c r="Y1919" s="44">
        <f t="shared" si="187"/>
        <v>0</v>
      </c>
    </row>
    <row r="1920" spans="23:25">
      <c r="W1920" s="44">
        <f t="shared" si="185"/>
        <v>0</v>
      </c>
      <c r="X1920" s="44">
        <f t="shared" si="186"/>
        <v>0</v>
      </c>
      <c r="Y1920" s="44">
        <f t="shared" si="187"/>
        <v>0</v>
      </c>
    </row>
    <row r="1921" spans="23:25">
      <c r="W1921" s="44">
        <f t="shared" si="185"/>
        <v>0</v>
      </c>
      <c r="X1921" s="44">
        <f t="shared" si="186"/>
        <v>0</v>
      </c>
      <c r="Y1921" s="44">
        <f t="shared" si="187"/>
        <v>0</v>
      </c>
    </row>
    <row r="1922" spans="23:25">
      <c r="W1922" s="44">
        <f t="shared" si="185"/>
        <v>0</v>
      </c>
      <c r="X1922" s="44">
        <f t="shared" si="186"/>
        <v>0</v>
      </c>
      <c r="Y1922" s="44">
        <f t="shared" si="187"/>
        <v>0</v>
      </c>
    </row>
    <row r="1923" spans="23:25">
      <c r="W1923" s="44">
        <f t="shared" si="185"/>
        <v>0</v>
      </c>
      <c r="X1923" s="44">
        <f t="shared" si="186"/>
        <v>0</v>
      </c>
      <c r="Y1923" s="44">
        <f t="shared" si="187"/>
        <v>0</v>
      </c>
    </row>
    <row r="1924" spans="23:25">
      <c r="W1924" s="44">
        <f t="shared" si="185"/>
        <v>0</v>
      </c>
      <c r="X1924" s="44">
        <f t="shared" si="186"/>
        <v>0</v>
      </c>
      <c r="Y1924" s="44">
        <f t="shared" si="187"/>
        <v>0</v>
      </c>
    </row>
    <row r="1925" spans="23:25">
      <c r="W1925" s="44">
        <f t="shared" si="185"/>
        <v>0</v>
      </c>
      <c r="X1925" s="44">
        <f t="shared" si="186"/>
        <v>0</v>
      </c>
      <c r="Y1925" s="44">
        <f t="shared" si="187"/>
        <v>0</v>
      </c>
    </row>
    <row r="1926" spans="23:25">
      <c r="W1926" s="44">
        <f t="shared" si="185"/>
        <v>0</v>
      </c>
      <c r="X1926" s="44">
        <f t="shared" si="186"/>
        <v>0</v>
      </c>
      <c r="Y1926" s="44">
        <f t="shared" si="187"/>
        <v>0</v>
      </c>
    </row>
    <row r="1927" spans="23:25">
      <c r="W1927" s="44">
        <f t="shared" si="185"/>
        <v>0</v>
      </c>
      <c r="X1927" s="44">
        <f t="shared" si="186"/>
        <v>0</v>
      </c>
      <c r="Y1927" s="44">
        <f t="shared" si="187"/>
        <v>0</v>
      </c>
    </row>
    <row r="1928" spans="23:25">
      <c r="W1928" s="44">
        <f t="shared" ref="W1928:W1989" si="188">+O1928-U1928-V1928-Z1928</f>
        <v>0</v>
      </c>
      <c r="X1928" s="44">
        <f t="shared" ref="X1928:X1991" si="189">(+O1928-U1928)*$X$1</f>
        <v>0</v>
      </c>
      <c r="Y1928" s="44">
        <f t="shared" ref="Y1928:Y1991" si="190">+W1928-X1928</f>
        <v>0</v>
      </c>
    </row>
    <row r="1929" spans="23:25">
      <c r="W1929" s="44">
        <f t="shared" si="188"/>
        <v>0</v>
      </c>
      <c r="X1929" s="44">
        <f t="shared" si="189"/>
        <v>0</v>
      </c>
      <c r="Y1929" s="44">
        <f t="shared" si="190"/>
        <v>0</v>
      </c>
    </row>
    <row r="1930" spans="23:25">
      <c r="W1930" s="44">
        <f t="shared" si="188"/>
        <v>0</v>
      </c>
      <c r="X1930" s="44">
        <f t="shared" si="189"/>
        <v>0</v>
      </c>
      <c r="Y1930" s="44">
        <f t="shared" si="190"/>
        <v>0</v>
      </c>
    </row>
    <row r="1931" spans="23:25">
      <c r="W1931" s="44">
        <f t="shared" si="188"/>
        <v>0</v>
      </c>
      <c r="X1931" s="44">
        <f t="shared" si="189"/>
        <v>0</v>
      </c>
      <c r="Y1931" s="44">
        <f t="shared" si="190"/>
        <v>0</v>
      </c>
    </row>
    <row r="1932" spans="23:25">
      <c r="W1932" s="44">
        <f t="shared" si="188"/>
        <v>0</v>
      </c>
      <c r="X1932" s="44">
        <f t="shared" si="189"/>
        <v>0</v>
      </c>
      <c r="Y1932" s="44">
        <f t="shared" si="190"/>
        <v>0</v>
      </c>
    </row>
    <row r="1933" spans="23:25">
      <c r="W1933" s="44">
        <f t="shared" si="188"/>
        <v>0</v>
      </c>
      <c r="X1933" s="44">
        <f t="shared" si="189"/>
        <v>0</v>
      </c>
      <c r="Y1933" s="44">
        <f t="shared" si="190"/>
        <v>0</v>
      </c>
    </row>
    <row r="1934" spans="23:25">
      <c r="W1934" s="44">
        <f t="shared" si="188"/>
        <v>0</v>
      </c>
      <c r="X1934" s="44">
        <f t="shared" si="189"/>
        <v>0</v>
      </c>
      <c r="Y1934" s="44">
        <f t="shared" si="190"/>
        <v>0</v>
      </c>
    </row>
    <row r="1935" spans="23:25">
      <c r="W1935" s="44">
        <f t="shared" si="188"/>
        <v>0</v>
      </c>
      <c r="X1935" s="44">
        <f t="shared" si="189"/>
        <v>0</v>
      </c>
      <c r="Y1935" s="44">
        <f t="shared" si="190"/>
        <v>0</v>
      </c>
    </row>
    <row r="1936" spans="23:25">
      <c r="W1936" s="44">
        <f t="shared" si="188"/>
        <v>0</v>
      </c>
      <c r="X1936" s="44">
        <f t="shared" si="189"/>
        <v>0</v>
      </c>
      <c r="Y1936" s="44">
        <f t="shared" si="190"/>
        <v>0</v>
      </c>
    </row>
    <row r="1937" spans="23:25">
      <c r="W1937" s="44">
        <f t="shared" si="188"/>
        <v>0</v>
      </c>
      <c r="X1937" s="44">
        <f t="shared" si="189"/>
        <v>0</v>
      </c>
      <c r="Y1937" s="44">
        <f t="shared" si="190"/>
        <v>0</v>
      </c>
    </row>
    <row r="1938" spans="23:25">
      <c r="W1938" s="44">
        <f t="shared" si="188"/>
        <v>0</v>
      </c>
      <c r="X1938" s="44">
        <f t="shared" si="189"/>
        <v>0</v>
      </c>
      <c r="Y1938" s="44">
        <f t="shared" si="190"/>
        <v>0</v>
      </c>
    </row>
    <row r="1939" spans="23:25">
      <c r="W1939" s="44">
        <f t="shared" si="188"/>
        <v>0</v>
      </c>
      <c r="X1939" s="44">
        <f t="shared" si="189"/>
        <v>0</v>
      </c>
      <c r="Y1939" s="44">
        <f t="shared" si="190"/>
        <v>0</v>
      </c>
    </row>
    <row r="1940" spans="23:25">
      <c r="W1940" s="44">
        <f t="shared" si="188"/>
        <v>0</v>
      </c>
      <c r="X1940" s="44">
        <f t="shared" si="189"/>
        <v>0</v>
      </c>
      <c r="Y1940" s="44">
        <f t="shared" si="190"/>
        <v>0</v>
      </c>
    </row>
    <row r="1941" spans="23:25">
      <c r="W1941" s="44">
        <f t="shared" si="188"/>
        <v>0</v>
      </c>
      <c r="X1941" s="44">
        <f t="shared" si="189"/>
        <v>0</v>
      </c>
      <c r="Y1941" s="44">
        <f t="shared" si="190"/>
        <v>0</v>
      </c>
    </row>
    <row r="1942" spans="23:25">
      <c r="W1942" s="44">
        <f t="shared" si="188"/>
        <v>0</v>
      </c>
      <c r="X1942" s="44">
        <f t="shared" si="189"/>
        <v>0</v>
      </c>
      <c r="Y1942" s="44">
        <f t="shared" si="190"/>
        <v>0</v>
      </c>
    </row>
    <row r="1943" spans="23:25">
      <c r="W1943" s="44">
        <f t="shared" si="188"/>
        <v>0</v>
      </c>
      <c r="X1943" s="44">
        <f t="shared" si="189"/>
        <v>0</v>
      </c>
      <c r="Y1943" s="44">
        <f t="shared" si="190"/>
        <v>0</v>
      </c>
    </row>
    <row r="1944" spans="23:25">
      <c r="W1944" s="44">
        <f t="shared" si="188"/>
        <v>0</v>
      </c>
      <c r="X1944" s="44">
        <f t="shared" si="189"/>
        <v>0</v>
      </c>
      <c r="Y1944" s="44">
        <f t="shared" si="190"/>
        <v>0</v>
      </c>
    </row>
    <row r="1945" spans="23:25">
      <c r="W1945" s="44">
        <f t="shared" si="188"/>
        <v>0</v>
      </c>
      <c r="X1945" s="44">
        <f t="shared" si="189"/>
        <v>0</v>
      </c>
      <c r="Y1945" s="44">
        <f t="shared" si="190"/>
        <v>0</v>
      </c>
    </row>
    <row r="1946" spans="23:25">
      <c r="W1946" s="44">
        <f t="shared" si="188"/>
        <v>0</v>
      </c>
      <c r="X1946" s="44">
        <f t="shared" si="189"/>
        <v>0</v>
      </c>
      <c r="Y1946" s="44">
        <f t="shared" si="190"/>
        <v>0</v>
      </c>
    </row>
    <row r="1947" spans="23:25">
      <c r="W1947" s="44">
        <f t="shared" si="188"/>
        <v>0</v>
      </c>
      <c r="X1947" s="44">
        <f t="shared" si="189"/>
        <v>0</v>
      </c>
      <c r="Y1947" s="44">
        <f t="shared" si="190"/>
        <v>0</v>
      </c>
    </row>
    <row r="1948" spans="23:25">
      <c r="W1948" s="44">
        <f t="shared" si="188"/>
        <v>0</v>
      </c>
      <c r="X1948" s="44">
        <f t="shared" si="189"/>
        <v>0</v>
      </c>
      <c r="Y1948" s="44">
        <f t="shared" si="190"/>
        <v>0</v>
      </c>
    </row>
    <row r="1949" spans="23:25">
      <c r="W1949" s="44">
        <f t="shared" si="188"/>
        <v>0</v>
      </c>
      <c r="X1949" s="44">
        <f t="shared" si="189"/>
        <v>0</v>
      </c>
      <c r="Y1949" s="44">
        <f t="shared" si="190"/>
        <v>0</v>
      </c>
    </row>
    <row r="1950" spans="23:25">
      <c r="W1950" s="44">
        <f t="shared" si="188"/>
        <v>0</v>
      </c>
      <c r="X1950" s="44">
        <f t="shared" si="189"/>
        <v>0</v>
      </c>
      <c r="Y1950" s="44">
        <f t="shared" si="190"/>
        <v>0</v>
      </c>
    </row>
    <row r="1951" spans="23:25">
      <c r="W1951" s="44">
        <f t="shared" si="188"/>
        <v>0</v>
      </c>
      <c r="X1951" s="44">
        <f t="shared" si="189"/>
        <v>0</v>
      </c>
      <c r="Y1951" s="44">
        <f t="shared" si="190"/>
        <v>0</v>
      </c>
    </row>
    <row r="1952" spans="23:25">
      <c r="W1952" s="44">
        <f t="shared" si="188"/>
        <v>0</v>
      </c>
      <c r="X1952" s="44">
        <f t="shared" si="189"/>
        <v>0</v>
      </c>
      <c r="Y1952" s="44">
        <f t="shared" si="190"/>
        <v>0</v>
      </c>
    </row>
    <row r="1953" spans="23:25">
      <c r="W1953" s="44">
        <f t="shared" si="188"/>
        <v>0</v>
      </c>
      <c r="X1953" s="44">
        <f t="shared" si="189"/>
        <v>0</v>
      </c>
      <c r="Y1953" s="44">
        <f t="shared" si="190"/>
        <v>0</v>
      </c>
    </row>
    <row r="1954" spans="23:25">
      <c r="W1954" s="44">
        <f t="shared" si="188"/>
        <v>0</v>
      </c>
      <c r="X1954" s="44">
        <f t="shared" si="189"/>
        <v>0</v>
      </c>
      <c r="Y1954" s="44">
        <f t="shared" si="190"/>
        <v>0</v>
      </c>
    </row>
    <row r="1955" spans="23:25">
      <c r="W1955" s="44">
        <f t="shared" si="188"/>
        <v>0</v>
      </c>
      <c r="X1955" s="44">
        <f t="shared" si="189"/>
        <v>0</v>
      </c>
      <c r="Y1955" s="44">
        <f t="shared" si="190"/>
        <v>0</v>
      </c>
    </row>
    <row r="1956" spans="23:25">
      <c r="W1956" s="44">
        <f t="shared" si="188"/>
        <v>0</v>
      </c>
      <c r="X1956" s="44">
        <f t="shared" si="189"/>
        <v>0</v>
      </c>
      <c r="Y1956" s="44">
        <f t="shared" si="190"/>
        <v>0</v>
      </c>
    </row>
    <row r="1957" spans="23:25">
      <c r="W1957" s="44">
        <f t="shared" si="188"/>
        <v>0</v>
      </c>
      <c r="X1957" s="44">
        <f t="shared" si="189"/>
        <v>0</v>
      </c>
      <c r="Y1957" s="44">
        <f t="shared" si="190"/>
        <v>0</v>
      </c>
    </row>
    <row r="1958" spans="23:25">
      <c r="W1958" s="44">
        <f t="shared" si="188"/>
        <v>0</v>
      </c>
      <c r="X1958" s="44">
        <f t="shared" si="189"/>
        <v>0</v>
      </c>
      <c r="Y1958" s="44">
        <f t="shared" si="190"/>
        <v>0</v>
      </c>
    </row>
    <row r="1959" spans="23:25">
      <c r="W1959" s="44">
        <f t="shared" si="188"/>
        <v>0</v>
      </c>
      <c r="X1959" s="44">
        <f t="shared" si="189"/>
        <v>0</v>
      </c>
      <c r="Y1959" s="44">
        <f t="shared" si="190"/>
        <v>0</v>
      </c>
    </row>
    <row r="1960" spans="23:25">
      <c r="W1960" s="44">
        <f t="shared" si="188"/>
        <v>0</v>
      </c>
      <c r="X1960" s="44">
        <f t="shared" si="189"/>
        <v>0</v>
      </c>
      <c r="Y1960" s="44">
        <f t="shared" si="190"/>
        <v>0</v>
      </c>
    </row>
    <row r="1961" spans="23:25">
      <c r="W1961" s="44">
        <f t="shared" si="188"/>
        <v>0</v>
      </c>
      <c r="X1961" s="44">
        <f t="shared" si="189"/>
        <v>0</v>
      </c>
      <c r="Y1961" s="44">
        <f t="shared" si="190"/>
        <v>0</v>
      </c>
    </row>
    <row r="1962" spans="23:25">
      <c r="W1962" s="44">
        <f t="shared" si="188"/>
        <v>0</v>
      </c>
      <c r="X1962" s="44">
        <f t="shared" si="189"/>
        <v>0</v>
      </c>
      <c r="Y1962" s="44">
        <f t="shared" si="190"/>
        <v>0</v>
      </c>
    </row>
    <row r="1963" spans="23:25">
      <c r="W1963" s="44">
        <f t="shared" si="188"/>
        <v>0</v>
      </c>
      <c r="X1963" s="44">
        <f t="shared" si="189"/>
        <v>0</v>
      </c>
      <c r="Y1963" s="44">
        <f t="shared" si="190"/>
        <v>0</v>
      </c>
    </row>
    <row r="1964" spans="23:25">
      <c r="W1964" s="44">
        <f t="shared" si="188"/>
        <v>0</v>
      </c>
      <c r="X1964" s="44">
        <f t="shared" si="189"/>
        <v>0</v>
      </c>
      <c r="Y1964" s="44">
        <f t="shared" si="190"/>
        <v>0</v>
      </c>
    </row>
    <row r="1965" spans="23:25">
      <c r="W1965" s="44">
        <f t="shared" si="188"/>
        <v>0</v>
      </c>
      <c r="X1965" s="44">
        <f t="shared" si="189"/>
        <v>0</v>
      </c>
      <c r="Y1965" s="44">
        <f t="shared" si="190"/>
        <v>0</v>
      </c>
    </row>
    <row r="1966" spans="23:25">
      <c r="W1966" s="44">
        <f t="shared" si="188"/>
        <v>0</v>
      </c>
      <c r="X1966" s="44">
        <f t="shared" si="189"/>
        <v>0</v>
      </c>
      <c r="Y1966" s="44">
        <f t="shared" si="190"/>
        <v>0</v>
      </c>
    </row>
    <row r="1967" spans="23:25">
      <c r="W1967" s="44">
        <f t="shared" si="188"/>
        <v>0</v>
      </c>
      <c r="X1967" s="44">
        <f t="shared" si="189"/>
        <v>0</v>
      </c>
      <c r="Y1967" s="44">
        <f t="shared" si="190"/>
        <v>0</v>
      </c>
    </row>
    <row r="1968" spans="23:25">
      <c r="W1968" s="44">
        <f t="shared" si="188"/>
        <v>0</v>
      </c>
      <c r="X1968" s="44">
        <f t="shared" si="189"/>
        <v>0</v>
      </c>
      <c r="Y1968" s="44">
        <f t="shared" si="190"/>
        <v>0</v>
      </c>
    </row>
    <row r="1969" spans="23:25">
      <c r="W1969" s="44">
        <f t="shared" si="188"/>
        <v>0</v>
      </c>
      <c r="X1969" s="44">
        <f t="shared" si="189"/>
        <v>0</v>
      </c>
      <c r="Y1969" s="44">
        <f t="shared" si="190"/>
        <v>0</v>
      </c>
    </row>
    <row r="1970" spans="23:25">
      <c r="W1970" s="44">
        <f t="shared" si="188"/>
        <v>0</v>
      </c>
      <c r="X1970" s="44">
        <f t="shared" si="189"/>
        <v>0</v>
      </c>
      <c r="Y1970" s="44">
        <f t="shared" si="190"/>
        <v>0</v>
      </c>
    </row>
    <row r="1971" spans="23:25">
      <c r="W1971" s="44">
        <f t="shared" si="188"/>
        <v>0</v>
      </c>
      <c r="X1971" s="44">
        <f t="shared" si="189"/>
        <v>0</v>
      </c>
      <c r="Y1971" s="44">
        <f t="shared" si="190"/>
        <v>0</v>
      </c>
    </row>
    <row r="1972" spans="23:25">
      <c r="W1972" s="44">
        <f t="shared" si="188"/>
        <v>0</v>
      </c>
      <c r="X1972" s="44">
        <f t="shared" si="189"/>
        <v>0</v>
      </c>
      <c r="Y1972" s="44">
        <f t="shared" si="190"/>
        <v>0</v>
      </c>
    </row>
    <row r="1973" spans="23:25">
      <c r="W1973" s="44">
        <f t="shared" si="188"/>
        <v>0</v>
      </c>
      <c r="X1973" s="44">
        <f t="shared" si="189"/>
        <v>0</v>
      </c>
      <c r="Y1973" s="44">
        <f t="shared" si="190"/>
        <v>0</v>
      </c>
    </row>
    <row r="1974" spans="23:25">
      <c r="W1974" s="44">
        <f t="shared" si="188"/>
        <v>0</v>
      </c>
      <c r="X1974" s="44">
        <f t="shared" si="189"/>
        <v>0</v>
      </c>
      <c r="Y1974" s="44">
        <f t="shared" si="190"/>
        <v>0</v>
      </c>
    </row>
    <row r="1975" spans="23:25">
      <c r="W1975" s="44">
        <f t="shared" si="188"/>
        <v>0</v>
      </c>
      <c r="X1975" s="44">
        <f t="shared" si="189"/>
        <v>0</v>
      </c>
      <c r="Y1975" s="44">
        <f t="shared" si="190"/>
        <v>0</v>
      </c>
    </row>
    <row r="1976" spans="23:25">
      <c r="W1976" s="44">
        <f t="shared" si="188"/>
        <v>0</v>
      </c>
      <c r="X1976" s="44">
        <f t="shared" si="189"/>
        <v>0</v>
      </c>
      <c r="Y1976" s="44">
        <f t="shared" si="190"/>
        <v>0</v>
      </c>
    </row>
    <row r="1977" spans="23:25">
      <c r="W1977" s="44">
        <f t="shared" si="188"/>
        <v>0</v>
      </c>
      <c r="X1977" s="44">
        <f t="shared" si="189"/>
        <v>0</v>
      </c>
      <c r="Y1977" s="44">
        <f t="shared" si="190"/>
        <v>0</v>
      </c>
    </row>
    <row r="1978" spans="23:25">
      <c r="W1978" s="44">
        <f t="shared" si="188"/>
        <v>0</v>
      </c>
      <c r="X1978" s="44">
        <f t="shared" si="189"/>
        <v>0</v>
      </c>
      <c r="Y1978" s="44">
        <f t="shared" si="190"/>
        <v>0</v>
      </c>
    </row>
    <row r="1979" spans="23:25">
      <c r="W1979" s="44">
        <f t="shared" si="188"/>
        <v>0</v>
      </c>
      <c r="X1979" s="44">
        <f t="shared" si="189"/>
        <v>0</v>
      </c>
      <c r="Y1979" s="44">
        <f t="shared" si="190"/>
        <v>0</v>
      </c>
    </row>
    <row r="1980" spans="23:25">
      <c r="W1980" s="44">
        <f t="shared" si="188"/>
        <v>0</v>
      </c>
      <c r="X1980" s="44">
        <f t="shared" si="189"/>
        <v>0</v>
      </c>
      <c r="Y1980" s="44">
        <f t="shared" si="190"/>
        <v>0</v>
      </c>
    </row>
    <row r="1981" spans="23:25">
      <c r="W1981" s="44">
        <f t="shared" si="188"/>
        <v>0</v>
      </c>
      <c r="X1981" s="44">
        <f t="shared" si="189"/>
        <v>0</v>
      </c>
      <c r="Y1981" s="44">
        <f t="shared" si="190"/>
        <v>0</v>
      </c>
    </row>
    <row r="1982" spans="23:25">
      <c r="W1982" s="44">
        <f t="shared" si="188"/>
        <v>0</v>
      </c>
      <c r="X1982" s="44">
        <f t="shared" si="189"/>
        <v>0</v>
      </c>
      <c r="Y1982" s="44">
        <f t="shared" si="190"/>
        <v>0</v>
      </c>
    </row>
    <row r="1983" spans="23:25">
      <c r="W1983" s="44">
        <f t="shared" si="188"/>
        <v>0</v>
      </c>
      <c r="X1983" s="44">
        <f t="shared" si="189"/>
        <v>0</v>
      </c>
      <c r="Y1983" s="44">
        <f t="shared" si="190"/>
        <v>0</v>
      </c>
    </row>
    <row r="1984" spans="23:25">
      <c r="W1984" s="44">
        <f t="shared" si="188"/>
        <v>0</v>
      </c>
      <c r="X1984" s="44">
        <f t="shared" si="189"/>
        <v>0</v>
      </c>
      <c r="Y1984" s="44">
        <f t="shared" si="190"/>
        <v>0</v>
      </c>
    </row>
    <row r="1985" spans="23:25">
      <c r="W1985" s="44">
        <f t="shared" si="188"/>
        <v>0</v>
      </c>
      <c r="X1985" s="44">
        <f t="shared" si="189"/>
        <v>0</v>
      </c>
      <c r="Y1985" s="44">
        <f t="shared" si="190"/>
        <v>0</v>
      </c>
    </row>
    <row r="1986" spans="23:25">
      <c r="W1986" s="44">
        <f t="shared" si="188"/>
        <v>0</v>
      </c>
      <c r="X1986" s="44">
        <f t="shared" si="189"/>
        <v>0</v>
      </c>
      <c r="Y1986" s="44">
        <f t="shared" si="190"/>
        <v>0</v>
      </c>
    </row>
    <row r="1987" spans="23:25">
      <c r="W1987" s="44">
        <f t="shared" si="188"/>
        <v>0</v>
      </c>
      <c r="X1987" s="44">
        <f t="shared" si="189"/>
        <v>0</v>
      </c>
      <c r="Y1987" s="44">
        <f t="shared" si="190"/>
        <v>0</v>
      </c>
    </row>
    <row r="1988" spans="23:25">
      <c r="W1988" s="44">
        <f t="shared" si="188"/>
        <v>0</v>
      </c>
      <c r="X1988" s="44">
        <f t="shared" si="189"/>
        <v>0</v>
      </c>
      <c r="Y1988" s="44">
        <f t="shared" si="190"/>
        <v>0</v>
      </c>
    </row>
    <row r="1989" spans="23:25">
      <c r="W1989" s="44">
        <f t="shared" si="188"/>
        <v>0</v>
      </c>
      <c r="X1989" s="44">
        <f t="shared" si="189"/>
        <v>0</v>
      </c>
      <c r="Y1989" s="44">
        <f t="shared" si="190"/>
        <v>0</v>
      </c>
    </row>
    <row r="1990" spans="23:25">
      <c r="W1990" s="44">
        <f>+T1990-U1990-V1990-Z1990</f>
        <v>0</v>
      </c>
      <c r="X1990" s="44">
        <f t="shared" si="189"/>
        <v>0</v>
      </c>
      <c r="Y1990" s="44">
        <f t="shared" si="190"/>
        <v>0</v>
      </c>
    </row>
    <row r="1991" spans="23:25">
      <c r="W1991" s="44">
        <f>+T1991-U1991-V1991-Z1991</f>
        <v>0</v>
      </c>
      <c r="X1991" s="44">
        <f t="shared" si="189"/>
        <v>0</v>
      </c>
      <c r="Y1991" s="44">
        <f t="shared" si="190"/>
        <v>0</v>
      </c>
    </row>
    <row r="1992" spans="23:25">
      <c r="W1992" s="44">
        <f t="shared" ref="W1992:W2055" si="191">+T1992-U1992-V1992-Z1992</f>
        <v>0</v>
      </c>
      <c r="X1992" s="44">
        <f t="shared" ref="X1992:X2055" si="192">(+O1992-U1992)*$X$1</f>
        <v>0</v>
      </c>
      <c r="Y1992" s="44">
        <f t="shared" ref="Y1992:Y2055" si="193">+W1992-X1992</f>
        <v>0</v>
      </c>
    </row>
    <row r="1993" spans="23:25">
      <c r="W1993" s="44">
        <f t="shared" si="191"/>
        <v>0</v>
      </c>
      <c r="X1993" s="44">
        <f t="shared" si="192"/>
        <v>0</v>
      </c>
      <c r="Y1993" s="44">
        <f t="shared" si="193"/>
        <v>0</v>
      </c>
    </row>
    <row r="1994" spans="23:25">
      <c r="W1994" s="44">
        <f t="shared" si="191"/>
        <v>0</v>
      </c>
      <c r="X1994" s="44">
        <f t="shared" si="192"/>
        <v>0</v>
      </c>
      <c r="Y1994" s="44">
        <f t="shared" si="193"/>
        <v>0</v>
      </c>
    </row>
    <row r="1995" spans="23:25">
      <c r="W1995" s="44">
        <f t="shared" si="191"/>
        <v>0</v>
      </c>
      <c r="X1995" s="44">
        <f t="shared" si="192"/>
        <v>0</v>
      </c>
      <c r="Y1995" s="44">
        <f t="shared" si="193"/>
        <v>0</v>
      </c>
    </row>
    <row r="1996" spans="23:25">
      <c r="W1996" s="44">
        <f t="shared" si="191"/>
        <v>0</v>
      </c>
      <c r="X1996" s="44">
        <f t="shared" si="192"/>
        <v>0</v>
      </c>
      <c r="Y1996" s="44">
        <f t="shared" si="193"/>
        <v>0</v>
      </c>
    </row>
    <row r="1997" spans="23:25">
      <c r="W1997" s="44">
        <f t="shared" si="191"/>
        <v>0</v>
      </c>
      <c r="X1997" s="44">
        <f t="shared" si="192"/>
        <v>0</v>
      </c>
      <c r="Y1997" s="44">
        <f t="shared" si="193"/>
        <v>0</v>
      </c>
    </row>
    <row r="1998" spans="23:25">
      <c r="W1998" s="44">
        <f t="shared" si="191"/>
        <v>0</v>
      </c>
      <c r="X1998" s="44">
        <f t="shared" si="192"/>
        <v>0</v>
      </c>
      <c r="Y1998" s="44">
        <f t="shared" si="193"/>
        <v>0</v>
      </c>
    </row>
    <row r="1999" spans="23:25">
      <c r="W1999" s="44">
        <f t="shared" si="191"/>
        <v>0</v>
      </c>
      <c r="X1999" s="44">
        <f t="shared" si="192"/>
        <v>0</v>
      </c>
      <c r="Y1999" s="44">
        <f t="shared" si="193"/>
        <v>0</v>
      </c>
    </row>
    <row r="2000" spans="23:25">
      <c r="W2000" s="44">
        <f t="shared" si="191"/>
        <v>0</v>
      </c>
      <c r="X2000" s="44">
        <f t="shared" si="192"/>
        <v>0</v>
      </c>
      <c r="Y2000" s="44">
        <f t="shared" si="193"/>
        <v>0</v>
      </c>
    </row>
    <row r="2001" spans="23:25">
      <c r="W2001" s="44">
        <f t="shared" si="191"/>
        <v>0</v>
      </c>
      <c r="X2001" s="44">
        <f t="shared" si="192"/>
        <v>0</v>
      </c>
      <c r="Y2001" s="44">
        <f t="shared" si="193"/>
        <v>0</v>
      </c>
    </row>
    <row r="2002" spans="23:25">
      <c r="W2002" s="44">
        <f t="shared" si="191"/>
        <v>0</v>
      </c>
      <c r="X2002" s="44">
        <f t="shared" si="192"/>
        <v>0</v>
      </c>
      <c r="Y2002" s="44">
        <f t="shared" si="193"/>
        <v>0</v>
      </c>
    </row>
    <row r="2003" spans="23:25">
      <c r="W2003" s="44">
        <f t="shared" si="191"/>
        <v>0</v>
      </c>
      <c r="X2003" s="44">
        <f t="shared" si="192"/>
        <v>0</v>
      </c>
      <c r="Y2003" s="44">
        <f t="shared" si="193"/>
        <v>0</v>
      </c>
    </row>
    <row r="2004" spans="23:25">
      <c r="W2004" s="44">
        <f t="shared" si="191"/>
        <v>0</v>
      </c>
      <c r="X2004" s="44">
        <f t="shared" si="192"/>
        <v>0</v>
      </c>
      <c r="Y2004" s="44">
        <f t="shared" si="193"/>
        <v>0</v>
      </c>
    </row>
    <row r="2005" spans="23:25">
      <c r="W2005" s="44">
        <f t="shared" si="191"/>
        <v>0</v>
      </c>
      <c r="X2005" s="44">
        <f t="shared" si="192"/>
        <v>0</v>
      </c>
      <c r="Y2005" s="44">
        <f t="shared" si="193"/>
        <v>0</v>
      </c>
    </row>
    <row r="2006" spans="23:25">
      <c r="W2006" s="44">
        <f t="shared" si="191"/>
        <v>0</v>
      </c>
      <c r="X2006" s="44">
        <f t="shared" si="192"/>
        <v>0</v>
      </c>
      <c r="Y2006" s="44">
        <f t="shared" si="193"/>
        <v>0</v>
      </c>
    </row>
    <row r="2007" spans="23:25">
      <c r="W2007" s="44">
        <f t="shared" si="191"/>
        <v>0</v>
      </c>
      <c r="X2007" s="44">
        <f t="shared" si="192"/>
        <v>0</v>
      </c>
      <c r="Y2007" s="44">
        <f t="shared" si="193"/>
        <v>0</v>
      </c>
    </row>
    <row r="2008" spans="23:25">
      <c r="W2008" s="44">
        <f t="shared" si="191"/>
        <v>0</v>
      </c>
      <c r="X2008" s="44">
        <f t="shared" si="192"/>
        <v>0</v>
      </c>
      <c r="Y2008" s="44">
        <f t="shared" si="193"/>
        <v>0</v>
      </c>
    </row>
    <row r="2009" spans="23:25">
      <c r="W2009" s="44">
        <f t="shared" si="191"/>
        <v>0</v>
      </c>
      <c r="X2009" s="44">
        <f t="shared" si="192"/>
        <v>0</v>
      </c>
      <c r="Y2009" s="44">
        <f t="shared" si="193"/>
        <v>0</v>
      </c>
    </row>
    <row r="2010" spans="23:25">
      <c r="W2010" s="44">
        <f t="shared" si="191"/>
        <v>0</v>
      </c>
      <c r="X2010" s="44">
        <f t="shared" si="192"/>
        <v>0</v>
      </c>
      <c r="Y2010" s="44">
        <f t="shared" si="193"/>
        <v>0</v>
      </c>
    </row>
    <row r="2011" spans="23:25">
      <c r="W2011" s="44">
        <f t="shared" si="191"/>
        <v>0</v>
      </c>
      <c r="X2011" s="44">
        <f t="shared" si="192"/>
        <v>0</v>
      </c>
      <c r="Y2011" s="44">
        <f t="shared" si="193"/>
        <v>0</v>
      </c>
    </row>
    <row r="2012" spans="23:25">
      <c r="W2012" s="44">
        <f t="shared" si="191"/>
        <v>0</v>
      </c>
      <c r="X2012" s="44">
        <f t="shared" si="192"/>
        <v>0</v>
      </c>
      <c r="Y2012" s="44">
        <f t="shared" si="193"/>
        <v>0</v>
      </c>
    </row>
    <row r="2013" spans="23:25">
      <c r="W2013" s="44">
        <f t="shared" si="191"/>
        <v>0</v>
      </c>
      <c r="X2013" s="44">
        <f t="shared" si="192"/>
        <v>0</v>
      </c>
      <c r="Y2013" s="44">
        <f t="shared" si="193"/>
        <v>0</v>
      </c>
    </row>
    <row r="2014" spans="23:25">
      <c r="W2014" s="44">
        <f t="shared" si="191"/>
        <v>0</v>
      </c>
      <c r="X2014" s="44">
        <f t="shared" si="192"/>
        <v>0</v>
      </c>
      <c r="Y2014" s="44">
        <f t="shared" si="193"/>
        <v>0</v>
      </c>
    </row>
    <row r="2015" spans="23:25">
      <c r="W2015" s="44">
        <f t="shared" si="191"/>
        <v>0</v>
      </c>
      <c r="X2015" s="44">
        <f t="shared" si="192"/>
        <v>0</v>
      </c>
      <c r="Y2015" s="44">
        <f t="shared" si="193"/>
        <v>0</v>
      </c>
    </row>
    <row r="2016" spans="23:25">
      <c r="W2016" s="44">
        <f t="shared" si="191"/>
        <v>0</v>
      </c>
      <c r="X2016" s="44">
        <f t="shared" si="192"/>
        <v>0</v>
      </c>
      <c r="Y2016" s="44">
        <f t="shared" si="193"/>
        <v>0</v>
      </c>
    </row>
    <row r="2017" spans="23:25">
      <c r="W2017" s="44">
        <f t="shared" si="191"/>
        <v>0</v>
      </c>
      <c r="X2017" s="44">
        <f t="shared" si="192"/>
        <v>0</v>
      </c>
      <c r="Y2017" s="44">
        <f t="shared" si="193"/>
        <v>0</v>
      </c>
    </row>
    <row r="2018" spans="23:25">
      <c r="W2018" s="44">
        <f t="shared" si="191"/>
        <v>0</v>
      </c>
      <c r="X2018" s="44">
        <f t="shared" si="192"/>
        <v>0</v>
      </c>
      <c r="Y2018" s="44">
        <f t="shared" si="193"/>
        <v>0</v>
      </c>
    </row>
    <row r="2019" spans="23:25">
      <c r="W2019" s="44">
        <f t="shared" si="191"/>
        <v>0</v>
      </c>
      <c r="X2019" s="44">
        <f t="shared" si="192"/>
        <v>0</v>
      </c>
      <c r="Y2019" s="44">
        <f t="shared" si="193"/>
        <v>0</v>
      </c>
    </row>
    <row r="2020" spans="23:25">
      <c r="W2020" s="44">
        <f t="shared" si="191"/>
        <v>0</v>
      </c>
      <c r="X2020" s="44">
        <f t="shared" si="192"/>
        <v>0</v>
      </c>
      <c r="Y2020" s="44">
        <f t="shared" si="193"/>
        <v>0</v>
      </c>
    </row>
    <row r="2021" spans="23:25">
      <c r="W2021" s="44">
        <f t="shared" si="191"/>
        <v>0</v>
      </c>
      <c r="X2021" s="44">
        <f t="shared" si="192"/>
        <v>0</v>
      </c>
      <c r="Y2021" s="44">
        <f t="shared" si="193"/>
        <v>0</v>
      </c>
    </row>
    <row r="2022" spans="23:25">
      <c r="W2022" s="44">
        <f t="shared" si="191"/>
        <v>0</v>
      </c>
      <c r="X2022" s="44">
        <f t="shared" si="192"/>
        <v>0</v>
      </c>
      <c r="Y2022" s="44">
        <f t="shared" si="193"/>
        <v>0</v>
      </c>
    </row>
    <row r="2023" spans="23:25">
      <c r="W2023" s="44">
        <f t="shared" si="191"/>
        <v>0</v>
      </c>
      <c r="X2023" s="44">
        <f t="shared" si="192"/>
        <v>0</v>
      </c>
      <c r="Y2023" s="44">
        <f t="shared" si="193"/>
        <v>0</v>
      </c>
    </row>
    <row r="2024" spans="23:25">
      <c r="W2024" s="44">
        <f t="shared" si="191"/>
        <v>0</v>
      </c>
      <c r="X2024" s="44">
        <f t="shared" si="192"/>
        <v>0</v>
      </c>
      <c r="Y2024" s="44">
        <f t="shared" si="193"/>
        <v>0</v>
      </c>
    </row>
    <row r="2025" spans="23:25">
      <c r="W2025" s="44">
        <f t="shared" si="191"/>
        <v>0</v>
      </c>
      <c r="X2025" s="44">
        <f t="shared" si="192"/>
        <v>0</v>
      </c>
      <c r="Y2025" s="44">
        <f t="shared" si="193"/>
        <v>0</v>
      </c>
    </row>
    <row r="2026" spans="23:25">
      <c r="W2026" s="44">
        <f t="shared" si="191"/>
        <v>0</v>
      </c>
      <c r="X2026" s="44">
        <f t="shared" si="192"/>
        <v>0</v>
      </c>
      <c r="Y2026" s="44">
        <f t="shared" si="193"/>
        <v>0</v>
      </c>
    </row>
    <row r="2027" spans="23:25">
      <c r="W2027" s="44">
        <f t="shared" si="191"/>
        <v>0</v>
      </c>
      <c r="X2027" s="44">
        <f t="shared" si="192"/>
        <v>0</v>
      </c>
      <c r="Y2027" s="44">
        <f t="shared" si="193"/>
        <v>0</v>
      </c>
    </row>
    <row r="2028" spans="23:25">
      <c r="W2028" s="44">
        <f t="shared" si="191"/>
        <v>0</v>
      </c>
      <c r="X2028" s="44">
        <f t="shared" si="192"/>
        <v>0</v>
      </c>
      <c r="Y2028" s="44">
        <f t="shared" si="193"/>
        <v>0</v>
      </c>
    </row>
    <row r="2029" spans="23:25">
      <c r="W2029" s="44">
        <f t="shared" si="191"/>
        <v>0</v>
      </c>
      <c r="X2029" s="44">
        <f t="shared" si="192"/>
        <v>0</v>
      </c>
      <c r="Y2029" s="44">
        <f t="shared" si="193"/>
        <v>0</v>
      </c>
    </row>
    <row r="2030" spans="23:25">
      <c r="W2030" s="44">
        <f t="shared" si="191"/>
        <v>0</v>
      </c>
      <c r="X2030" s="44">
        <f t="shared" si="192"/>
        <v>0</v>
      </c>
      <c r="Y2030" s="44">
        <f t="shared" si="193"/>
        <v>0</v>
      </c>
    </row>
    <row r="2031" spans="23:25">
      <c r="W2031" s="44">
        <f t="shared" si="191"/>
        <v>0</v>
      </c>
      <c r="X2031" s="44">
        <f t="shared" si="192"/>
        <v>0</v>
      </c>
      <c r="Y2031" s="44">
        <f t="shared" si="193"/>
        <v>0</v>
      </c>
    </row>
    <row r="2032" spans="23:25">
      <c r="W2032" s="44">
        <f t="shared" si="191"/>
        <v>0</v>
      </c>
      <c r="X2032" s="44">
        <f t="shared" si="192"/>
        <v>0</v>
      </c>
      <c r="Y2032" s="44">
        <f t="shared" si="193"/>
        <v>0</v>
      </c>
    </row>
    <row r="2033" spans="23:25">
      <c r="W2033" s="44">
        <f t="shared" si="191"/>
        <v>0</v>
      </c>
      <c r="X2033" s="44">
        <f t="shared" si="192"/>
        <v>0</v>
      </c>
      <c r="Y2033" s="44">
        <f t="shared" si="193"/>
        <v>0</v>
      </c>
    </row>
    <row r="2034" spans="23:25">
      <c r="W2034" s="44">
        <f t="shared" si="191"/>
        <v>0</v>
      </c>
      <c r="X2034" s="44">
        <f t="shared" si="192"/>
        <v>0</v>
      </c>
      <c r="Y2034" s="44">
        <f t="shared" si="193"/>
        <v>0</v>
      </c>
    </row>
    <row r="2035" spans="23:25">
      <c r="W2035" s="44">
        <f t="shared" si="191"/>
        <v>0</v>
      </c>
      <c r="X2035" s="44">
        <f t="shared" si="192"/>
        <v>0</v>
      </c>
      <c r="Y2035" s="44">
        <f t="shared" si="193"/>
        <v>0</v>
      </c>
    </row>
    <row r="2036" spans="23:25">
      <c r="W2036" s="44">
        <f t="shared" si="191"/>
        <v>0</v>
      </c>
      <c r="X2036" s="44">
        <f t="shared" si="192"/>
        <v>0</v>
      </c>
      <c r="Y2036" s="44">
        <f t="shared" si="193"/>
        <v>0</v>
      </c>
    </row>
    <row r="2037" spans="23:25">
      <c r="W2037" s="44">
        <f t="shared" si="191"/>
        <v>0</v>
      </c>
      <c r="X2037" s="44">
        <f t="shared" si="192"/>
        <v>0</v>
      </c>
      <c r="Y2037" s="44">
        <f t="shared" si="193"/>
        <v>0</v>
      </c>
    </row>
    <row r="2038" spans="23:25">
      <c r="W2038" s="44">
        <f t="shared" si="191"/>
        <v>0</v>
      </c>
      <c r="X2038" s="44">
        <f t="shared" si="192"/>
        <v>0</v>
      </c>
      <c r="Y2038" s="44">
        <f t="shared" si="193"/>
        <v>0</v>
      </c>
    </row>
    <row r="2039" spans="23:25">
      <c r="W2039" s="44">
        <f t="shared" si="191"/>
        <v>0</v>
      </c>
      <c r="X2039" s="44">
        <f t="shared" si="192"/>
        <v>0</v>
      </c>
      <c r="Y2039" s="44">
        <f t="shared" si="193"/>
        <v>0</v>
      </c>
    </row>
    <row r="2040" spans="23:25">
      <c r="W2040" s="44">
        <f t="shared" si="191"/>
        <v>0</v>
      </c>
      <c r="X2040" s="44">
        <f t="shared" si="192"/>
        <v>0</v>
      </c>
      <c r="Y2040" s="44">
        <f t="shared" si="193"/>
        <v>0</v>
      </c>
    </row>
    <row r="2041" spans="23:25">
      <c r="W2041" s="44">
        <f t="shared" si="191"/>
        <v>0</v>
      </c>
      <c r="X2041" s="44">
        <f t="shared" si="192"/>
        <v>0</v>
      </c>
      <c r="Y2041" s="44">
        <f t="shared" si="193"/>
        <v>0</v>
      </c>
    </row>
    <row r="2042" spans="23:25">
      <c r="W2042" s="44">
        <f t="shared" si="191"/>
        <v>0</v>
      </c>
      <c r="X2042" s="44">
        <f t="shared" si="192"/>
        <v>0</v>
      </c>
      <c r="Y2042" s="44">
        <f t="shared" si="193"/>
        <v>0</v>
      </c>
    </row>
    <row r="2043" spans="23:25">
      <c r="W2043" s="44">
        <f t="shared" si="191"/>
        <v>0</v>
      </c>
      <c r="X2043" s="44">
        <f t="shared" si="192"/>
        <v>0</v>
      </c>
      <c r="Y2043" s="44">
        <f t="shared" si="193"/>
        <v>0</v>
      </c>
    </row>
    <row r="2044" spans="23:25">
      <c r="W2044" s="44">
        <f t="shared" si="191"/>
        <v>0</v>
      </c>
      <c r="X2044" s="44">
        <f t="shared" si="192"/>
        <v>0</v>
      </c>
      <c r="Y2044" s="44">
        <f t="shared" si="193"/>
        <v>0</v>
      </c>
    </row>
    <row r="2045" spans="23:25">
      <c r="W2045" s="44">
        <f t="shared" si="191"/>
        <v>0</v>
      </c>
      <c r="X2045" s="44">
        <f t="shared" si="192"/>
        <v>0</v>
      </c>
      <c r="Y2045" s="44">
        <f t="shared" si="193"/>
        <v>0</v>
      </c>
    </row>
    <row r="2046" spans="23:25">
      <c r="W2046" s="44">
        <f t="shared" si="191"/>
        <v>0</v>
      </c>
      <c r="X2046" s="44">
        <f t="shared" si="192"/>
        <v>0</v>
      </c>
      <c r="Y2046" s="44">
        <f t="shared" si="193"/>
        <v>0</v>
      </c>
    </row>
    <row r="2047" spans="23:25">
      <c r="W2047" s="44">
        <f t="shared" si="191"/>
        <v>0</v>
      </c>
      <c r="X2047" s="44">
        <f t="shared" si="192"/>
        <v>0</v>
      </c>
      <c r="Y2047" s="44">
        <f t="shared" si="193"/>
        <v>0</v>
      </c>
    </row>
    <row r="2048" spans="23:25">
      <c r="W2048" s="44">
        <f t="shared" si="191"/>
        <v>0</v>
      </c>
      <c r="X2048" s="44">
        <f t="shared" si="192"/>
        <v>0</v>
      </c>
      <c r="Y2048" s="44">
        <f t="shared" si="193"/>
        <v>0</v>
      </c>
    </row>
    <row r="2049" spans="23:25">
      <c r="W2049" s="44">
        <f t="shared" si="191"/>
        <v>0</v>
      </c>
      <c r="X2049" s="44">
        <f t="shared" si="192"/>
        <v>0</v>
      </c>
      <c r="Y2049" s="44">
        <f t="shared" si="193"/>
        <v>0</v>
      </c>
    </row>
    <row r="2050" spans="23:25">
      <c r="W2050" s="44">
        <f t="shared" si="191"/>
        <v>0</v>
      </c>
      <c r="X2050" s="44">
        <f t="shared" si="192"/>
        <v>0</v>
      </c>
      <c r="Y2050" s="44">
        <f t="shared" si="193"/>
        <v>0</v>
      </c>
    </row>
    <row r="2051" spans="23:25">
      <c r="W2051" s="44">
        <f t="shared" si="191"/>
        <v>0</v>
      </c>
      <c r="X2051" s="44">
        <f t="shared" si="192"/>
        <v>0</v>
      </c>
      <c r="Y2051" s="44">
        <f t="shared" si="193"/>
        <v>0</v>
      </c>
    </row>
    <row r="2052" spans="23:25">
      <c r="W2052" s="44">
        <f t="shared" si="191"/>
        <v>0</v>
      </c>
      <c r="X2052" s="44">
        <f t="shared" si="192"/>
        <v>0</v>
      </c>
      <c r="Y2052" s="44">
        <f t="shared" si="193"/>
        <v>0</v>
      </c>
    </row>
    <row r="2053" spans="23:25">
      <c r="W2053" s="44">
        <f t="shared" si="191"/>
        <v>0</v>
      </c>
      <c r="X2053" s="44">
        <f t="shared" si="192"/>
        <v>0</v>
      </c>
      <c r="Y2053" s="44">
        <f t="shared" si="193"/>
        <v>0</v>
      </c>
    </row>
    <row r="2054" spans="23:25">
      <c r="W2054" s="44">
        <f t="shared" si="191"/>
        <v>0</v>
      </c>
      <c r="X2054" s="44">
        <f t="shared" si="192"/>
        <v>0</v>
      </c>
      <c r="Y2054" s="44">
        <f t="shared" si="193"/>
        <v>0</v>
      </c>
    </row>
    <row r="2055" spans="23:25">
      <c r="W2055" s="44">
        <f t="shared" si="191"/>
        <v>0</v>
      </c>
      <c r="X2055" s="44">
        <f t="shared" si="192"/>
        <v>0</v>
      </c>
      <c r="Y2055" s="44">
        <f t="shared" si="193"/>
        <v>0</v>
      </c>
    </row>
    <row r="2056" spans="23:25">
      <c r="W2056" s="44">
        <f t="shared" ref="W2056:W2119" si="194">+T2056-U2056-V2056-Z2056</f>
        <v>0</v>
      </c>
      <c r="X2056" s="44">
        <f t="shared" ref="X2056:X2119" si="195">(+O2056-U2056)*$X$1</f>
        <v>0</v>
      </c>
      <c r="Y2056" s="44">
        <f t="shared" ref="Y2056:Y2119" si="196">+W2056-X2056</f>
        <v>0</v>
      </c>
    </row>
    <row r="2057" spans="23:25">
      <c r="W2057" s="44">
        <f t="shared" si="194"/>
        <v>0</v>
      </c>
      <c r="X2057" s="44">
        <f t="shared" si="195"/>
        <v>0</v>
      </c>
      <c r="Y2057" s="44">
        <f t="shared" si="196"/>
        <v>0</v>
      </c>
    </row>
    <row r="2058" spans="23:25">
      <c r="W2058" s="44">
        <f t="shared" si="194"/>
        <v>0</v>
      </c>
      <c r="X2058" s="44">
        <f t="shared" si="195"/>
        <v>0</v>
      </c>
      <c r="Y2058" s="44">
        <f t="shared" si="196"/>
        <v>0</v>
      </c>
    </row>
    <row r="2059" spans="23:25">
      <c r="W2059" s="44">
        <f t="shared" si="194"/>
        <v>0</v>
      </c>
      <c r="X2059" s="44">
        <f t="shared" si="195"/>
        <v>0</v>
      </c>
      <c r="Y2059" s="44">
        <f t="shared" si="196"/>
        <v>0</v>
      </c>
    </row>
    <row r="2060" spans="23:25">
      <c r="W2060" s="44">
        <f t="shared" si="194"/>
        <v>0</v>
      </c>
      <c r="X2060" s="44">
        <f t="shared" si="195"/>
        <v>0</v>
      </c>
      <c r="Y2060" s="44">
        <f t="shared" si="196"/>
        <v>0</v>
      </c>
    </row>
    <row r="2061" spans="23:25">
      <c r="W2061" s="44">
        <f t="shared" si="194"/>
        <v>0</v>
      </c>
      <c r="X2061" s="44">
        <f t="shared" si="195"/>
        <v>0</v>
      </c>
      <c r="Y2061" s="44">
        <f t="shared" si="196"/>
        <v>0</v>
      </c>
    </row>
    <row r="2062" spans="23:25">
      <c r="W2062" s="44">
        <f t="shared" si="194"/>
        <v>0</v>
      </c>
      <c r="X2062" s="44">
        <f t="shared" si="195"/>
        <v>0</v>
      </c>
      <c r="Y2062" s="44">
        <f t="shared" si="196"/>
        <v>0</v>
      </c>
    </row>
    <row r="2063" spans="23:25">
      <c r="W2063" s="44">
        <f t="shared" si="194"/>
        <v>0</v>
      </c>
      <c r="X2063" s="44">
        <f t="shared" si="195"/>
        <v>0</v>
      </c>
      <c r="Y2063" s="44">
        <f t="shared" si="196"/>
        <v>0</v>
      </c>
    </row>
    <row r="2064" spans="23:25">
      <c r="W2064" s="44">
        <f t="shared" si="194"/>
        <v>0</v>
      </c>
      <c r="X2064" s="44">
        <f t="shared" si="195"/>
        <v>0</v>
      </c>
      <c r="Y2064" s="44">
        <f t="shared" si="196"/>
        <v>0</v>
      </c>
    </row>
    <row r="2065" spans="23:25">
      <c r="W2065" s="44">
        <f t="shared" si="194"/>
        <v>0</v>
      </c>
      <c r="X2065" s="44">
        <f t="shared" si="195"/>
        <v>0</v>
      </c>
      <c r="Y2065" s="44">
        <f t="shared" si="196"/>
        <v>0</v>
      </c>
    </row>
    <row r="2066" spans="23:25">
      <c r="W2066" s="44">
        <f t="shared" si="194"/>
        <v>0</v>
      </c>
      <c r="X2066" s="44">
        <f t="shared" si="195"/>
        <v>0</v>
      </c>
      <c r="Y2066" s="44">
        <f t="shared" si="196"/>
        <v>0</v>
      </c>
    </row>
    <row r="2067" spans="23:25">
      <c r="W2067" s="44">
        <f t="shared" si="194"/>
        <v>0</v>
      </c>
      <c r="X2067" s="44">
        <f t="shared" si="195"/>
        <v>0</v>
      </c>
      <c r="Y2067" s="44">
        <f t="shared" si="196"/>
        <v>0</v>
      </c>
    </row>
    <row r="2068" spans="23:25">
      <c r="W2068" s="44">
        <f t="shared" si="194"/>
        <v>0</v>
      </c>
      <c r="X2068" s="44">
        <f t="shared" si="195"/>
        <v>0</v>
      </c>
      <c r="Y2068" s="44">
        <f t="shared" si="196"/>
        <v>0</v>
      </c>
    </row>
    <row r="2069" spans="23:25">
      <c r="W2069" s="44">
        <f t="shared" si="194"/>
        <v>0</v>
      </c>
      <c r="X2069" s="44">
        <f t="shared" si="195"/>
        <v>0</v>
      </c>
      <c r="Y2069" s="44">
        <f t="shared" si="196"/>
        <v>0</v>
      </c>
    </row>
    <row r="2070" spans="23:25">
      <c r="W2070" s="44">
        <f t="shared" si="194"/>
        <v>0</v>
      </c>
      <c r="X2070" s="44">
        <f t="shared" si="195"/>
        <v>0</v>
      </c>
      <c r="Y2070" s="44">
        <f t="shared" si="196"/>
        <v>0</v>
      </c>
    </row>
    <row r="2071" spans="23:25">
      <c r="W2071" s="44">
        <f t="shared" si="194"/>
        <v>0</v>
      </c>
      <c r="X2071" s="44">
        <f t="shared" si="195"/>
        <v>0</v>
      </c>
      <c r="Y2071" s="44">
        <f t="shared" si="196"/>
        <v>0</v>
      </c>
    </row>
    <row r="2072" spans="23:25">
      <c r="W2072" s="44">
        <f t="shared" si="194"/>
        <v>0</v>
      </c>
      <c r="X2072" s="44">
        <f t="shared" si="195"/>
        <v>0</v>
      </c>
      <c r="Y2072" s="44">
        <f t="shared" si="196"/>
        <v>0</v>
      </c>
    </row>
    <row r="2073" spans="23:25">
      <c r="W2073" s="44">
        <f t="shared" si="194"/>
        <v>0</v>
      </c>
      <c r="X2073" s="44">
        <f t="shared" si="195"/>
        <v>0</v>
      </c>
      <c r="Y2073" s="44">
        <f t="shared" si="196"/>
        <v>0</v>
      </c>
    </row>
    <row r="2074" spans="23:25">
      <c r="W2074" s="44">
        <f t="shared" si="194"/>
        <v>0</v>
      </c>
      <c r="X2074" s="44">
        <f t="shared" si="195"/>
        <v>0</v>
      </c>
      <c r="Y2074" s="44">
        <f t="shared" si="196"/>
        <v>0</v>
      </c>
    </row>
    <row r="2075" spans="23:25">
      <c r="W2075" s="44">
        <f t="shared" si="194"/>
        <v>0</v>
      </c>
      <c r="X2075" s="44">
        <f t="shared" si="195"/>
        <v>0</v>
      </c>
      <c r="Y2075" s="44">
        <f t="shared" si="196"/>
        <v>0</v>
      </c>
    </row>
    <row r="2076" spans="23:25">
      <c r="W2076" s="44">
        <f t="shared" si="194"/>
        <v>0</v>
      </c>
      <c r="X2076" s="44">
        <f t="shared" si="195"/>
        <v>0</v>
      </c>
      <c r="Y2076" s="44">
        <f t="shared" si="196"/>
        <v>0</v>
      </c>
    </row>
    <row r="2077" spans="23:25">
      <c r="W2077" s="44">
        <f t="shared" si="194"/>
        <v>0</v>
      </c>
      <c r="X2077" s="44">
        <f t="shared" si="195"/>
        <v>0</v>
      </c>
      <c r="Y2077" s="44">
        <f t="shared" si="196"/>
        <v>0</v>
      </c>
    </row>
    <row r="2078" spans="23:25">
      <c r="W2078" s="44">
        <f t="shared" si="194"/>
        <v>0</v>
      </c>
      <c r="X2078" s="44">
        <f t="shared" si="195"/>
        <v>0</v>
      </c>
      <c r="Y2078" s="44">
        <f t="shared" si="196"/>
        <v>0</v>
      </c>
    </row>
    <row r="2079" spans="23:25">
      <c r="W2079" s="44">
        <f t="shared" si="194"/>
        <v>0</v>
      </c>
      <c r="X2079" s="44">
        <f t="shared" si="195"/>
        <v>0</v>
      </c>
      <c r="Y2079" s="44">
        <f t="shared" si="196"/>
        <v>0</v>
      </c>
    </row>
    <row r="2080" spans="23:25">
      <c r="W2080" s="44">
        <f t="shared" si="194"/>
        <v>0</v>
      </c>
      <c r="X2080" s="44">
        <f t="shared" si="195"/>
        <v>0</v>
      </c>
      <c r="Y2080" s="44">
        <f t="shared" si="196"/>
        <v>0</v>
      </c>
    </row>
    <row r="2081" spans="23:25">
      <c r="W2081" s="44">
        <f t="shared" si="194"/>
        <v>0</v>
      </c>
      <c r="X2081" s="44">
        <f t="shared" si="195"/>
        <v>0</v>
      </c>
      <c r="Y2081" s="44">
        <f t="shared" si="196"/>
        <v>0</v>
      </c>
    </row>
    <row r="2082" spans="23:25">
      <c r="W2082" s="44">
        <f t="shared" si="194"/>
        <v>0</v>
      </c>
      <c r="X2082" s="44">
        <f t="shared" si="195"/>
        <v>0</v>
      </c>
      <c r="Y2082" s="44">
        <f t="shared" si="196"/>
        <v>0</v>
      </c>
    </row>
    <row r="2083" spans="23:25">
      <c r="W2083" s="44">
        <f t="shared" si="194"/>
        <v>0</v>
      </c>
      <c r="X2083" s="44">
        <f t="shared" si="195"/>
        <v>0</v>
      </c>
      <c r="Y2083" s="44">
        <f t="shared" si="196"/>
        <v>0</v>
      </c>
    </row>
    <row r="2084" spans="23:25">
      <c r="W2084" s="44">
        <f t="shared" si="194"/>
        <v>0</v>
      </c>
      <c r="X2084" s="44">
        <f t="shared" si="195"/>
        <v>0</v>
      </c>
      <c r="Y2084" s="44">
        <f t="shared" si="196"/>
        <v>0</v>
      </c>
    </row>
    <row r="2085" spans="23:25">
      <c r="W2085" s="44">
        <f t="shared" si="194"/>
        <v>0</v>
      </c>
      <c r="X2085" s="44">
        <f t="shared" si="195"/>
        <v>0</v>
      </c>
      <c r="Y2085" s="44">
        <f t="shared" si="196"/>
        <v>0</v>
      </c>
    </row>
    <row r="2086" spans="23:25">
      <c r="W2086" s="44">
        <f t="shared" si="194"/>
        <v>0</v>
      </c>
      <c r="X2086" s="44">
        <f t="shared" si="195"/>
        <v>0</v>
      </c>
      <c r="Y2086" s="44">
        <f t="shared" si="196"/>
        <v>0</v>
      </c>
    </row>
    <row r="2087" spans="23:25">
      <c r="W2087" s="44">
        <f t="shared" si="194"/>
        <v>0</v>
      </c>
      <c r="X2087" s="44">
        <f t="shared" si="195"/>
        <v>0</v>
      </c>
      <c r="Y2087" s="44">
        <f t="shared" si="196"/>
        <v>0</v>
      </c>
    </row>
    <row r="2088" spans="23:25">
      <c r="W2088" s="44">
        <f t="shared" si="194"/>
        <v>0</v>
      </c>
      <c r="X2088" s="44">
        <f t="shared" si="195"/>
        <v>0</v>
      </c>
      <c r="Y2088" s="44">
        <f t="shared" si="196"/>
        <v>0</v>
      </c>
    </row>
    <row r="2089" spans="23:25">
      <c r="W2089" s="44">
        <f t="shared" si="194"/>
        <v>0</v>
      </c>
      <c r="X2089" s="44">
        <f t="shared" si="195"/>
        <v>0</v>
      </c>
      <c r="Y2089" s="44">
        <f t="shared" si="196"/>
        <v>0</v>
      </c>
    </row>
    <row r="2090" spans="23:25">
      <c r="W2090" s="44">
        <f t="shared" si="194"/>
        <v>0</v>
      </c>
      <c r="X2090" s="44">
        <f t="shared" si="195"/>
        <v>0</v>
      </c>
      <c r="Y2090" s="44">
        <f t="shared" si="196"/>
        <v>0</v>
      </c>
    </row>
    <row r="2091" spans="23:25">
      <c r="W2091" s="44">
        <f t="shared" si="194"/>
        <v>0</v>
      </c>
      <c r="X2091" s="44">
        <f t="shared" si="195"/>
        <v>0</v>
      </c>
      <c r="Y2091" s="44">
        <f t="shared" si="196"/>
        <v>0</v>
      </c>
    </row>
    <row r="2092" spans="23:25">
      <c r="W2092" s="44">
        <f t="shared" si="194"/>
        <v>0</v>
      </c>
      <c r="X2092" s="44">
        <f t="shared" si="195"/>
        <v>0</v>
      </c>
      <c r="Y2092" s="44">
        <f t="shared" si="196"/>
        <v>0</v>
      </c>
    </row>
    <row r="2093" spans="23:25">
      <c r="W2093" s="44">
        <f t="shared" si="194"/>
        <v>0</v>
      </c>
      <c r="X2093" s="44">
        <f t="shared" si="195"/>
        <v>0</v>
      </c>
      <c r="Y2093" s="44">
        <f t="shared" si="196"/>
        <v>0</v>
      </c>
    </row>
    <row r="2094" spans="23:25">
      <c r="W2094" s="44">
        <f t="shared" si="194"/>
        <v>0</v>
      </c>
      <c r="X2094" s="44">
        <f t="shared" si="195"/>
        <v>0</v>
      </c>
      <c r="Y2094" s="44">
        <f t="shared" si="196"/>
        <v>0</v>
      </c>
    </row>
    <row r="2095" spans="23:25">
      <c r="W2095" s="44">
        <f t="shared" si="194"/>
        <v>0</v>
      </c>
      <c r="X2095" s="44">
        <f t="shared" si="195"/>
        <v>0</v>
      </c>
      <c r="Y2095" s="44">
        <f t="shared" si="196"/>
        <v>0</v>
      </c>
    </row>
    <row r="2096" spans="23:25">
      <c r="W2096" s="44">
        <f t="shared" si="194"/>
        <v>0</v>
      </c>
      <c r="X2096" s="44">
        <f t="shared" si="195"/>
        <v>0</v>
      </c>
      <c r="Y2096" s="44">
        <f t="shared" si="196"/>
        <v>0</v>
      </c>
    </row>
    <row r="2097" spans="23:25">
      <c r="W2097" s="44">
        <f t="shared" si="194"/>
        <v>0</v>
      </c>
      <c r="X2097" s="44">
        <f t="shared" si="195"/>
        <v>0</v>
      </c>
      <c r="Y2097" s="44">
        <f t="shared" si="196"/>
        <v>0</v>
      </c>
    </row>
    <row r="2098" spans="23:25">
      <c r="W2098" s="44">
        <f t="shared" si="194"/>
        <v>0</v>
      </c>
      <c r="X2098" s="44">
        <f t="shared" si="195"/>
        <v>0</v>
      </c>
      <c r="Y2098" s="44">
        <f t="shared" si="196"/>
        <v>0</v>
      </c>
    </row>
    <row r="2099" spans="23:25">
      <c r="W2099" s="44">
        <f t="shared" si="194"/>
        <v>0</v>
      </c>
      <c r="X2099" s="44">
        <f t="shared" si="195"/>
        <v>0</v>
      </c>
      <c r="Y2099" s="44">
        <f t="shared" si="196"/>
        <v>0</v>
      </c>
    </row>
    <row r="2100" spans="23:25">
      <c r="W2100" s="44">
        <f t="shared" si="194"/>
        <v>0</v>
      </c>
      <c r="X2100" s="44">
        <f t="shared" si="195"/>
        <v>0</v>
      </c>
      <c r="Y2100" s="44">
        <f t="shared" si="196"/>
        <v>0</v>
      </c>
    </row>
    <row r="2101" spans="23:25">
      <c r="W2101" s="44">
        <f t="shared" si="194"/>
        <v>0</v>
      </c>
      <c r="X2101" s="44">
        <f t="shared" si="195"/>
        <v>0</v>
      </c>
      <c r="Y2101" s="44">
        <f t="shared" si="196"/>
        <v>0</v>
      </c>
    </row>
    <row r="2102" spans="23:25">
      <c r="W2102" s="44">
        <f t="shared" si="194"/>
        <v>0</v>
      </c>
      <c r="X2102" s="44">
        <f t="shared" si="195"/>
        <v>0</v>
      </c>
      <c r="Y2102" s="44">
        <f t="shared" si="196"/>
        <v>0</v>
      </c>
    </row>
    <row r="2103" spans="23:25">
      <c r="W2103" s="44">
        <f t="shared" si="194"/>
        <v>0</v>
      </c>
      <c r="X2103" s="44">
        <f t="shared" si="195"/>
        <v>0</v>
      </c>
      <c r="Y2103" s="44">
        <f t="shared" si="196"/>
        <v>0</v>
      </c>
    </row>
    <row r="2104" spans="23:25">
      <c r="W2104" s="44">
        <f t="shared" si="194"/>
        <v>0</v>
      </c>
      <c r="X2104" s="44">
        <f t="shared" si="195"/>
        <v>0</v>
      </c>
      <c r="Y2104" s="44">
        <f t="shared" si="196"/>
        <v>0</v>
      </c>
    </row>
    <row r="2105" spans="23:25">
      <c r="W2105" s="44">
        <f t="shared" si="194"/>
        <v>0</v>
      </c>
      <c r="X2105" s="44">
        <f t="shared" si="195"/>
        <v>0</v>
      </c>
      <c r="Y2105" s="44">
        <f t="shared" si="196"/>
        <v>0</v>
      </c>
    </row>
    <row r="2106" spans="23:25">
      <c r="W2106" s="44">
        <f t="shared" si="194"/>
        <v>0</v>
      </c>
      <c r="X2106" s="44">
        <f t="shared" si="195"/>
        <v>0</v>
      </c>
      <c r="Y2106" s="44">
        <f t="shared" si="196"/>
        <v>0</v>
      </c>
    </row>
    <row r="2107" spans="23:25">
      <c r="W2107" s="44">
        <f t="shared" si="194"/>
        <v>0</v>
      </c>
      <c r="X2107" s="44">
        <f t="shared" si="195"/>
        <v>0</v>
      </c>
      <c r="Y2107" s="44">
        <f t="shared" si="196"/>
        <v>0</v>
      </c>
    </row>
    <row r="2108" spans="23:25">
      <c r="W2108" s="44">
        <f t="shared" si="194"/>
        <v>0</v>
      </c>
      <c r="X2108" s="44">
        <f t="shared" si="195"/>
        <v>0</v>
      </c>
      <c r="Y2108" s="44">
        <f t="shared" si="196"/>
        <v>0</v>
      </c>
    </row>
    <row r="2109" spans="23:25">
      <c r="W2109" s="44">
        <f t="shared" si="194"/>
        <v>0</v>
      </c>
      <c r="X2109" s="44">
        <f t="shared" si="195"/>
        <v>0</v>
      </c>
      <c r="Y2109" s="44">
        <f t="shared" si="196"/>
        <v>0</v>
      </c>
    </row>
    <row r="2110" spans="23:25">
      <c r="W2110" s="44">
        <f t="shared" si="194"/>
        <v>0</v>
      </c>
      <c r="X2110" s="44">
        <f t="shared" si="195"/>
        <v>0</v>
      </c>
      <c r="Y2110" s="44">
        <f t="shared" si="196"/>
        <v>0</v>
      </c>
    </row>
    <row r="2111" spans="23:25">
      <c r="W2111" s="44">
        <f t="shared" si="194"/>
        <v>0</v>
      </c>
      <c r="X2111" s="44">
        <f t="shared" si="195"/>
        <v>0</v>
      </c>
      <c r="Y2111" s="44">
        <f t="shared" si="196"/>
        <v>0</v>
      </c>
    </row>
    <row r="2112" spans="23:25">
      <c r="W2112" s="44">
        <f t="shared" si="194"/>
        <v>0</v>
      </c>
      <c r="X2112" s="44">
        <f t="shared" si="195"/>
        <v>0</v>
      </c>
      <c r="Y2112" s="44">
        <f t="shared" si="196"/>
        <v>0</v>
      </c>
    </row>
    <row r="2113" spans="23:25">
      <c r="W2113" s="44">
        <f t="shared" si="194"/>
        <v>0</v>
      </c>
      <c r="X2113" s="44">
        <f t="shared" si="195"/>
        <v>0</v>
      </c>
      <c r="Y2113" s="44">
        <f t="shared" si="196"/>
        <v>0</v>
      </c>
    </row>
    <row r="2114" spans="23:25">
      <c r="W2114" s="44">
        <f t="shared" si="194"/>
        <v>0</v>
      </c>
      <c r="X2114" s="44">
        <f t="shared" si="195"/>
        <v>0</v>
      </c>
      <c r="Y2114" s="44">
        <f t="shared" si="196"/>
        <v>0</v>
      </c>
    </row>
    <row r="2115" spans="23:25">
      <c r="W2115" s="44">
        <f t="shared" si="194"/>
        <v>0</v>
      </c>
      <c r="X2115" s="44">
        <f t="shared" si="195"/>
        <v>0</v>
      </c>
      <c r="Y2115" s="44">
        <f t="shared" si="196"/>
        <v>0</v>
      </c>
    </row>
    <row r="2116" spans="23:25">
      <c r="W2116" s="44">
        <f t="shared" si="194"/>
        <v>0</v>
      </c>
      <c r="X2116" s="44">
        <f t="shared" si="195"/>
        <v>0</v>
      </c>
      <c r="Y2116" s="44">
        <f t="shared" si="196"/>
        <v>0</v>
      </c>
    </row>
    <row r="2117" spans="23:25">
      <c r="W2117" s="44">
        <f t="shared" si="194"/>
        <v>0</v>
      </c>
      <c r="X2117" s="44">
        <f t="shared" si="195"/>
        <v>0</v>
      </c>
      <c r="Y2117" s="44">
        <f t="shared" si="196"/>
        <v>0</v>
      </c>
    </row>
    <row r="2118" spans="23:25">
      <c r="W2118" s="44">
        <f t="shared" si="194"/>
        <v>0</v>
      </c>
      <c r="X2118" s="44">
        <f t="shared" si="195"/>
        <v>0</v>
      </c>
      <c r="Y2118" s="44">
        <f t="shared" si="196"/>
        <v>0</v>
      </c>
    </row>
    <row r="2119" spans="23:25">
      <c r="W2119" s="44">
        <f t="shared" si="194"/>
        <v>0</v>
      </c>
      <c r="X2119" s="44">
        <f t="shared" si="195"/>
        <v>0</v>
      </c>
      <c r="Y2119" s="44">
        <f t="shared" si="196"/>
        <v>0</v>
      </c>
    </row>
    <row r="2120" spans="23:25">
      <c r="W2120" s="44">
        <f t="shared" ref="W2120:W2183" si="197">+T2120-U2120-V2120-Z2120</f>
        <v>0</v>
      </c>
      <c r="X2120" s="44">
        <f t="shared" ref="X2120:X2183" si="198">(+O2120-U2120)*$X$1</f>
        <v>0</v>
      </c>
      <c r="Y2120" s="44">
        <f t="shared" ref="Y2120:Y2183" si="199">+W2120-X2120</f>
        <v>0</v>
      </c>
    </row>
    <row r="2121" spans="23:25">
      <c r="W2121" s="44">
        <f t="shared" si="197"/>
        <v>0</v>
      </c>
      <c r="X2121" s="44">
        <f t="shared" si="198"/>
        <v>0</v>
      </c>
      <c r="Y2121" s="44">
        <f t="shared" si="199"/>
        <v>0</v>
      </c>
    </row>
    <row r="2122" spans="23:25">
      <c r="W2122" s="44">
        <f t="shared" si="197"/>
        <v>0</v>
      </c>
      <c r="X2122" s="44">
        <f t="shared" si="198"/>
        <v>0</v>
      </c>
      <c r="Y2122" s="44">
        <f t="shared" si="199"/>
        <v>0</v>
      </c>
    </row>
    <row r="2123" spans="23:25">
      <c r="W2123" s="44">
        <f t="shared" si="197"/>
        <v>0</v>
      </c>
      <c r="X2123" s="44">
        <f t="shared" si="198"/>
        <v>0</v>
      </c>
      <c r="Y2123" s="44">
        <f t="shared" si="199"/>
        <v>0</v>
      </c>
    </row>
    <row r="2124" spans="23:25">
      <c r="W2124" s="44">
        <f t="shared" si="197"/>
        <v>0</v>
      </c>
      <c r="X2124" s="44">
        <f t="shared" si="198"/>
        <v>0</v>
      </c>
      <c r="Y2124" s="44">
        <f t="shared" si="199"/>
        <v>0</v>
      </c>
    </row>
    <row r="2125" spans="23:25">
      <c r="W2125" s="44">
        <f t="shared" si="197"/>
        <v>0</v>
      </c>
      <c r="X2125" s="44">
        <f t="shared" si="198"/>
        <v>0</v>
      </c>
      <c r="Y2125" s="44">
        <f t="shared" si="199"/>
        <v>0</v>
      </c>
    </row>
    <row r="2126" spans="23:25">
      <c r="W2126" s="44">
        <f t="shared" si="197"/>
        <v>0</v>
      </c>
      <c r="X2126" s="44">
        <f t="shared" si="198"/>
        <v>0</v>
      </c>
      <c r="Y2126" s="44">
        <f t="shared" si="199"/>
        <v>0</v>
      </c>
    </row>
    <row r="2127" spans="23:25">
      <c r="W2127" s="44">
        <f t="shared" si="197"/>
        <v>0</v>
      </c>
      <c r="X2127" s="44">
        <f t="shared" si="198"/>
        <v>0</v>
      </c>
      <c r="Y2127" s="44">
        <f t="shared" si="199"/>
        <v>0</v>
      </c>
    </row>
    <row r="2128" spans="23:25">
      <c r="W2128" s="44">
        <f t="shared" si="197"/>
        <v>0</v>
      </c>
      <c r="X2128" s="44">
        <f t="shared" si="198"/>
        <v>0</v>
      </c>
      <c r="Y2128" s="44">
        <f t="shared" si="199"/>
        <v>0</v>
      </c>
    </row>
    <row r="2129" spans="23:25">
      <c r="W2129" s="44">
        <f t="shared" si="197"/>
        <v>0</v>
      </c>
      <c r="X2129" s="44">
        <f t="shared" si="198"/>
        <v>0</v>
      </c>
      <c r="Y2129" s="44">
        <f t="shared" si="199"/>
        <v>0</v>
      </c>
    </row>
    <row r="2130" spans="23:25">
      <c r="W2130" s="44">
        <f t="shared" si="197"/>
        <v>0</v>
      </c>
      <c r="X2130" s="44">
        <f t="shared" si="198"/>
        <v>0</v>
      </c>
      <c r="Y2130" s="44">
        <f t="shared" si="199"/>
        <v>0</v>
      </c>
    </row>
    <row r="2131" spans="23:25">
      <c r="W2131" s="44">
        <f t="shared" si="197"/>
        <v>0</v>
      </c>
      <c r="X2131" s="44">
        <f t="shared" si="198"/>
        <v>0</v>
      </c>
      <c r="Y2131" s="44">
        <f t="shared" si="199"/>
        <v>0</v>
      </c>
    </row>
    <row r="2132" spans="23:25">
      <c r="W2132" s="44">
        <f t="shared" si="197"/>
        <v>0</v>
      </c>
      <c r="X2132" s="44">
        <f t="shared" si="198"/>
        <v>0</v>
      </c>
      <c r="Y2132" s="44">
        <f t="shared" si="199"/>
        <v>0</v>
      </c>
    </row>
    <row r="2133" spans="23:25">
      <c r="W2133" s="44">
        <f t="shared" si="197"/>
        <v>0</v>
      </c>
      <c r="X2133" s="44">
        <f t="shared" si="198"/>
        <v>0</v>
      </c>
      <c r="Y2133" s="44">
        <f t="shared" si="199"/>
        <v>0</v>
      </c>
    </row>
    <row r="2134" spans="23:25">
      <c r="W2134" s="44">
        <f t="shared" si="197"/>
        <v>0</v>
      </c>
      <c r="X2134" s="44">
        <f t="shared" si="198"/>
        <v>0</v>
      </c>
      <c r="Y2134" s="44">
        <f t="shared" si="199"/>
        <v>0</v>
      </c>
    </row>
    <row r="2135" spans="23:25">
      <c r="W2135" s="44">
        <f t="shared" si="197"/>
        <v>0</v>
      </c>
      <c r="X2135" s="44">
        <f t="shared" si="198"/>
        <v>0</v>
      </c>
      <c r="Y2135" s="44">
        <f t="shared" si="199"/>
        <v>0</v>
      </c>
    </row>
    <row r="2136" spans="23:25">
      <c r="W2136" s="44">
        <f t="shared" si="197"/>
        <v>0</v>
      </c>
      <c r="X2136" s="44">
        <f t="shared" si="198"/>
        <v>0</v>
      </c>
      <c r="Y2136" s="44">
        <f t="shared" si="199"/>
        <v>0</v>
      </c>
    </row>
    <row r="2137" spans="23:25">
      <c r="W2137" s="44">
        <f t="shared" si="197"/>
        <v>0</v>
      </c>
      <c r="X2137" s="44">
        <f t="shared" si="198"/>
        <v>0</v>
      </c>
      <c r="Y2137" s="44">
        <f t="shared" si="199"/>
        <v>0</v>
      </c>
    </row>
    <row r="2138" spans="23:25">
      <c r="W2138" s="44">
        <f t="shared" si="197"/>
        <v>0</v>
      </c>
      <c r="X2138" s="44">
        <f t="shared" si="198"/>
        <v>0</v>
      </c>
      <c r="Y2138" s="44">
        <f t="shared" si="199"/>
        <v>0</v>
      </c>
    </row>
    <row r="2139" spans="23:25">
      <c r="W2139" s="44">
        <f t="shared" si="197"/>
        <v>0</v>
      </c>
      <c r="X2139" s="44">
        <f t="shared" si="198"/>
        <v>0</v>
      </c>
      <c r="Y2139" s="44">
        <f t="shared" si="199"/>
        <v>0</v>
      </c>
    </row>
    <row r="2140" spans="23:25">
      <c r="W2140" s="44">
        <f t="shared" si="197"/>
        <v>0</v>
      </c>
      <c r="X2140" s="44">
        <f t="shared" si="198"/>
        <v>0</v>
      </c>
      <c r="Y2140" s="44">
        <f t="shared" si="199"/>
        <v>0</v>
      </c>
    </row>
    <row r="2141" spans="23:25">
      <c r="W2141" s="44">
        <f t="shared" si="197"/>
        <v>0</v>
      </c>
      <c r="X2141" s="44">
        <f t="shared" si="198"/>
        <v>0</v>
      </c>
      <c r="Y2141" s="44">
        <f t="shared" si="199"/>
        <v>0</v>
      </c>
    </row>
    <row r="2142" spans="23:25">
      <c r="W2142" s="44">
        <f t="shared" si="197"/>
        <v>0</v>
      </c>
      <c r="X2142" s="44">
        <f t="shared" si="198"/>
        <v>0</v>
      </c>
      <c r="Y2142" s="44">
        <f t="shared" si="199"/>
        <v>0</v>
      </c>
    </row>
    <row r="2143" spans="23:25">
      <c r="W2143" s="44">
        <f t="shared" si="197"/>
        <v>0</v>
      </c>
      <c r="X2143" s="44">
        <f t="shared" si="198"/>
        <v>0</v>
      </c>
      <c r="Y2143" s="44">
        <f t="shared" si="199"/>
        <v>0</v>
      </c>
    </row>
    <row r="2144" spans="23:25">
      <c r="W2144" s="44">
        <f t="shared" si="197"/>
        <v>0</v>
      </c>
      <c r="X2144" s="44">
        <f t="shared" si="198"/>
        <v>0</v>
      </c>
      <c r="Y2144" s="44">
        <f t="shared" si="199"/>
        <v>0</v>
      </c>
    </row>
    <row r="2145" spans="23:25">
      <c r="W2145" s="44">
        <f t="shared" si="197"/>
        <v>0</v>
      </c>
      <c r="X2145" s="44">
        <f t="shared" si="198"/>
        <v>0</v>
      </c>
      <c r="Y2145" s="44">
        <f t="shared" si="199"/>
        <v>0</v>
      </c>
    </row>
    <row r="2146" spans="23:25">
      <c r="W2146" s="44">
        <f t="shared" si="197"/>
        <v>0</v>
      </c>
      <c r="X2146" s="44">
        <f t="shared" si="198"/>
        <v>0</v>
      </c>
      <c r="Y2146" s="44">
        <f t="shared" si="199"/>
        <v>0</v>
      </c>
    </row>
    <row r="2147" spans="23:25">
      <c r="W2147" s="44">
        <f t="shared" si="197"/>
        <v>0</v>
      </c>
      <c r="X2147" s="44">
        <f t="shared" si="198"/>
        <v>0</v>
      </c>
      <c r="Y2147" s="44">
        <f t="shared" si="199"/>
        <v>0</v>
      </c>
    </row>
    <row r="2148" spans="23:25">
      <c r="W2148" s="44">
        <f t="shared" si="197"/>
        <v>0</v>
      </c>
      <c r="X2148" s="44">
        <f t="shared" si="198"/>
        <v>0</v>
      </c>
      <c r="Y2148" s="44">
        <f t="shared" si="199"/>
        <v>0</v>
      </c>
    </row>
    <row r="2149" spans="23:25">
      <c r="W2149" s="44">
        <f t="shared" si="197"/>
        <v>0</v>
      </c>
      <c r="X2149" s="44">
        <f t="shared" si="198"/>
        <v>0</v>
      </c>
      <c r="Y2149" s="44">
        <f t="shared" si="199"/>
        <v>0</v>
      </c>
    </row>
    <row r="2150" spans="23:25">
      <c r="W2150" s="44">
        <f t="shared" si="197"/>
        <v>0</v>
      </c>
      <c r="X2150" s="44">
        <f t="shared" si="198"/>
        <v>0</v>
      </c>
      <c r="Y2150" s="44">
        <f t="shared" si="199"/>
        <v>0</v>
      </c>
    </row>
    <row r="2151" spans="23:25">
      <c r="W2151" s="44">
        <f t="shared" si="197"/>
        <v>0</v>
      </c>
      <c r="X2151" s="44">
        <f t="shared" si="198"/>
        <v>0</v>
      </c>
      <c r="Y2151" s="44">
        <f t="shared" si="199"/>
        <v>0</v>
      </c>
    </row>
    <row r="2152" spans="23:25">
      <c r="W2152" s="44">
        <f t="shared" si="197"/>
        <v>0</v>
      </c>
      <c r="X2152" s="44">
        <f t="shared" si="198"/>
        <v>0</v>
      </c>
      <c r="Y2152" s="44">
        <f t="shared" si="199"/>
        <v>0</v>
      </c>
    </row>
    <row r="2153" spans="23:25">
      <c r="W2153" s="44">
        <f t="shared" si="197"/>
        <v>0</v>
      </c>
      <c r="X2153" s="44">
        <f t="shared" si="198"/>
        <v>0</v>
      </c>
      <c r="Y2153" s="44">
        <f t="shared" si="199"/>
        <v>0</v>
      </c>
    </row>
    <row r="2154" spans="23:25">
      <c r="W2154" s="44">
        <f t="shared" si="197"/>
        <v>0</v>
      </c>
      <c r="X2154" s="44">
        <f t="shared" si="198"/>
        <v>0</v>
      </c>
      <c r="Y2154" s="44">
        <f t="shared" si="199"/>
        <v>0</v>
      </c>
    </row>
    <row r="2155" spans="23:25">
      <c r="W2155" s="44">
        <f t="shared" si="197"/>
        <v>0</v>
      </c>
      <c r="X2155" s="44">
        <f t="shared" si="198"/>
        <v>0</v>
      </c>
      <c r="Y2155" s="44">
        <f t="shared" si="199"/>
        <v>0</v>
      </c>
    </row>
    <row r="2156" spans="23:25">
      <c r="W2156" s="44">
        <f t="shared" si="197"/>
        <v>0</v>
      </c>
      <c r="X2156" s="44">
        <f t="shared" si="198"/>
        <v>0</v>
      </c>
      <c r="Y2156" s="44">
        <f t="shared" si="199"/>
        <v>0</v>
      </c>
    </row>
    <row r="2157" spans="23:25">
      <c r="W2157" s="44">
        <f t="shared" si="197"/>
        <v>0</v>
      </c>
      <c r="X2157" s="44">
        <f t="shared" si="198"/>
        <v>0</v>
      </c>
      <c r="Y2157" s="44">
        <f t="shared" si="199"/>
        <v>0</v>
      </c>
    </row>
    <row r="2158" spans="23:25">
      <c r="W2158" s="44">
        <f t="shared" si="197"/>
        <v>0</v>
      </c>
      <c r="X2158" s="44">
        <f t="shared" si="198"/>
        <v>0</v>
      </c>
      <c r="Y2158" s="44">
        <f t="shared" si="199"/>
        <v>0</v>
      </c>
    </row>
    <row r="2159" spans="23:25">
      <c r="W2159" s="44">
        <f t="shared" si="197"/>
        <v>0</v>
      </c>
      <c r="X2159" s="44">
        <f t="shared" si="198"/>
        <v>0</v>
      </c>
      <c r="Y2159" s="44">
        <f t="shared" si="199"/>
        <v>0</v>
      </c>
    </row>
    <row r="2160" spans="23:25">
      <c r="W2160" s="44">
        <f t="shared" si="197"/>
        <v>0</v>
      </c>
      <c r="X2160" s="44">
        <f t="shared" si="198"/>
        <v>0</v>
      </c>
      <c r="Y2160" s="44">
        <f t="shared" si="199"/>
        <v>0</v>
      </c>
    </row>
    <row r="2161" spans="23:25">
      <c r="W2161" s="44">
        <f t="shared" si="197"/>
        <v>0</v>
      </c>
      <c r="X2161" s="44">
        <f t="shared" si="198"/>
        <v>0</v>
      </c>
      <c r="Y2161" s="44">
        <f t="shared" si="199"/>
        <v>0</v>
      </c>
    </row>
    <row r="2162" spans="23:25">
      <c r="W2162" s="44">
        <f t="shared" si="197"/>
        <v>0</v>
      </c>
      <c r="X2162" s="44">
        <f t="shared" si="198"/>
        <v>0</v>
      </c>
      <c r="Y2162" s="44">
        <f t="shared" si="199"/>
        <v>0</v>
      </c>
    </row>
    <row r="2163" spans="23:25">
      <c r="W2163" s="44">
        <f t="shared" si="197"/>
        <v>0</v>
      </c>
      <c r="X2163" s="44">
        <f t="shared" si="198"/>
        <v>0</v>
      </c>
      <c r="Y2163" s="44">
        <f t="shared" si="199"/>
        <v>0</v>
      </c>
    </row>
    <row r="2164" spans="23:25">
      <c r="W2164" s="44">
        <f t="shared" si="197"/>
        <v>0</v>
      </c>
      <c r="X2164" s="44">
        <f t="shared" si="198"/>
        <v>0</v>
      </c>
      <c r="Y2164" s="44">
        <f t="shared" si="199"/>
        <v>0</v>
      </c>
    </row>
    <row r="2165" spans="23:25">
      <c r="W2165" s="44">
        <f t="shared" si="197"/>
        <v>0</v>
      </c>
      <c r="X2165" s="44">
        <f t="shared" si="198"/>
        <v>0</v>
      </c>
      <c r="Y2165" s="44">
        <f t="shared" si="199"/>
        <v>0</v>
      </c>
    </row>
    <row r="2166" spans="23:25">
      <c r="W2166" s="44">
        <f t="shared" si="197"/>
        <v>0</v>
      </c>
      <c r="X2166" s="44">
        <f t="shared" si="198"/>
        <v>0</v>
      </c>
      <c r="Y2166" s="44">
        <f t="shared" si="199"/>
        <v>0</v>
      </c>
    </row>
    <row r="2167" spans="23:25">
      <c r="W2167" s="44">
        <f t="shared" si="197"/>
        <v>0</v>
      </c>
      <c r="X2167" s="44">
        <f t="shared" si="198"/>
        <v>0</v>
      </c>
      <c r="Y2167" s="44">
        <f t="shared" si="199"/>
        <v>0</v>
      </c>
    </row>
    <row r="2168" spans="23:25">
      <c r="W2168" s="44">
        <f t="shared" si="197"/>
        <v>0</v>
      </c>
      <c r="X2168" s="44">
        <f t="shared" si="198"/>
        <v>0</v>
      </c>
      <c r="Y2168" s="44">
        <f t="shared" si="199"/>
        <v>0</v>
      </c>
    </row>
    <row r="2169" spans="23:25">
      <c r="W2169" s="44">
        <f t="shared" si="197"/>
        <v>0</v>
      </c>
      <c r="X2169" s="44">
        <f t="shared" si="198"/>
        <v>0</v>
      </c>
      <c r="Y2169" s="44">
        <f t="shared" si="199"/>
        <v>0</v>
      </c>
    </row>
    <row r="2170" spans="23:25">
      <c r="W2170" s="44">
        <f t="shared" si="197"/>
        <v>0</v>
      </c>
      <c r="X2170" s="44">
        <f t="shared" si="198"/>
        <v>0</v>
      </c>
      <c r="Y2170" s="44">
        <f t="shared" si="199"/>
        <v>0</v>
      </c>
    </row>
    <row r="2171" spans="23:25">
      <c r="W2171" s="44">
        <f t="shared" si="197"/>
        <v>0</v>
      </c>
      <c r="X2171" s="44">
        <f t="shared" si="198"/>
        <v>0</v>
      </c>
      <c r="Y2171" s="44">
        <f t="shared" si="199"/>
        <v>0</v>
      </c>
    </row>
    <row r="2172" spans="23:25">
      <c r="W2172" s="44">
        <f t="shared" si="197"/>
        <v>0</v>
      </c>
      <c r="X2172" s="44">
        <f t="shared" si="198"/>
        <v>0</v>
      </c>
      <c r="Y2172" s="44">
        <f t="shared" si="199"/>
        <v>0</v>
      </c>
    </row>
    <row r="2173" spans="23:25">
      <c r="W2173" s="44">
        <f t="shared" si="197"/>
        <v>0</v>
      </c>
      <c r="X2173" s="44">
        <f t="shared" si="198"/>
        <v>0</v>
      </c>
      <c r="Y2173" s="44">
        <f t="shared" si="199"/>
        <v>0</v>
      </c>
    </row>
    <row r="2174" spans="23:25">
      <c r="W2174" s="44">
        <f t="shared" si="197"/>
        <v>0</v>
      </c>
      <c r="X2174" s="44">
        <f t="shared" si="198"/>
        <v>0</v>
      </c>
      <c r="Y2174" s="44">
        <f t="shared" si="199"/>
        <v>0</v>
      </c>
    </row>
    <row r="2175" spans="23:25">
      <c r="W2175" s="44">
        <f t="shared" si="197"/>
        <v>0</v>
      </c>
      <c r="X2175" s="44">
        <f t="shared" si="198"/>
        <v>0</v>
      </c>
      <c r="Y2175" s="44">
        <f t="shared" si="199"/>
        <v>0</v>
      </c>
    </row>
    <row r="2176" spans="23:25">
      <c r="W2176" s="44">
        <f t="shared" si="197"/>
        <v>0</v>
      </c>
      <c r="X2176" s="44">
        <f t="shared" si="198"/>
        <v>0</v>
      </c>
      <c r="Y2176" s="44">
        <f t="shared" si="199"/>
        <v>0</v>
      </c>
    </row>
    <row r="2177" spans="23:25">
      <c r="W2177" s="44">
        <f t="shared" si="197"/>
        <v>0</v>
      </c>
      <c r="X2177" s="44">
        <f t="shared" si="198"/>
        <v>0</v>
      </c>
      <c r="Y2177" s="44">
        <f t="shared" si="199"/>
        <v>0</v>
      </c>
    </row>
    <row r="2178" spans="23:25">
      <c r="W2178" s="44">
        <f t="shared" si="197"/>
        <v>0</v>
      </c>
      <c r="X2178" s="44">
        <f t="shared" si="198"/>
        <v>0</v>
      </c>
      <c r="Y2178" s="44">
        <f t="shared" si="199"/>
        <v>0</v>
      </c>
    </row>
    <row r="2179" spans="23:25">
      <c r="W2179" s="44">
        <f t="shared" si="197"/>
        <v>0</v>
      </c>
      <c r="X2179" s="44">
        <f t="shared" si="198"/>
        <v>0</v>
      </c>
      <c r="Y2179" s="44">
        <f t="shared" si="199"/>
        <v>0</v>
      </c>
    </row>
    <row r="2180" spans="23:25">
      <c r="W2180" s="44">
        <f t="shared" si="197"/>
        <v>0</v>
      </c>
      <c r="X2180" s="44">
        <f t="shared" si="198"/>
        <v>0</v>
      </c>
      <c r="Y2180" s="44">
        <f t="shared" si="199"/>
        <v>0</v>
      </c>
    </row>
    <row r="2181" spans="23:25">
      <c r="W2181" s="44">
        <f t="shared" si="197"/>
        <v>0</v>
      </c>
      <c r="X2181" s="44">
        <f t="shared" si="198"/>
        <v>0</v>
      </c>
      <c r="Y2181" s="44">
        <f t="shared" si="199"/>
        <v>0</v>
      </c>
    </row>
    <row r="2182" spans="23:25">
      <c r="W2182" s="44">
        <f t="shared" si="197"/>
        <v>0</v>
      </c>
      <c r="X2182" s="44">
        <f t="shared" si="198"/>
        <v>0</v>
      </c>
      <c r="Y2182" s="44">
        <f t="shared" si="199"/>
        <v>0</v>
      </c>
    </row>
    <row r="2183" spans="23:25">
      <c r="W2183" s="44">
        <f t="shared" si="197"/>
        <v>0</v>
      </c>
      <c r="X2183" s="44">
        <f t="shared" si="198"/>
        <v>0</v>
      </c>
      <c r="Y2183" s="44">
        <f t="shared" si="199"/>
        <v>0</v>
      </c>
    </row>
    <row r="2184" spans="23:25">
      <c r="W2184" s="44">
        <f t="shared" ref="W2184:W2247" si="200">+T2184-U2184-V2184-Z2184</f>
        <v>0</v>
      </c>
      <c r="X2184" s="44">
        <f t="shared" ref="X2184:X2247" si="201">(+O2184-U2184)*$X$1</f>
        <v>0</v>
      </c>
      <c r="Y2184" s="44">
        <f t="shared" ref="Y2184:Y2247" si="202">+W2184-X2184</f>
        <v>0</v>
      </c>
    </row>
    <row r="2185" spans="23:25">
      <c r="W2185" s="44">
        <f t="shared" si="200"/>
        <v>0</v>
      </c>
      <c r="X2185" s="44">
        <f t="shared" si="201"/>
        <v>0</v>
      </c>
      <c r="Y2185" s="44">
        <f t="shared" si="202"/>
        <v>0</v>
      </c>
    </row>
    <row r="2186" spans="23:25">
      <c r="W2186" s="44">
        <f t="shared" si="200"/>
        <v>0</v>
      </c>
      <c r="X2186" s="44">
        <f t="shared" si="201"/>
        <v>0</v>
      </c>
      <c r="Y2186" s="44">
        <f t="shared" si="202"/>
        <v>0</v>
      </c>
    </row>
    <row r="2187" spans="23:25">
      <c r="W2187" s="44">
        <f t="shared" si="200"/>
        <v>0</v>
      </c>
      <c r="X2187" s="44">
        <f t="shared" si="201"/>
        <v>0</v>
      </c>
      <c r="Y2187" s="44">
        <f t="shared" si="202"/>
        <v>0</v>
      </c>
    </row>
    <row r="2188" spans="23:25">
      <c r="W2188" s="44">
        <f t="shared" si="200"/>
        <v>0</v>
      </c>
      <c r="X2188" s="44">
        <f t="shared" si="201"/>
        <v>0</v>
      </c>
      <c r="Y2188" s="44">
        <f t="shared" si="202"/>
        <v>0</v>
      </c>
    </row>
    <row r="2189" spans="23:25">
      <c r="W2189" s="44">
        <f t="shared" si="200"/>
        <v>0</v>
      </c>
      <c r="X2189" s="44">
        <f t="shared" si="201"/>
        <v>0</v>
      </c>
      <c r="Y2189" s="44">
        <f t="shared" si="202"/>
        <v>0</v>
      </c>
    </row>
    <row r="2190" spans="23:25">
      <c r="W2190" s="44">
        <f t="shared" si="200"/>
        <v>0</v>
      </c>
      <c r="X2190" s="44">
        <f t="shared" si="201"/>
        <v>0</v>
      </c>
      <c r="Y2190" s="44">
        <f t="shared" si="202"/>
        <v>0</v>
      </c>
    </row>
    <row r="2191" spans="23:25">
      <c r="W2191" s="44">
        <f t="shared" si="200"/>
        <v>0</v>
      </c>
      <c r="X2191" s="44">
        <f t="shared" si="201"/>
        <v>0</v>
      </c>
      <c r="Y2191" s="44">
        <f t="shared" si="202"/>
        <v>0</v>
      </c>
    </row>
    <row r="2192" spans="23:25">
      <c r="W2192" s="44">
        <f t="shared" si="200"/>
        <v>0</v>
      </c>
      <c r="X2192" s="44">
        <f t="shared" si="201"/>
        <v>0</v>
      </c>
      <c r="Y2192" s="44">
        <f t="shared" si="202"/>
        <v>0</v>
      </c>
    </row>
    <row r="2193" spans="23:25">
      <c r="W2193" s="44">
        <f t="shared" si="200"/>
        <v>0</v>
      </c>
      <c r="X2193" s="44">
        <f t="shared" si="201"/>
        <v>0</v>
      </c>
      <c r="Y2193" s="44">
        <f t="shared" si="202"/>
        <v>0</v>
      </c>
    </row>
    <row r="2194" spans="23:25">
      <c r="W2194" s="44">
        <f t="shared" si="200"/>
        <v>0</v>
      </c>
      <c r="X2194" s="44">
        <f t="shared" si="201"/>
        <v>0</v>
      </c>
      <c r="Y2194" s="44">
        <f t="shared" si="202"/>
        <v>0</v>
      </c>
    </row>
    <row r="2195" spans="23:25">
      <c r="W2195" s="44">
        <f t="shared" si="200"/>
        <v>0</v>
      </c>
      <c r="X2195" s="44">
        <f t="shared" si="201"/>
        <v>0</v>
      </c>
      <c r="Y2195" s="44">
        <f t="shared" si="202"/>
        <v>0</v>
      </c>
    </row>
    <row r="2196" spans="23:25">
      <c r="W2196" s="44">
        <f t="shared" si="200"/>
        <v>0</v>
      </c>
      <c r="X2196" s="44">
        <f t="shared" si="201"/>
        <v>0</v>
      </c>
      <c r="Y2196" s="44">
        <f t="shared" si="202"/>
        <v>0</v>
      </c>
    </row>
    <row r="2197" spans="23:25">
      <c r="W2197" s="44">
        <f t="shared" si="200"/>
        <v>0</v>
      </c>
      <c r="X2197" s="44">
        <f t="shared" si="201"/>
        <v>0</v>
      </c>
      <c r="Y2197" s="44">
        <f t="shared" si="202"/>
        <v>0</v>
      </c>
    </row>
    <row r="2198" spans="23:25">
      <c r="W2198" s="44">
        <f t="shared" si="200"/>
        <v>0</v>
      </c>
      <c r="X2198" s="44">
        <f t="shared" si="201"/>
        <v>0</v>
      </c>
      <c r="Y2198" s="44">
        <f t="shared" si="202"/>
        <v>0</v>
      </c>
    </row>
    <row r="2199" spans="23:25">
      <c r="W2199" s="44">
        <f t="shared" si="200"/>
        <v>0</v>
      </c>
      <c r="X2199" s="44">
        <f t="shared" si="201"/>
        <v>0</v>
      </c>
      <c r="Y2199" s="44">
        <f t="shared" si="202"/>
        <v>0</v>
      </c>
    </row>
    <row r="2200" spans="23:25">
      <c r="W2200" s="44">
        <f t="shared" si="200"/>
        <v>0</v>
      </c>
      <c r="X2200" s="44">
        <f t="shared" si="201"/>
        <v>0</v>
      </c>
      <c r="Y2200" s="44">
        <f t="shared" si="202"/>
        <v>0</v>
      </c>
    </row>
    <row r="2201" spans="23:25">
      <c r="W2201" s="44">
        <f t="shared" si="200"/>
        <v>0</v>
      </c>
      <c r="X2201" s="44">
        <f t="shared" si="201"/>
        <v>0</v>
      </c>
      <c r="Y2201" s="44">
        <f t="shared" si="202"/>
        <v>0</v>
      </c>
    </row>
    <row r="2202" spans="23:25">
      <c r="W2202" s="44">
        <f t="shared" si="200"/>
        <v>0</v>
      </c>
      <c r="X2202" s="44">
        <f t="shared" si="201"/>
        <v>0</v>
      </c>
      <c r="Y2202" s="44">
        <f t="shared" si="202"/>
        <v>0</v>
      </c>
    </row>
    <row r="2203" spans="23:25">
      <c r="W2203" s="44">
        <f t="shared" si="200"/>
        <v>0</v>
      </c>
      <c r="X2203" s="44">
        <f t="shared" si="201"/>
        <v>0</v>
      </c>
      <c r="Y2203" s="44">
        <f t="shared" si="202"/>
        <v>0</v>
      </c>
    </row>
    <row r="2204" spans="23:25">
      <c r="W2204" s="44">
        <f t="shared" si="200"/>
        <v>0</v>
      </c>
      <c r="X2204" s="44">
        <f t="shared" si="201"/>
        <v>0</v>
      </c>
      <c r="Y2204" s="44">
        <f t="shared" si="202"/>
        <v>0</v>
      </c>
    </row>
    <row r="2205" spans="23:25">
      <c r="W2205" s="44">
        <f t="shared" si="200"/>
        <v>0</v>
      </c>
      <c r="X2205" s="44">
        <f t="shared" si="201"/>
        <v>0</v>
      </c>
      <c r="Y2205" s="44">
        <f t="shared" si="202"/>
        <v>0</v>
      </c>
    </row>
    <row r="2206" spans="23:25">
      <c r="W2206" s="44">
        <f t="shared" si="200"/>
        <v>0</v>
      </c>
      <c r="X2206" s="44">
        <f t="shared" si="201"/>
        <v>0</v>
      </c>
      <c r="Y2206" s="44">
        <f t="shared" si="202"/>
        <v>0</v>
      </c>
    </row>
    <row r="2207" spans="23:25">
      <c r="W2207" s="44">
        <f t="shared" si="200"/>
        <v>0</v>
      </c>
      <c r="X2207" s="44">
        <f t="shared" si="201"/>
        <v>0</v>
      </c>
      <c r="Y2207" s="44">
        <f t="shared" si="202"/>
        <v>0</v>
      </c>
    </row>
    <row r="2208" spans="23:25">
      <c r="W2208" s="44">
        <f t="shared" si="200"/>
        <v>0</v>
      </c>
      <c r="X2208" s="44">
        <f t="shared" si="201"/>
        <v>0</v>
      </c>
      <c r="Y2208" s="44">
        <f t="shared" si="202"/>
        <v>0</v>
      </c>
    </row>
    <row r="2209" spans="23:25">
      <c r="W2209" s="44">
        <f t="shared" si="200"/>
        <v>0</v>
      </c>
      <c r="X2209" s="44">
        <f t="shared" si="201"/>
        <v>0</v>
      </c>
      <c r="Y2209" s="44">
        <f t="shared" si="202"/>
        <v>0</v>
      </c>
    </row>
    <row r="2210" spans="23:25">
      <c r="W2210" s="44">
        <f t="shared" si="200"/>
        <v>0</v>
      </c>
      <c r="X2210" s="44">
        <f t="shared" si="201"/>
        <v>0</v>
      </c>
      <c r="Y2210" s="44">
        <f t="shared" si="202"/>
        <v>0</v>
      </c>
    </row>
    <row r="2211" spans="23:25">
      <c r="W2211" s="44">
        <f t="shared" si="200"/>
        <v>0</v>
      </c>
      <c r="X2211" s="44">
        <f t="shared" si="201"/>
        <v>0</v>
      </c>
      <c r="Y2211" s="44">
        <f t="shared" si="202"/>
        <v>0</v>
      </c>
    </row>
    <row r="2212" spans="23:25">
      <c r="W2212" s="44">
        <f t="shared" si="200"/>
        <v>0</v>
      </c>
      <c r="X2212" s="44">
        <f t="shared" si="201"/>
        <v>0</v>
      </c>
      <c r="Y2212" s="44">
        <f t="shared" si="202"/>
        <v>0</v>
      </c>
    </row>
    <row r="2213" spans="23:25">
      <c r="W2213" s="44">
        <f t="shared" si="200"/>
        <v>0</v>
      </c>
      <c r="X2213" s="44">
        <f t="shared" si="201"/>
        <v>0</v>
      </c>
      <c r="Y2213" s="44">
        <f t="shared" si="202"/>
        <v>0</v>
      </c>
    </row>
    <row r="2214" spans="23:25">
      <c r="W2214" s="44">
        <f t="shared" si="200"/>
        <v>0</v>
      </c>
      <c r="X2214" s="44">
        <f t="shared" si="201"/>
        <v>0</v>
      </c>
      <c r="Y2214" s="44">
        <f t="shared" si="202"/>
        <v>0</v>
      </c>
    </row>
    <row r="2215" spans="23:25">
      <c r="W2215" s="44">
        <f t="shared" si="200"/>
        <v>0</v>
      </c>
      <c r="X2215" s="44">
        <f t="shared" si="201"/>
        <v>0</v>
      </c>
      <c r="Y2215" s="44">
        <f t="shared" si="202"/>
        <v>0</v>
      </c>
    </row>
    <row r="2216" spans="23:25">
      <c r="W2216" s="44">
        <f t="shared" si="200"/>
        <v>0</v>
      </c>
      <c r="X2216" s="44">
        <f t="shared" si="201"/>
        <v>0</v>
      </c>
      <c r="Y2216" s="44">
        <f t="shared" si="202"/>
        <v>0</v>
      </c>
    </row>
    <row r="2217" spans="23:25">
      <c r="W2217" s="44">
        <f t="shared" si="200"/>
        <v>0</v>
      </c>
      <c r="X2217" s="44">
        <f t="shared" si="201"/>
        <v>0</v>
      </c>
      <c r="Y2217" s="44">
        <f t="shared" si="202"/>
        <v>0</v>
      </c>
    </row>
    <row r="2218" spans="23:25">
      <c r="W2218" s="44">
        <f t="shared" si="200"/>
        <v>0</v>
      </c>
      <c r="X2218" s="44">
        <f t="shared" si="201"/>
        <v>0</v>
      </c>
      <c r="Y2218" s="44">
        <f t="shared" si="202"/>
        <v>0</v>
      </c>
    </row>
    <row r="2219" spans="23:25">
      <c r="W2219" s="44">
        <f t="shared" si="200"/>
        <v>0</v>
      </c>
      <c r="X2219" s="44">
        <f t="shared" si="201"/>
        <v>0</v>
      </c>
      <c r="Y2219" s="44">
        <f t="shared" si="202"/>
        <v>0</v>
      </c>
    </row>
    <row r="2220" spans="23:25">
      <c r="W2220" s="44">
        <f t="shared" si="200"/>
        <v>0</v>
      </c>
      <c r="X2220" s="44">
        <f t="shared" si="201"/>
        <v>0</v>
      </c>
      <c r="Y2220" s="44">
        <f t="shared" si="202"/>
        <v>0</v>
      </c>
    </row>
    <row r="2221" spans="23:25">
      <c r="W2221" s="44">
        <f t="shared" si="200"/>
        <v>0</v>
      </c>
      <c r="X2221" s="44">
        <f t="shared" si="201"/>
        <v>0</v>
      </c>
      <c r="Y2221" s="44">
        <f t="shared" si="202"/>
        <v>0</v>
      </c>
    </row>
    <row r="2222" spans="23:25">
      <c r="W2222" s="44">
        <f t="shared" si="200"/>
        <v>0</v>
      </c>
      <c r="X2222" s="44">
        <f t="shared" si="201"/>
        <v>0</v>
      </c>
      <c r="Y2222" s="44">
        <f t="shared" si="202"/>
        <v>0</v>
      </c>
    </row>
    <row r="2223" spans="23:25">
      <c r="W2223" s="44">
        <f t="shared" si="200"/>
        <v>0</v>
      </c>
      <c r="X2223" s="44">
        <f t="shared" si="201"/>
        <v>0</v>
      </c>
      <c r="Y2223" s="44">
        <f t="shared" si="202"/>
        <v>0</v>
      </c>
    </row>
    <row r="2224" spans="23:25">
      <c r="W2224" s="44">
        <f t="shared" si="200"/>
        <v>0</v>
      </c>
      <c r="X2224" s="44">
        <f t="shared" si="201"/>
        <v>0</v>
      </c>
      <c r="Y2224" s="44">
        <f t="shared" si="202"/>
        <v>0</v>
      </c>
    </row>
    <row r="2225" spans="23:25">
      <c r="W2225" s="44">
        <f t="shared" si="200"/>
        <v>0</v>
      </c>
      <c r="X2225" s="44">
        <f t="shared" si="201"/>
        <v>0</v>
      </c>
      <c r="Y2225" s="44">
        <f t="shared" si="202"/>
        <v>0</v>
      </c>
    </row>
    <row r="2226" spans="23:25">
      <c r="W2226" s="44">
        <f t="shared" si="200"/>
        <v>0</v>
      </c>
      <c r="X2226" s="44">
        <f t="shared" si="201"/>
        <v>0</v>
      </c>
      <c r="Y2226" s="44">
        <f t="shared" si="202"/>
        <v>0</v>
      </c>
    </row>
    <row r="2227" spans="23:25">
      <c r="W2227" s="44">
        <f t="shared" si="200"/>
        <v>0</v>
      </c>
      <c r="X2227" s="44">
        <f t="shared" si="201"/>
        <v>0</v>
      </c>
      <c r="Y2227" s="44">
        <f t="shared" si="202"/>
        <v>0</v>
      </c>
    </row>
    <row r="2228" spans="23:25">
      <c r="W2228" s="44">
        <f t="shared" si="200"/>
        <v>0</v>
      </c>
      <c r="X2228" s="44">
        <f t="shared" si="201"/>
        <v>0</v>
      </c>
      <c r="Y2228" s="44">
        <f t="shared" si="202"/>
        <v>0</v>
      </c>
    </row>
    <row r="2229" spans="23:25">
      <c r="W2229" s="44">
        <f t="shared" si="200"/>
        <v>0</v>
      </c>
      <c r="X2229" s="44">
        <f t="shared" si="201"/>
        <v>0</v>
      </c>
      <c r="Y2229" s="44">
        <f t="shared" si="202"/>
        <v>0</v>
      </c>
    </row>
    <row r="2230" spans="23:25">
      <c r="W2230" s="44">
        <f t="shared" si="200"/>
        <v>0</v>
      </c>
      <c r="X2230" s="44">
        <f t="shared" si="201"/>
        <v>0</v>
      </c>
      <c r="Y2230" s="44">
        <f t="shared" si="202"/>
        <v>0</v>
      </c>
    </row>
    <row r="2231" spans="23:25">
      <c r="W2231" s="44">
        <f t="shared" si="200"/>
        <v>0</v>
      </c>
      <c r="X2231" s="44">
        <f t="shared" si="201"/>
        <v>0</v>
      </c>
      <c r="Y2231" s="44">
        <f t="shared" si="202"/>
        <v>0</v>
      </c>
    </row>
    <row r="2232" spans="23:25">
      <c r="W2232" s="44">
        <f t="shared" si="200"/>
        <v>0</v>
      </c>
      <c r="X2232" s="44">
        <f t="shared" si="201"/>
        <v>0</v>
      </c>
      <c r="Y2232" s="44">
        <f t="shared" si="202"/>
        <v>0</v>
      </c>
    </row>
    <row r="2233" spans="23:25">
      <c r="W2233" s="44">
        <f t="shared" si="200"/>
        <v>0</v>
      </c>
      <c r="X2233" s="44">
        <f t="shared" si="201"/>
        <v>0</v>
      </c>
      <c r="Y2233" s="44">
        <f t="shared" si="202"/>
        <v>0</v>
      </c>
    </row>
    <row r="2234" spans="23:25">
      <c r="W2234" s="44">
        <f t="shared" si="200"/>
        <v>0</v>
      </c>
      <c r="X2234" s="44">
        <f t="shared" si="201"/>
        <v>0</v>
      </c>
      <c r="Y2234" s="44">
        <f t="shared" si="202"/>
        <v>0</v>
      </c>
    </row>
    <row r="2235" spans="23:25">
      <c r="W2235" s="44">
        <f t="shared" si="200"/>
        <v>0</v>
      </c>
      <c r="X2235" s="44">
        <f t="shared" si="201"/>
        <v>0</v>
      </c>
      <c r="Y2235" s="44">
        <f t="shared" si="202"/>
        <v>0</v>
      </c>
    </row>
    <row r="2236" spans="23:25">
      <c r="W2236" s="44">
        <f t="shared" si="200"/>
        <v>0</v>
      </c>
      <c r="X2236" s="44">
        <f t="shared" si="201"/>
        <v>0</v>
      </c>
      <c r="Y2236" s="44">
        <f t="shared" si="202"/>
        <v>0</v>
      </c>
    </row>
    <row r="2237" spans="23:25">
      <c r="W2237" s="44">
        <f t="shared" si="200"/>
        <v>0</v>
      </c>
      <c r="X2237" s="44">
        <f t="shared" si="201"/>
        <v>0</v>
      </c>
      <c r="Y2237" s="44">
        <f t="shared" si="202"/>
        <v>0</v>
      </c>
    </row>
    <row r="2238" spans="23:25">
      <c r="W2238" s="44">
        <f t="shared" si="200"/>
        <v>0</v>
      </c>
      <c r="X2238" s="44">
        <f t="shared" si="201"/>
        <v>0</v>
      </c>
      <c r="Y2238" s="44">
        <f t="shared" si="202"/>
        <v>0</v>
      </c>
    </row>
    <row r="2239" spans="23:25">
      <c r="W2239" s="44">
        <f t="shared" si="200"/>
        <v>0</v>
      </c>
      <c r="X2239" s="44">
        <f t="shared" si="201"/>
        <v>0</v>
      </c>
      <c r="Y2239" s="44">
        <f t="shared" si="202"/>
        <v>0</v>
      </c>
    </row>
    <row r="2240" spans="23:25">
      <c r="W2240" s="44">
        <f t="shared" si="200"/>
        <v>0</v>
      </c>
      <c r="X2240" s="44">
        <f t="shared" si="201"/>
        <v>0</v>
      </c>
      <c r="Y2240" s="44">
        <f t="shared" si="202"/>
        <v>0</v>
      </c>
    </row>
    <row r="2241" spans="23:25">
      <c r="W2241" s="44">
        <f t="shared" si="200"/>
        <v>0</v>
      </c>
      <c r="X2241" s="44">
        <f t="shared" si="201"/>
        <v>0</v>
      </c>
      <c r="Y2241" s="44">
        <f t="shared" si="202"/>
        <v>0</v>
      </c>
    </row>
    <row r="2242" spans="23:25">
      <c r="W2242" s="44">
        <f t="shared" si="200"/>
        <v>0</v>
      </c>
      <c r="X2242" s="44">
        <f t="shared" si="201"/>
        <v>0</v>
      </c>
      <c r="Y2242" s="44">
        <f t="shared" si="202"/>
        <v>0</v>
      </c>
    </row>
    <row r="2243" spans="23:25">
      <c r="W2243" s="44">
        <f t="shared" si="200"/>
        <v>0</v>
      </c>
      <c r="X2243" s="44">
        <f t="shared" si="201"/>
        <v>0</v>
      </c>
      <c r="Y2243" s="44">
        <f t="shared" si="202"/>
        <v>0</v>
      </c>
    </row>
    <row r="2244" spans="23:25">
      <c r="W2244" s="44">
        <f t="shared" si="200"/>
        <v>0</v>
      </c>
      <c r="X2244" s="44">
        <f t="shared" si="201"/>
        <v>0</v>
      </c>
      <c r="Y2244" s="44">
        <f t="shared" si="202"/>
        <v>0</v>
      </c>
    </row>
    <row r="2245" spans="23:25">
      <c r="W2245" s="44">
        <f t="shared" si="200"/>
        <v>0</v>
      </c>
      <c r="X2245" s="44">
        <f t="shared" si="201"/>
        <v>0</v>
      </c>
      <c r="Y2245" s="44">
        <f t="shared" si="202"/>
        <v>0</v>
      </c>
    </row>
    <row r="2246" spans="23:25">
      <c r="W2246" s="44">
        <f t="shared" si="200"/>
        <v>0</v>
      </c>
      <c r="X2246" s="44">
        <f t="shared" si="201"/>
        <v>0</v>
      </c>
      <c r="Y2246" s="44">
        <f t="shared" si="202"/>
        <v>0</v>
      </c>
    </row>
    <row r="2247" spans="23:25">
      <c r="W2247" s="44">
        <f t="shared" si="200"/>
        <v>0</v>
      </c>
      <c r="X2247" s="44">
        <f t="shared" si="201"/>
        <v>0</v>
      </c>
      <c r="Y2247" s="44">
        <f t="shared" si="202"/>
        <v>0</v>
      </c>
    </row>
    <row r="2248" spans="23:25">
      <c r="W2248" s="44">
        <f t="shared" ref="W2248:W2311" si="203">+T2248-U2248-V2248-Z2248</f>
        <v>0</v>
      </c>
      <c r="X2248" s="44">
        <f t="shared" ref="X2248:X2311" si="204">(+O2248-U2248)*$X$1</f>
        <v>0</v>
      </c>
      <c r="Y2248" s="44">
        <f t="shared" ref="Y2248:Y2311" si="205">+W2248-X2248</f>
        <v>0</v>
      </c>
    </row>
    <row r="2249" spans="23:25">
      <c r="W2249" s="44">
        <f t="shared" si="203"/>
        <v>0</v>
      </c>
      <c r="X2249" s="44">
        <f t="shared" si="204"/>
        <v>0</v>
      </c>
      <c r="Y2249" s="44">
        <f t="shared" si="205"/>
        <v>0</v>
      </c>
    </row>
    <row r="2250" spans="23:25">
      <c r="W2250" s="44">
        <f t="shared" si="203"/>
        <v>0</v>
      </c>
      <c r="X2250" s="44">
        <f t="shared" si="204"/>
        <v>0</v>
      </c>
      <c r="Y2250" s="44">
        <f t="shared" si="205"/>
        <v>0</v>
      </c>
    </row>
    <row r="2251" spans="23:25">
      <c r="W2251" s="44">
        <f t="shared" si="203"/>
        <v>0</v>
      </c>
      <c r="X2251" s="44">
        <f t="shared" si="204"/>
        <v>0</v>
      </c>
      <c r="Y2251" s="44">
        <f t="shared" si="205"/>
        <v>0</v>
      </c>
    </row>
    <row r="2252" spans="23:25">
      <c r="W2252" s="44">
        <f t="shared" si="203"/>
        <v>0</v>
      </c>
      <c r="X2252" s="44">
        <f t="shared" si="204"/>
        <v>0</v>
      </c>
      <c r="Y2252" s="44">
        <f t="shared" si="205"/>
        <v>0</v>
      </c>
    </row>
    <row r="2253" spans="23:25">
      <c r="W2253" s="44">
        <f t="shared" si="203"/>
        <v>0</v>
      </c>
      <c r="X2253" s="44">
        <f t="shared" si="204"/>
        <v>0</v>
      </c>
      <c r="Y2253" s="44">
        <f t="shared" si="205"/>
        <v>0</v>
      </c>
    </row>
    <row r="2254" spans="23:25">
      <c r="W2254" s="44">
        <f t="shared" si="203"/>
        <v>0</v>
      </c>
      <c r="X2254" s="44">
        <f t="shared" si="204"/>
        <v>0</v>
      </c>
      <c r="Y2254" s="44">
        <f t="shared" si="205"/>
        <v>0</v>
      </c>
    </row>
    <row r="2255" spans="23:25">
      <c r="W2255" s="44">
        <f t="shared" si="203"/>
        <v>0</v>
      </c>
      <c r="X2255" s="44">
        <f t="shared" si="204"/>
        <v>0</v>
      </c>
      <c r="Y2255" s="44">
        <f t="shared" si="205"/>
        <v>0</v>
      </c>
    </row>
    <row r="2256" spans="23:25">
      <c r="W2256" s="44">
        <f t="shared" si="203"/>
        <v>0</v>
      </c>
      <c r="X2256" s="44">
        <f t="shared" si="204"/>
        <v>0</v>
      </c>
      <c r="Y2256" s="44">
        <f t="shared" si="205"/>
        <v>0</v>
      </c>
    </row>
    <row r="2257" spans="23:25">
      <c r="W2257" s="44">
        <f t="shared" si="203"/>
        <v>0</v>
      </c>
      <c r="X2257" s="44">
        <f t="shared" si="204"/>
        <v>0</v>
      </c>
      <c r="Y2257" s="44">
        <f t="shared" si="205"/>
        <v>0</v>
      </c>
    </row>
    <row r="2258" spans="23:25">
      <c r="W2258" s="44">
        <f t="shared" si="203"/>
        <v>0</v>
      </c>
      <c r="X2258" s="44">
        <f t="shared" si="204"/>
        <v>0</v>
      </c>
      <c r="Y2258" s="44">
        <f t="shared" si="205"/>
        <v>0</v>
      </c>
    </row>
    <row r="2259" spans="23:25">
      <c r="W2259" s="44">
        <f t="shared" si="203"/>
        <v>0</v>
      </c>
      <c r="X2259" s="44">
        <f t="shared" si="204"/>
        <v>0</v>
      </c>
      <c r="Y2259" s="44">
        <f t="shared" si="205"/>
        <v>0</v>
      </c>
    </row>
    <row r="2260" spans="23:25">
      <c r="W2260" s="44">
        <f t="shared" si="203"/>
        <v>0</v>
      </c>
      <c r="X2260" s="44">
        <f t="shared" si="204"/>
        <v>0</v>
      </c>
      <c r="Y2260" s="44">
        <f t="shared" si="205"/>
        <v>0</v>
      </c>
    </row>
    <row r="2261" spans="23:25">
      <c r="W2261" s="44">
        <f t="shared" si="203"/>
        <v>0</v>
      </c>
      <c r="X2261" s="44">
        <f t="shared" si="204"/>
        <v>0</v>
      </c>
      <c r="Y2261" s="44">
        <f t="shared" si="205"/>
        <v>0</v>
      </c>
    </row>
    <row r="2262" spans="23:25">
      <c r="W2262" s="44">
        <f t="shared" si="203"/>
        <v>0</v>
      </c>
      <c r="X2262" s="44">
        <f t="shared" si="204"/>
        <v>0</v>
      </c>
      <c r="Y2262" s="44">
        <f t="shared" si="205"/>
        <v>0</v>
      </c>
    </row>
    <row r="2263" spans="23:25">
      <c r="W2263" s="44">
        <f t="shared" si="203"/>
        <v>0</v>
      </c>
      <c r="X2263" s="44">
        <f t="shared" si="204"/>
        <v>0</v>
      </c>
      <c r="Y2263" s="44">
        <f t="shared" si="205"/>
        <v>0</v>
      </c>
    </row>
    <row r="2264" spans="23:25">
      <c r="W2264" s="44">
        <f t="shared" si="203"/>
        <v>0</v>
      </c>
      <c r="X2264" s="44">
        <f t="shared" si="204"/>
        <v>0</v>
      </c>
      <c r="Y2264" s="44">
        <f t="shared" si="205"/>
        <v>0</v>
      </c>
    </row>
    <row r="2265" spans="23:25">
      <c r="W2265" s="44">
        <f t="shared" si="203"/>
        <v>0</v>
      </c>
      <c r="X2265" s="44">
        <f t="shared" si="204"/>
        <v>0</v>
      </c>
      <c r="Y2265" s="44">
        <f t="shared" si="205"/>
        <v>0</v>
      </c>
    </row>
    <row r="2266" spans="23:25">
      <c r="W2266" s="44">
        <f t="shared" si="203"/>
        <v>0</v>
      </c>
      <c r="X2266" s="44">
        <f t="shared" si="204"/>
        <v>0</v>
      </c>
      <c r="Y2266" s="44">
        <f t="shared" si="205"/>
        <v>0</v>
      </c>
    </row>
    <row r="2267" spans="23:25">
      <c r="W2267" s="44">
        <f t="shared" si="203"/>
        <v>0</v>
      </c>
      <c r="X2267" s="44">
        <f t="shared" si="204"/>
        <v>0</v>
      </c>
      <c r="Y2267" s="44">
        <f t="shared" si="205"/>
        <v>0</v>
      </c>
    </row>
    <row r="2268" spans="23:25">
      <c r="W2268" s="44">
        <f t="shared" si="203"/>
        <v>0</v>
      </c>
      <c r="X2268" s="44">
        <f t="shared" si="204"/>
        <v>0</v>
      </c>
      <c r="Y2268" s="44">
        <f t="shared" si="205"/>
        <v>0</v>
      </c>
    </row>
    <row r="2269" spans="23:25">
      <c r="W2269" s="44">
        <f t="shared" si="203"/>
        <v>0</v>
      </c>
      <c r="X2269" s="44">
        <f t="shared" si="204"/>
        <v>0</v>
      </c>
      <c r="Y2269" s="44">
        <f t="shared" si="205"/>
        <v>0</v>
      </c>
    </row>
    <row r="2270" spans="23:25">
      <c r="W2270" s="44">
        <f t="shared" si="203"/>
        <v>0</v>
      </c>
      <c r="X2270" s="44">
        <f t="shared" si="204"/>
        <v>0</v>
      </c>
      <c r="Y2270" s="44">
        <f t="shared" si="205"/>
        <v>0</v>
      </c>
    </row>
    <row r="2271" spans="23:25">
      <c r="W2271" s="44">
        <f t="shared" si="203"/>
        <v>0</v>
      </c>
      <c r="X2271" s="44">
        <f t="shared" si="204"/>
        <v>0</v>
      </c>
      <c r="Y2271" s="44">
        <f t="shared" si="205"/>
        <v>0</v>
      </c>
    </row>
    <row r="2272" spans="23:25">
      <c r="W2272" s="44">
        <f t="shared" si="203"/>
        <v>0</v>
      </c>
      <c r="X2272" s="44">
        <f t="shared" si="204"/>
        <v>0</v>
      </c>
      <c r="Y2272" s="44">
        <f t="shared" si="205"/>
        <v>0</v>
      </c>
    </row>
    <row r="2273" spans="23:25">
      <c r="W2273" s="44">
        <f t="shared" si="203"/>
        <v>0</v>
      </c>
      <c r="X2273" s="44">
        <f t="shared" si="204"/>
        <v>0</v>
      </c>
      <c r="Y2273" s="44">
        <f t="shared" si="205"/>
        <v>0</v>
      </c>
    </row>
    <row r="2274" spans="23:25">
      <c r="W2274" s="44">
        <f t="shared" si="203"/>
        <v>0</v>
      </c>
      <c r="X2274" s="44">
        <f t="shared" si="204"/>
        <v>0</v>
      </c>
      <c r="Y2274" s="44">
        <f t="shared" si="205"/>
        <v>0</v>
      </c>
    </row>
    <row r="2275" spans="23:25">
      <c r="W2275" s="44">
        <f t="shared" si="203"/>
        <v>0</v>
      </c>
      <c r="X2275" s="44">
        <f t="shared" si="204"/>
        <v>0</v>
      </c>
      <c r="Y2275" s="44">
        <f t="shared" si="205"/>
        <v>0</v>
      </c>
    </row>
    <row r="2276" spans="23:25">
      <c r="W2276" s="44">
        <f t="shared" si="203"/>
        <v>0</v>
      </c>
      <c r="X2276" s="44">
        <f t="shared" si="204"/>
        <v>0</v>
      </c>
      <c r="Y2276" s="44">
        <f t="shared" si="205"/>
        <v>0</v>
      </c>
    </row>
    <row r="2277" spans="23:25">
      <c r="W2277" s="44">
        <f t="shared" si="203"/>
        <v>0</v>
      </c>
      <c r="X2277" s="44">
        <f t="shared" si="204"/>
        <v>0</v>
      </c>
      <c r="Y2277" s="44">
        <f t="shared" si="205"/>
        <v>0</v>
      </c>
    </row>
    <row r="2278" spans="23:25">
      <c r="W2278" s="44">
        <f t="shared" si="203"/>
        <v>0</v>
      </c>
      <c r="X2278" s="44">
        <f t="shared" si="204"/>
        <v>0</v>
      </c>
      <c r="Y2278" s="44">
        <f t="shared" si="205"/>
        <v>0</v>
      </c>
    </row>
    <row r="2279" spans="23:25">
      <c r="W2279" s="44">
        <f t="shared" si="203"/>
        <v>0</v>
      </c>
      <c r="X2279" s="44">
        <f t="shared" si="204"/>
        <v>0</v>
      </c>
      <c r="Y2279" s="44">
        <f t="shared" si="205"/>
        <v>0</v>
      </c>
    </row>
    <row r="2280" spans="23:25">
      <c r="W2280" s="44">
        <f t="shared" si="203"/>
        <v>0</v>
      </c>
      <c r="X2280" s="44">
        <f t="shared" si="204"/>
        <v>0</v>
      </c>
      <c r="Y2280" s="44">
        <f t="shared" si="205"/>
        <v>0</v>
      </c>
    </row>
    <row r="2281" spans="23:25">
      <c r="W2281" s="44">
        <f t="shared" si="203"/>
        <v>0</v>
      </c>
      <c r="X2281" s="44">
        <f t="shared" si="204"/>
        <v>0</v>
      </c>
      <c r="Y2281" s="44">
        <f t="shared" si="205"/>
        <v>0</v>
      </c>
    </row>
    <row r="2282" spans="23:25">
      <c r="W2282" s="44">
        <f t="shared" si="203"/>
        <v>0</v>
      </c>
      <c r="X2282" s="44">
        <f t="shared" si="204"/>
        <v>0</v>
      </c>
      <c r="Y2282" s="44">
        <f t="shared" si="205"/>
        <v>0</v>
      </c>
    </row>
    <row r="2283" spans="23:25">
      <c r="W2283" s="44">
        <f t="shared" si="203"/>
        <v>0</v>
      </c>
      <c r="X2283" s="44">
        <f t="shared" si="204"/>
        <v>0</v>
      </c>
      <c r="Y2283" s="44">
        <f t="shared" si="205"/>
        <v>0</v>
      </c>
    </row>
    <row r="2284" spans="23:25">
      <c r="W2284" s="44">
        <f t="shared" si="203"/>
        <v>0</v>
      </c>
      <c r="X2284" s="44">
        <f t="shared" si="204"/>
        <v>0</v>
      </c>
      <c r="Y2284" s="44">
        <f t="shared" si="205"/>
        <v>0</v>
      </c>
    </row>
    <row r="2285" spans="23:25">
      <c r="W2285" s="44">
        <f t="shared" si="203"/>
        <v>0</v>
      </c>
      <c r="X2285" s="44">
        <f t="shared" si="204"/>
        <v>0</v>
      </c>
      <c r="Y2285" s="44">
        <f t="shared" si="205"/>
        <v>0</v>
      </c>
    </row>
    <row r="2286" spans="23:25">
      <c r="W2286" s="44">
        <f t="shared" si="203"/>
        <v>0</v>
      </c>
      <c r="X2286" s="44">
        <f t="shared" si="204"/>
        <v>0</v>
      </c>
      <c r="Y2286" s="44">
        <f t="shared" si="205"/>
        <v>0</v>
      </c>
    </row>
    <row r="2287" spans="23:25">
      <c r="W2287" s="44">
        <f t="shared" si="203"/>
        <v>0</v>
      </c>
      <c r="X2287" s="44">
        <f t="shared" si="204"/>
        <v>0</v>
      </c>
      <c r="Y2287" s="44">
        <f t="shared" si="205"/>
        <v>0</v>
      </c>
    </row>
    <row r="2288" spans="23:25">
      <c r="W2288" s="44">
        <f t="shared" si="203"/>
        <v>0</v>
      </c>
      <c r="X2288" s="44">
        <f t="shared" si="204"/>
        <v>0</v>
      </c>
      <c r="Y2288" s="44">
        <f t="shared" si="205"/>
        <v>0</v>
      </c>
    </row>
    <row r="2289" spans="23:25">
      <c r="W2289" s="44">
        <f t="shared" si="203"/>
        <v>0</v>
      </c>
      <c r="X2289" s="44">
        <f t="shared" si="204"/>
        <v>0</v>
      </c>
      <c r="Y2289" s="44">
        <f t="shared" si="205"/>
        <v>0</v>
      </c>
    </row>
    <row r="2290" spans="23:25">
      <c r="W2290" s="44">
        <f t="shared" si="203"/>
        <v>0</v>
      </c>
      <c r="X2290" s="44">
        <f t="shared" si="204"/>
        <v>0</v>
      </c>
      <c r="Y2290" s="44">
        <f t="shared" si="205"/>
        <v>0</v>
      </c>
    </row>
    <row r="2291" spans="23:25">
      <c r="W2291" s="44">
        <f t="shared" si="203"/>
        <v>0</v>
      </c>
      <c r="X2291" s="44">
        <f t="shared" si="204"/>
        <v>0</v>
      </c>
      <c r="Y2291" s="44">
        <f t="shared" si="205"/>
        <v>0</v>
      </c>
    </row>
    <row r="2292" spans="23:25">
      <c r="W2292" s="44">
        <f t="shared" si="203"/>
        <v>0</v>
      </c>
      <c r="X2292" s="44">
        <f t="shared" si="204"/>
        <v>0</v>
      </c>
      <c r="Y2292" s="44">
        <f t="shared" si="205"/>
        <v>0</v>
      </c>
    </row>
    <row r="2293" spans="23:25">
      <c r="W2293" s="44">
        <f t="shared" si="203"/>
        <v>0</v>
      </c>
      <c r="X2293" s="44">
        <f t="shared" si="204"/>
        <v>0</v>
      </c>
      <c r="Y2293" s="44">
        <f t="shared" si="205"/>
        <v>0</v>
      </c>
    </row>
    <row r="2294" spans="23:25">
      <c r="W2294" s="44">
        <f t="shared" si="203"/>
        <v>0</v>
      </c>
      <c r="X2294" s="44">
        <f t="shared" si="204"/>
        <v>0</v>
      </c>
      <c r="Y2294" s="44">
        <f t="shared" si="205"/>
        <v>0</v>
      </c>
    </row>
    <row r="2295" spans="23:25">
      <c r="W2295" s="44">
        <f t="shared" si="203"/>
        <v>0</v>
      </c>
      <c r="X2295" s="44">
        <f t="shared" si="204"/>
        <v>0</v>
      </c>
      <c r="Y2295" s="44">
        <f t="shared" si="205"/>
        <v>0</v>
      </c>
    </row>
    <row r="2296" spans="23:25">
      <c r="W2296" s="44">
        <f t="shared" si="203"/>
        <v>0</v>
      </c>
      <c r="X2296" s="44">
        <f t="shared" si="204"/>
        <v>0</v>
      </c>
      <c r="Y2296" s="44">
        <f t="shared" si="205"/>
        <v>0</v>
      </c>
    </row>
    <row r="2297" spans="23:25">
      <c r="W2297" s="44">
        <f t="shared" si="203"/>
        <v>0</v>
      </c>
      <c r="X2297" s="44">
        <f t="shared" si="204"/>
        <v>0</v>
      </c>
      <c r="Y2297" s="44">
        <f t="shared" si="205"/>
        <v>0</v>
      </c>
    </row>
    <row r="2298" spans="23:25">
      <c r="W2298" s="44">
        <f t="shared" si="203"/>
        <v>0</v>
      </c>
      <c r="X2298" s="44">
        <f t="shared" si="204"/>
        <v>0</v>
      </c>
      <c r="Y2298" s="44">
        <f t="shared" si="205"/>
        <v>0</v>
      </c>
    </row>
    <row r="2299" spans="23:25">
      <c r="W2299" s="44">
        <f t="shared" si="203"/>
        <v>0</v>
      </c>
      <c r="X2299" s="44">
        <f t="shared" si="204"/>
        <v>0</v>
      </c>
      <c r="Y2299" s="44">
        <f t="shared" si="205"/>
        <v>0</v>
      </c>
    </row>
    <row r="2300" spans="23:25">
      <c r="W2300" s="44">
        <f t="shared" si="203"/>
        <v>0</v>
      </c>
      <c r="X2300" s="44">
        <f t="shared" si="204"/>
        <v>0</v>
      </c>
      <c r="Y2300" s="44">
        <f t="shared" si="205"/>
        <v>0</v>
      </c>
    </row>
    <row r="2301" spans="23:25">
      <c r="W2301" s="44">
        <f t="shared" si="203"/>
        <v>0</v>
      </c>
      <c r="X2301" s="44">
        <f t="shared" si="204"/>
        <v>0</v>
      </c>
      <c r="Y2301" s="44">
        <f t="shared" si="205"/>
        <v>0</v>
      </c>
    </row>
    <row r="2302" spans="23:25">
      <c r="W2302" s="44">
        <f t="shared" si="203"/>
        <v>0</v>
      </c>
      <c r="X2302" s="44">
        <f t="shared" si="204"/>
        <v>0</v>
      </c>
      <c r="Y2302" s="44">
        <f t="shared" si="205"/>
        <v>0</v>
      </c>
    </row>
    <row r="2303" spans="23:25">
      <c r="W2303" s="44">
        <f t="shared" si="203"/>
        <v>0</v>
      </c>
      <c r="X2303" s="44">
        <f t="shared" si="204"/>
        <v>0</v>
      </c>
      <c r="Y2303" s="44">
        <f t="shared" si="205"/>
        <v>0</v>
      </c>
    </row>
    <row r="2304" spans="23:25">
      <c r="W2304" s="44">
        <f t="shared" si="203"/>
        <v>0</v>
      </c>
      <c r="X2304" s="44">
        <f t="shared" si="204"/>
        <v>0</v>
      </c>
      <c r="Y2304" s="44">
        <f t="shared" si="205"/>
        <v>0</v>
      </c>
    </row>
    <row r="2305" spans="23:25">
      <c r="W2305" s="44">
        <f t="shared" si="203"/>
        <v>0</v>
      </c>
      <c r="X2305" s="44">
        <f t="shared" si="204"/>
        <v>0</v>
      </c>
      <c r="Y2305" s="44">
        <f t="shared" si="205"/>
        <v>0</v>
      </c>
    </row>
    <row r="2306" spans="23:25">
      <c r="W2306" s="44">
        <f t="shared" si="203"/>
        <v>0</v>
      </c>
      <c r="X2306" s="44">
        <f t="shared" si="204"/>
        <v>0</v>
      </c>
      <c r="Y2306" s="44">
        <f t="shared" si="205"/>
        <v>0</v>
      </c>
    </row>
    <row r="2307" spans="23:25">
      <c r="W2307" s="44">
        <f t="shared" si="203"/>
        <v>0</v>
      </c>
      <c r="X2307" s="44">
        <f t="shared" si="204"/>
        <v>0</v>
      </c>
      <c r="Y2307" s="44">
        <f t="shared" si="205"/>
        <v>0</v>
      </c>
    </row>
    <row r="2308" spans="23:25">
      <c r="W2308" s="44">
        <f t="shared" si="203"/>
        <v>0</v>
      </c>
      <c r="X2308" s="44">
        <f t="shared" si="204"/>
        <v>0</v>
      </c>
      <c r="Y2308" s="44">
        <f t="shared" si="205"/>
        <v>0</v>
      </c>
    </row>
    <row r="2309" spans="23:25">
      <c r="W2309" s="44">
        <f t="shared" si="203"/>
        <v>0</v>
      </c>
      <c r="X2309" s="44">
        <f t="shared" si="204"/>
        <v>0</v>
      </c>
      <c r="Y2309" s="44">
        <f t="shared" si="205"/>
        <v>0</v>
      </c>
    </row>
    <row r="2310" spans="23:25">
      <c r="W2310" s="44">
        <f t="shared" si="203"/>
        <v>0</v>
      </c>
      <c r="X2310" s="44">
        <f t="shared" si="204"/>
        <v>0</v>
      </c>
      <c r="Y2310" s="44">
        <f t="shared" si="205"/>
        <v>0</v>
      </c>
    </row>
    <row r="2311" spans="23:25">
      <c r="W2311" s="44">
        <f t="shared" si="203"/>
        <v>0</v>
      </c>
      <c r="X2311" s="44">
        <f t="shared" si="204"/>
        <v>0</v>
      </c>
      <c r="Y2311" s="44">
        <f t="shared" si="205"/>
        <v>0</v>
      </c>
    </row>
    <row r="2312" spans="23:25">
      <c r="W2312" s="44">
        <f t="shared" ref="W2312:W2375" si="206">+T2312-U2312-V2312-Z2312</f>
        <v>0</v>
      </c>
      <c r="X2312" s="44">
        <f t="shared" ref="X2312:X2375" si="207">(+O2312-U2312)*$X$1</f>
        <v>0</v>
      </c>
      <c r="Y2312" s="44">
        <f t="shared" ref="Y2312:Y2375" si="208">+W2312-X2312</f>
        <v>0</v>
      </c>
    </row>
    <row r="2313" spans="23:25">
      <c r="W2313" s="44">
        <f t="shared" si="206"/>
        <v>0</v>
      </c>
      <c r="X2313" s="44">
        <f t="shared" si="207"/>
        <v>0</v>
      </c>
      <c r="Y2313" s="44">
        <f t="shared" si="208"/>
        <v>0</v>
      </c>
    </row>
    <row r="2314" spans="23:25">
      <c r="W2314" s="44">
        <f t="shared" si="206"/>
        <v>0</v>
      </c>
      <c r="X2314" s="44">
        <f t="shared" si="207"/>
        <v>0</v>
      </c>
      <c r="Y2314" s="44">
        <f t="shared" si="208"/>
        <v>0</v>
      </c>
    </row>
    <row r="2315" spans="23:25">
      <c r="W2315" s="44">
        <f t="shared" si="206"/>
        <v>0</v>
      </c>
      <c r="X2315" s="44">
        <f t="shared" si="207"/>
        <v>0</v>
      </c>
      <c r="Y2315" s="44">
        <f t="shared" si="208"/>
        <v>0</v>
      </c>
    </row>
    <row r="2316" spans="23:25">
      <c r="W2316" s="44">
        <f t="shared" si="206"/>
        <v>0</v>
      </c>
      <c r="X2316" s="44">
        <f t="shared" si="207"/>
        <v>0</v>
      </c>
      <c r="Y2316" s="44">
        <f t="shared" si="208"/>
        <v>0</v>
      </c>
    </row>
    <row r="2317" spans="23:25">
      <c r="W2317" s="44">
        <f t="shared" si="206"/>
        <v>0</v>
      </c>
      <c r="X2317" s="44">
        <f t="shared" si="207"/>
        <v>0</v>
      </c>
      <c r="Y2317" s="44">
        <f t="shared" si="208"/>
        <v>0</v>
      </c>
    </row>
    <row r="2318" spans="23:25">
      <c r="W2318" s="44">
        <f t="shared" si="206"/>
        <v>0</v>
      </c>
      <c r="X2318" s="44">
        <f t="shared" si="207"/>
        <v>0</v>
      </c>
      <c r="Y2318" s="44">
        <f t="shared" si="208"/>
        <v>0</v>
      </c>
    </row>
    <row r="2319" spans="23:25">
      <c r="W2319" s="44">
        <f t="shared" si="206"/>
        <v>0</v>
      </c>
      <c r="X2319" s="44">
        <f t="shared" si="207"/>
        <v>0</v>
      </c>
      <c r="Y2319" s="44">
        <f t="shared" si="208"/>
        <v>0</v>
      </c>
    </row>
    <row r="2320" spans="23:25">
      <c r="W2320" s="44">
        <f t="shared" si="206"/>
        <v>0</v>
      </c>
      <c r="X2320" s="44">
        <f t="shared" si="207"/>
        <v>0</v>
      </c>
      <c r="Y2320" s="44">
        <f t="shared" si="208"/>
        <v>0</v>
      </c>
    </row>
    <row r="2321" spans="23:25">
      <c r="W2321" s="44">
        <f t="shared" si="206"/>
        <v>0</v>
      </c>
      <c r="X2321" s="44">
        <f t="shared" si="207"/>
        <v>0</v>
      </c>
      <c r="Y2321" s="44">
        <f t="shared" si="208"/>
        <v>0</v>
      </c>
    </row>
    <row r="2322" spans="23:25">
      <c r="W2322" s="44">
        <f t="shared" si="206"/>
        <v>0</v>
      </c>
      <c r="X2322" s="44">
        <f t="shared" si="207"/>
        <v>0</v>
      </c>
      <c r="Y2322" s="44">
        <f t="shared" si="208"/>
        <v>0</v>
      </c>
    </row>
    <row r="2323" spans="23:25">
      <c r="W2323" s="44">
        <f t="shared" si="206"/>
        <v>0</v>
      </c>
      <c r="X2323" s="44">
        <f t="shared" si="207"/>
        <v>0</v>
      </c>
      <c r="Y2323" s="44">
        <f t="shared" si="208"/>
        <v>0</v>
      </c>
    </row>
    <row r="2324" spans="23:25">
      <c r="W2324" s="44">
        <f t="shared" si="206"/>
        <v>0</v>
      </c>
      <c r="X2324" s="44">
        <f t="shared" si="207"/>
        <v>0</v>
      </c>
      <c r="Y2324" s="44">
        <f t="shared" si="208"/>
        <v>0</v>
      </c>
    </row>
    <row r="2325" spans="23:25">
      <c r="W2325" s="44">
        <f t="shared" si="206"/>
        <v>0</v>
      </c>
      <c r="X2325" s="44">
        <f t="shared" si="207"/>
        <v>0</v>
      </c>
      <c r="Y2325" s="44">
        <f t="shared" si="208"/>
        <v>0</v>
      </c>
    </row>
    <row r="2326" spans="23:25">
      <c r="W2326" s="44">
        <f t="shared" si="206"/>
        <v>0</v>
      </c>
      <c r="X2326" s="44">
        <f t="shared" si="207"/>
        <v>0</v>
      </c>
      <c r="Y2326" s="44">
        <f t="shared" si="208"/>
        <v>0</v>
      </c>
    </row>
    <row r="2327" spans="23:25">
      <c r="W2327" s="44">
        <f t="shared" si="206"/>
        <v>0</v>
      </c>
      <c r="X2327" s="44">
        <f t="shared" si="207"/>
        <v>0</v>
      </c>
      <c r="Y2327" s="44">
        <f t="shared" si="208"/>
        <v>0</v>
      </c>
    </row>
    <row r="2328" spans="23:25">
      <c r="W2328" s="44">
        <f t="shared" si="206"/>
        <v>0</v>
      </c>
      <c r="X2328" s="44">
        <f t="shared" si="207"/>
        <v>0</v>
      </c>
      <c r="Y2328" s="44">
        <f t="shared" si="208"/>
        <v>0</v>
      </c>
    </row>
    <row r="2329" spans="23:25">
      <c r="W2329" s="44">
        <f t="shared" si="206"/>
        <v>0</v>
      </c>
      <c r="X2329" s="44">
        <f t="shared" si="207"/>
        <v>0</v>
      </c>
      <c r="Y2329" s="44">
        <f t="shared" si="208"/>
        <v>0</v>
      </c>
    </row>
    <row r="2330" spans="23:25">
      <c r="W2330" s="44">
        <f t="shared" si="206"/>
        <v>0</v>
      </c>
      <c r="X2330" s="44">
        <f t="shared" si="207"/>
        <v>0</v>
      </c>
      <c r="Y2330" s="44">
        <f t="shared" si="208"/>
        <v>0</v>
      </c>
    </row>
    <row r="2331" spans="23:25">
      <c r="W2331" s="44">
        <f t="shared" si="206"/>
        <v>0</v>
      </c>
      <c r="X2331" s="44">
        <f t="shared" si="207"/>
        <v>0</v>
      </c>
      <c r="Y2331" s="44">
        <f t="shared" si="208"/>
        <v>0</v>
      </c>
    </row>
    <row r="2332" spans="23:25">
      <c r="W2332" s="44">
        <f t="shared" si="206"/>
        <v>0</v>
      </c>
      <c r="X2332" s="44">
        <f t="shared" si="207"/>
        <v>0</v>
      </c>
      <c r="Y2332" s="44">
        <f t="shared" si="208"/>
        <v>0</v>
      </c>
    </row>
    <row r="2333" spans="23:25">
      <c r="W2333" s="44">
        <f t="shared" si="206"/>
        <v>0</v>
      </c>
      <c r="X2333" s="44">
        <f t="shared" si="207"/>
        <v>0</v>
      </c>
      <c r="Y2333" s="44">
        <f t="shared" si="208"/>
        <v>0</v>
      </c>
    </row>
    <row r="2334" spans="23:25">
      <c r="W2334" s="44">
        <f t="shared" si="206"/>
        <v>0</v>
      </c>
      <c r="X2334" s="44">
        <f t="shared" si="207"/>
        <v>0</v>
      </c>
      <c r="Y2334" s="44">
        <f t="shared" si="208"/>
        <v>0</v>
      </c>
    </row>
    <row r="2335" spans="23:25">
      <c r="W2335" s="44">
        <f t="shared" si="206"/>
        <v>0</v>
      </c>
      <c r="X2335" s="44">
        <f t="shared" si="207"/>
        <v>0</v>
      </c>
      <c r="Y2335" s="44">
        <f t="shared" si="208"/>
        <v>0</v>
      </c>
    </row>
    <row r="2336" spans="23:25">
      <c r="W2336" s="44">
        <f t="shared" si="206"/>
        <v>0</v>
      </c>
      <c r="X2336" s="44">
        <f t="shared" si="207"/>
        <v>0</v>
      </c>
      <c r="Y2336" s="44">
        <f t="shared" si="208"/>
        <v>0</v>
      </c>
    </row>
    <row r="2337" spans="23:25">
      <c r="W2337" s="44">
        <f t="shared" si="206"/>
        <v>0</v>
      </c>
      <c r="X2337" s="44">
        <f t="shared" si="207"/>
        <v>0</v>
      </c>
      <c r="Y2337" s="44">
        <f t="shared" si="208"/>
        <v>0</v>
      </c>
    </row>
    <row r="2338" spans="23:25">
      <c r="W2338" s="44">
        <f t="shared" si="206"/>
        <v>0</v>
      </c>
      <c r="X2338" s="44">
        <f t="shared" si="207"/>
        <v>0</v>
      </c>
      <c r="Y2338" s="44">
        <f t="shared" si="208"/>
        <v>0</v>
      </c>
    </row>
    <row r="2339" spans="23:25">
      <c r="W2339" s="44">
        <f t="shared" si="206"/>
        <v>0</v>
      </c>
      <c r="X2339" s="44">
        <f t="shared" si="207"/>
        <v>0</v>
      </c>
      <c r="Y2339" s="44">
        <f t="shared" si="208"/>
        <v>0</v>
      </c>
    </row>
    <row r="2340" spans="23:25">
      <c r="W2340" s="44">
        <f t="shared" si="206"/>
        <v>0</v>
      </c>
      <c r="X2340" s="44">
        <f t="shared" si="207"/>
        <v>0</v>
      </c>
      <c r="Y2340" s="44">
        <f t="shared" si="208"/>
        <v>0</v>
      </c>
    </row>
    <row r="2341" spans="23:25">
      <c r="W2341" s="44">
        <f t="shared" si="206"/>
        <v>0</v>
      </c>
      <c r="X2341" s="44">
        <f t="shared" si="207"/>
        <v>0</v>
      </c>
      <c r="Y2341" s="44">
        <f t="shared" si="208"/>
        <v>0</v>
      </c>
    </row>
    <row r="2342" spans="23:25">
      <c r="W2342" s="44">
        <f t="shared" si="206"/>
        <v>0</v>
      </c>
      <c r="X2342" s="44">
        <f t="shared" si="207"/>
        <v>0</v>
      </c>
      <c r="Y2342" s="44">
        <f t="shared" si="208"/>
        <v>0</v>
      </c>
    </row>
    <row r="2343" spans="23:25">
      <c r="W2343" s="44">
        <f t="shared" si="206"/>
        <v>0</v>
      </c>
      <c r="X2343" s="44">
        <f t="shared" si="207"/>
        <v>0</v>
      </c>
      <c r="Y2343" s="44">
        <f t="shared" si="208"/>
        <v>0</v>
      </c>
    </row>
    <row r="2344" spans="23:25">
      <c r="W2344" s="44">
        <f t="shared" si="206"/>
        <v>0</v>
      </c>
      <c r="X2344" s="44">
        <f t="shared" si="207"/>
        <v>0</v>
      </c>
      <c r="Y2344" s="44">
        <f t="shared" si="208"/>
        <v>0</v>
      </c>
    </row>
    <row r="2345" spans="23:25">
      <c r="W2345" s="44">
        <f t="shared" si="206"/>
        <v>0</v>
      </c>
      <c r="X2345" s="44">
        <f t="shared" si="207"/>
        <v>0</v>
      </c>
      <c r="Y2345" s="44">
        <f t="shared" si="208"/>
        <v>0</v>
      </c>
    </row>
    <row r="2346" spans="23:25">
      <c r="W2346" s="44">
        <f t="shared" si="206"/>
        <v>0</v>
      </c>
      <c r="X2346" s="44">
        <f t="shared" si="207"/>
        <v>0</v>
      </c>
      <c r="Y2346" s="44">
        <f t="shared" si="208"/>
        <v>0</v>
      </c>
    </row>
    <row r="2347" spans="23:25">
      <c r="W2347" s="44">
        <f t="shared" si="206"/>
        <v>0</v>
      </c>
      <c r="X2347" s="44">
        <f t="shared" si="207"/>
        <v>0</v>
      </c>
      <c r="Y2347" s="44">
        <f t="shared" si="208"/>
        <v>0</v>
      </c>
    </row>
    <row r="2348" spans="23:25">
      <c r="W2348" s="44">
        <f t="shared" si="206"/>
        <v>0</v>
      </c>
      <c r="X2348" s="44">
        <f t="shared" si="207"/>
        <v>0</v>
      </c>
      <c r="Y2348" s="44">
        <f t="shared" si="208"/>
        <v>0</v>
      </c>
    </row>
    <row r="2349" spans="23:25">
      <c r="W2349" s="44">
        <f t="shared" si="206"/>
        <v>0</v>
      </c>
      <c r="X2349" s="44">
        <f t="shared" si="207"/>
        <v>0</v>
      </c>
      <c r="Y2349" s="44">
        <f t="shared" si="208"/>
        <v>0</v>
      </c>
    </row>
    <row r="2350" spans="23:25">
      <c r="W2350" s="44">
        <f t="shared" si="206"/>
        <v>0</v>
      </c>
      <c r="X2350" s="44">
        <f t="shared" si="207"/>
        <v>0</v>
      </c>
      <c r="Y2350" s="44">
        <f t="shared" si="208"/>
        <v>0</v>
      </c>
    </row>
    <row r="2351" spans="23:25">
      <c r="W2351" s="44">
        <f t="shared" si="206"/>
        <v>0</v>
      </c>
      <c r="X2351" s="44">
        <f t="shared" si="207"/>
        <v>0</v>
      </c>
      <c r="Y2351" s="44">
        <f t="shared" si="208"/>
        <v>0</v>
      </c>
    </row>
    <row r="2352" spans="23:25">
      <c r="W2352" s="44">
        <f t="shared" si="206"/>
        <v>0</v>
      </c>
      <c r="X2352" s="44">
        <f t="shared" si="207"/>
        <v>0</v>
      </c>
      <c r="Y2352" s="44">
        <f t="shared" si="208"/>
        <v>0</v>
      </c>
    </row>
    <row r="2353" spans="23:25">
      <c r="W2353" s="44">
        <f t="shared" si="206"/>
        <v>0</v>
      </c>
      <c r="X2353" s="44">
        <f t="shared" si="207"/>
        <v>0</v>
      </c>
      <c r="Y2353" s="44">
        <f t="shared" si="208"/>
        <v>0</v>
      </c>
    </row>
    <row r="2354" spans="23:25">
      <c r="W2354" s="44">
        <f t="shared" si="206"/>
        <v>0</v>
      </c>
      <c r="X2354" s="44">
        <f t="shared" si="207"/>
        <v>0</v>
      </c>
      <c r="Y2354" s="44">
        <f t="shared" si="208"/>
        <v>0</v>
      </c>
    </row>
    <row r="2355" spans="23:25">
      <c r="W2355" s="44">
        <f t="shared" si="206"/>
        <v>0</v>
      </c>
      <c r="X2355" s="44">
        <f t="shared" si="207"/>
        <v>0</v>
      </c>
      <c r="Y2355" s="44">
        <f t="shared" si="208"/>
        <v>0</v>
      </c>
    </row>
    <row r="2356" spans="23:25">
      <c r="W2356" s="44">
        <f t="shared" si="206"/>
        <v>0</v>
      </c>
      <c r="X2356" s="44">
        <f t="shared" si="207"/>
        <v>0</v>
      </c>
      <c r="Y2356" s="44">
        <f t="shared" si="208"/>
        <v>0</v>
      </c>
    </row>
    <row r="2357" spans="23:25">
      <c r="W2357" s="44">
        <f t="shared" si="206"/>
        <v>0</v>
      </c>
      <c r="X2357" s="44">
        <f t="shared" si="207"/>
        <v>0</v>
      </c>
      <c r="Y2357" s="44">
        <f t="shared" si="208"/>
        <v>0</v>
      </c>
    </row>
    <row r="2358" spans="23:25">
      <c r="W2358" s="44">
        <f t="shared" si="206"/>
        <v>0</v>
      </c>
      <c r="X2358" s="44">
        <f t="shared" si="207"/>
        <v>0</v>
      </c>
      <c r="Y2358" s="44">
        <f t="shared" si="208"/>
        <v>0</v>
      </c>
    </row>
    <row r="2359" spans="23:25">
      <c r="W2359" s="44">
        <f t="shared" si="206"/>
        <v>0</v>
      </c>
      <c r="X2359" s="44">
        <f t="shared" si="207"/>
        <v>0</v>
      </c>
      <c r="Y2359" s="44">
        <f t="shared" si="208"/>
        <v>0</v>
      </c>
    </row>
    <row r="2360" spans="23:25">
      <c r="W2360" s="44">
        <f t="shared" si="206"/>
        <v>0</v>
      </c>
      <c r="X2360" s="44">
        <f t="shared" si="207"/>
        <v>0</v>
      </c>
      <c r="Y2360" s="44">
        <f t="shared" si="208"/>
        <v>0</v>
      </c>
    </row>
    <row r="2361" spans="23:25">
      <c r="W2361" s="44">
        <f t="shared" si="206"/>
        <v>0</v>
      </c>
      <c r="X2361" s="44">
        <f t="shared" si="207"/>
        <v>0</v>
      </c>
      <c r="Y2361" s="44">
        <f t="shared" si="208"/>
        <v>0</v>
      </c>
    </row>
    <row r="2362" spans="23:25">
      <c r="W2362" s="44">
        <f t="shared" si="206"/>
        <v>0</v>
      </c>
      <c r="X2362" s="44">
        <f t="shared" si="207"/>
        <v>0</v>
      </c>
      <c r="Y2362" s="44">
        <f t="shared" si="208"/>
        <v>0</v>
      </c>
    </row>
    <row r="2363" spans="23:25">
      <c r="W2363" s="44">
        <f t="shared" si="206"/>
        <v>0</v>
      </c>
      <c r="X2363" s="44">
        <f t="shared" si="207"/>
        <v>0</v>
      </c>
      <c r="Y2363" s="44">
        <f t="shared" si="208"/>
        <v>0</v>
      </c>
    </row>
    <row r="2364" spans="23:25">
      <c r="W2364" s="44">
        <f t="shared" si="206"/>
        <v>0</v>
      </c>
      <c r="X2364" s="44">
        <f t="shared" si="207"/>
        <v>0</v>
      </c>
      <c r="Y2364" s="44">
        <f t="shared" si="208"/>
        <v>0</v>
      </c>
    </row>
    <row r="2365" spans="23:25">
      <c r="W2365" s="44">
        <f t="shared" si="206"/>
        <v>0</v>
      </c>
      <c r="X2365" s="44">
        <f t="shared" si="207"/>
        <v>0</v>
      </c>
      <c r="Y2365" s="44">
        <f t="shared" si="208"/>
        <v>0</v>
      </c>
    </row>
    <row r="2366" spans="23:25">
      <c r="W2366" s="44">
        <f t="shared" si="206"/>
        <v>0</v>
      </c>
      <c r="X2366" s="44">
        <f t="shared" si="207"/>
        <v>0</v>
      </c>
      <c r="Y2366" s="44">
        <f t="shared" si="208"/>
        <v>0</v>
      </c>
    </row>
    <row r="2367" spans="23:25">
      <c r="W2367" s="44">
        <f t="shared" si="206"/>
        <v>0</v>
      </c>
      <c r="X2367" s="44">
        <f t="shared" si="207"/>
        <v>0</v>
      </c>
      <c r="Y2367" s="44">
        <f t="shared" si="208"/>
        <v>0</v>
      </c>
    </row>
    <row r="2368" spans="23:25">
      <c r="W2368" s="44">
        <f t="shared" si="206"/>
        <v>0</v>
      </c>
      <c r="X2368" s="44">
        <f t="shared" si="207"/>
        <v>0</v>
      </c>
      <c r="Y2368" s="44">
        <f t="shared" si="208"/>
        <v>0</v>
      </c>
    </row>
    <row r="2369" spans="23:25">
      <c r="W2369" s="44">
        <f t="shared" si="206"/>
        <v>0</v>
      </c>
      <c r="X2369" s="44">
        <f t="shared" si="207"/>
        <v>0</v>
      </c>
      <c r="Y2369" s="44">
        <f t="shared" si="208"/>
        <v>0</v>
      </c>
    </row>
    <row r="2370" spans="23:25">
      <c r="W2370" s="44">
        <f t="shared" si="206"/>
        <v>0</v>
      </c>
      <c r="X2370" s="44">
        <f t="shared" si="207"/>
        <v>0</v>
      </c>
      <c r="Y2370" s="44">
        <f t="shared" si="208"/>
        <v>0</v>
      </c>
    </row>
    <row r="2371" spans="23:25">
      <c r="W2371" s="44">
        <f t="shared" si="206"/>
        <v>0</v>
      </c>
      <c r="X2371" s="44">
        <f t="shared" si="207"/>
        <v>0</v>
      </c>
      <c r="Y2371" s="44">
        <f t="shared" si="208"/>
        <v>0</v>
      </c>
    </row>
    <row r="2372" spans="23:25">
      <c r="W2372" s="44">
        <f t="shared" si="206"/>
        <v>0</v>
      </c>
      <c r="X2372" s="44">
        <f t="shared" si="207"/>
        <v>0</v>
      </c>
      <c r="Y2372" s="44">
        <f t="shared" si="208"/>
        <v>0</v>
      </c>
    </row>
    <row r="2373" spans="23:25">
      <c r="W2373" s="44">
        <f t="shared" si="206"/>
        <v>0</v>
      </c>
      <c r="X2373" s="44">
        <f t="shared" si="207"/>
        <v>0</v>
      </c>
      <c r="Y2373" s="44">
        <f t="shared" si="208"/>
        <v>0</v>
      </c>
    </row>
    <row r="2374" spans="23:25">
      <c r="W2374" s="44">
        <f t="shared" si="206"/>
        <v>0</v>
      </c>
      <c r="X2374" s="44">
        <f t="shared" si="207"/>
        <v>0</v>
      </c>
      <c r="Y2374" s="44">
        <f t="shared" si="208"/>
        <v>0</v>
      </c>
    </row>
    <row r="2375" spans="23:25">
      <c r="W2375" s="44">
        <f t="shared" si="206"/>
        <v>0</v>
      </c>
      <c r="X2375" s="44">
        <f t="shared" si="207"/>
        <v>0</v>
      </c>
      <c r="Y2375" s="44">
        <f t="shared" si="208"/>
        <v>0</v>
      </c>
    </row>
    <row r="2376" spans="23:25">
      <c r="W2376" s="44">
        <f t="shared" ref="W2376:W2439" si="209">+T2376-U2376-V2376-Z2376</f>
        <v>0</v>
      </c>
      <c r="X2376" s="44">
        <f t="shared" ref="X2376:X2439" si="210">(+O2376-U2376)*$X$1</f>
        <v>0</v>
      </c>
      <c r="Y2376" s="44">
        <f t="shared" ref="Y2376:Y2439" si="211">+W2376-X2376</f>
        <v>0</v>
      </c>
    </row>
    <row r="2377" spans="23:25">
      <c r="W2377" s="44">
        <f t="shared" si="209"/>
        <v>0</v>
      </c>
      <c r="X2377" s="44">
        <f t="shared" si="210"/>
        <v>0</v>
      </c>
      <c r="Y2377" s="44">
        <f t="shared" si="211"/>
        <v>0</v>
      </c>
    </row>
    <row r="2378" spans="23:25">
      <c r="W2378" s="44">
        <f t="shared" si="209"/>
        <v>0</v>
      </c>
      <c r="X2378" s="44">
        <f t="shared" si="210"/>
        <v>0</v>
      </c>
      <c r="Y2378" s="44">
        <f t="shared" si="211"/>
        <v>0</v>
      </c>
    </row>
    <row r="2379" spans="23:25">
      <c r="W2379" s="44">
        <f t="shared" si="209"/>
        <v>0</v>
      </c>
      <c r="X2379" s="44">
        <f t="shared" si="210"/>
        <v>0</v>
      </c>
      <c r="Y2379" s="44">
        <f t="shared" si="211"/>
        <v>0</v>
      </c>
    </row>
    <row r="2380" spans="23:25">
      <c r="W2380" s="44">
        <f t="shared" si="209"/>
        <v>0</v>
      </c>
      <c r="X2380" s="44">
        <f t="shared" si="210"/>
        <v>0</v>
      </c>
      <c r="Y2380" s="44">
        <f t="shared" si="211"/>
        <v>0</v>
      </c>
    </row>
    <row r="2381" spans="23:25">
      <c r="W2381" s="44">
        <f t="shared" si="209"/>
        <v>0</v>
      </c>
      <c r="X2381" s="44">
        <f t="shared" si="210"/>
        <v>0</v>
      </c>
      <c r="Y2381" s="44">
        <f t="shared" si="211"/>
        <v>0</v>
      </c>
    </row>
    <row r="2382" spans="23:25">
      <c r="W2382" s="44">
        <f t="shared" si="209"/>
        <v>0</v>
      </c>
      <c r="X2382" s="44">
        <f t="shared" si="210"/>
        <v>0</v>
      </c>
      <c r="Y2382" s="44">
        <f t="shared" si="211"/>
        <v>0</v>
      </c>
    </row>
    <row r="2383" spans="23:25">
      <c r="W2383" s="44">
        <f t="shared" si="209"/>
        <v>0</v>
      </c>
      <c r="X2383" s="44">
        <f t="shared" si="210"/>
        <v>0</v>
      </c>
      <c r="Y2383" s="44">
        <f t="shared" si="211"/>
        <v>0</v>
      </c>
    </row>
    <row r="2384" spans="23:25">
      <c r="W2384" s="44">
        <f t="shared" si="209"/>
        <v>0</v>
      </c>
      <c r="X2384" s="44">
        <f t="shared" si="210"/>
        <v>0</v>
      </c>
      <c r="Y2384" s="44">
        <f t="shared" si="211"/>
        <v>0</v>
      </c>
    </row>
    <row r="2385" spans="23:25">
      <c r="W2385" s="44">
        <f t="shared" si="209"/>
        <v>0</v>
      </c>
      <c r="X2385" s="44">
        <f t="shared" si="210"/>
        <v>0</v>
      </c>
      <c r="Y2385" s="44">
        <f t="shared" si="211"/>
        <v>0</v>
      </c>
    </row>
    <row r="2386" spans="23:25">
      <c r="W2386" s="44">
        <f t="shared" si="209"/>
        <v>0</v>
      </c>
      <c r="X2386" s="44">
        <f t="shared" si="210"/>
        <v>0</v>
      </c>
      <c r="Y2386" s="44">
        <f t="shared" si="211"/>
        <v>0</v>
      </c>
    </row>
    <row r="2387" spans="23:25">
      <c r="W2387" s="44">
        <f t="shared" si="209"/>
        <v>0</v>
      </c>
      <c r="X2387" s="44">
        <f t="shared" si="210"/>
        <v>0</v>
      </c>
      <c r="Y2387" s="44">
        <f t="shared" si="211"/>
        <v>0</v>
      </c>
    </row>
    <row r="2388" spans="23:25">
      <c r="W2388" s="44">
        <f t="shared" si="209"/>
        <v>0</v>
      </c>
      <c r="X2388" s="44">
        <f t="shared" si="210"/>
        <v>0</v>
      </c>
      <c r="Y2388" s="44">
        <f t="shared" si="211"/>
        <v>0</v>
      </c>
    </row>
    <row r="2389" spans="23:25">
      <c r="W2389" s="44">
        <f t="shared" si="209"/>
        <v>0</v>
      </c>
      <c r="X2389" s="44">
        <f t="shared" si="210"/>
        <v>0</v>
      </c>
      <c r="Y2389" s="44">
        <f t="shared" si="211"/>
        <v>0</v>
      </c>
    </row>
    <row r="2390" spans="23:25">
      <c r="W2390" s="44">
        <f t="shared" si="209"/>
        <v>0</v>
      </c>
      <c r="X2390" s="44">
        <f t="shared" si="210"/>
        <v>0</v>
      </c>
      <c r="Y2390" s="44">
        <f t="shared" si="211"/>
        <v>0</v>
      </c>
    </row>
    <row r="2391" spans="23:25">
      <c r="W2391" s="44">
        <f t="shared" si="209"/>
        <v>0</v>
      </c>
      <c r="X2391" s="44">
        <f t="shared" si="210"/>
        <v>0</v>
      </c>
      <c r="Y2391" s="44">
        <f t="shared" si="211"/>
        <v>0</v>
      </c>
    </row>
    <row r="2392" spans="23:25">
      <c r="W2392" s="44">
        <f t="shared" si="209"/>
        <v>0</v>
      </c>
      <c r="X2392" s="44">
        <f t="shared" si="210"/>
        <v>0</v>
      </c>
      <c r="Y2392" s="44">
        <f t="shared" si="211"/>
        <v>0</v>
      </c>
    </row>
    <row r="2393" spans="23:25">
      <c r="W2393" s="44">
        <f t="shared" si="209"/>
        <v>0</v>
      </c>
      <c r="X2393" s="44">
        <f t="shared" si="210"/>
        <v>0</v>
      </c>
      <c r="Y2393" s="44">
        <f t="shared" si="211"/>
        <v>0</v>
      </c>
    </row>
    <row r="2394" spans="23:25">
      <c r="W2394" s="44">
        <f t="shared" si="209"/>
        <v>0</v>
      </c>
      <c r="X2394" s="44">
        <f t="shared" si="210"/>
        <v>0</v>
      </c>
      <c r="Y2394" s="44">
        <f t="shared" si="211"/>
        <v>0</v>
      </c>
    </row>
    <row r="2395" spans="23:25">
      <c r="W2395" s="44">
        <f t="shared" si="209"/>
        <v>0</v>
      </c>
      <c r="X2395" s="44">
        <f t="shared" si="210"/>
        <v>0</v>
      </c>
      <c r="Y2395" s="44">
        <f t="shared" si="211"/>
        <v>0</v>
      </c>
    </row>
    <row r="2396" spans="23:25">
      <c r="W2396" s="44">
        <f t="shared" si="209"/>
        <v>0</v>
      </c>
      <c r="X2396" s="44">
        <f t="shared" si="210"/>
        <v>0</v>
      </c>
      <c r="Y2396" s="44">
        <f t="shared" si="211"/>
        <v>0</v>
      </c>
    </row>
    <row r="2397" spans="23:25">
      <c r="W2397" s="44">
        <f t="shared" si="209"/>
        <v>0</v>
      </c>
      <c r="X2397" s="44">
        <f t="shared" si="210"/>
        <v>0</v>
      </c>
      <c r="Y2397" s="44">
        <f t="shared" si="211"/>
        <v>0</v>
      </c>
    </row>
    <row r="2398" spans="23:25">
      <c r="W2398" s="44">
        <f t="shared" si="209"/>
        <v>0</v>
      </c>
      <c r="X2398" s="44">
        <f t="shared" si="210"/>
        <v>0</v>
      </c>
      <c r="Y2398" s="44">
        <f t="shared" si="211"/>
        <v>0</v>
      </c>
    </row>
    <row r="2399" spans="23:25">
      <c r="W2399" s="44">
        <f t="shared" si="209"/>
        <v>0</v>
      </c>
      <c r="X2399" s="44">
        <f t="shared" si="210"/>
        <v>0</v>
      </c>
      <c r="Y2399" s="44">
        <f t="shared" si="211"/>
        <v>0</v>
      </c>
    </row>
    <row r="2400" spans="23:25">
      <c r="W2400" s="44">
        <f t="shared" si="209"/>
        <v>0</v>
      </c>
      <c r="X2400" s="44">
        <f t="shared" si="210"/>
        <v>0</v>
      </c>
      <c r="Y2400" s="44">
        <f t="shared" si="211"/>
        <v>0</v>
      </c>
    </row>
    <row r="2401" spans="23:25">
      <c r="W2401" s="44">
        <f t="shared" si="209"/>
        <v>0</v>
      </c>
      <c r="X2401" s="44">
        <f t="shared" si="210"/>
        <v>0</v>
      </c>
      <c r="Y2401" s="44">
        <f t="shared" si="211"/>
        <v>0</v>
      </c>
    </row>
    <row r="2402" spans="23:25">
      <c r="W2402" s="44">
        <f t="shared" si="209"/>
        <v>0</v>
      </c>
      <c r="X2402" s="44">
        <f t="shared" si="210"/>
        <v>0</v>
      </c>
      <c r="Y2402" s="44">
        <f t="shared" si="211"/>
        <v>0</v>
      </c>
    </row>
    <row r="2403" spans="23:25">
      <c r="W2403" s="44">
        <f t="shared" si="209"/>
        <v>0</v>
      </c>
      <c r="X2403" s="44">
        <f t="shared" si="210"/>
        <v>0</v>
      </c>
      <c r="Y2403" s="44">
        <f t="shared" si="211"/>
        <v>0</v>
      </c>
    </row>
    <row r="2404" spans="23:25">
      <c r="W2404" s="44">
        <f t="shared" si="209"/>
        <v>0</v>
      </c>
      <c r="X2404" s="44">
        <f t="shared" si="210"/>
        <v>0</v>
      </c>
      <c r="Y2404" s="44">
        <f t="shared" si="211"/>
        <v>0</v>
      </c>
    </row>
    <row r="2405" spans="23:25">
      <c r="W2405" s="44">
        <f t="shared" si="209"/>
        <v>0</v>
      </c>
      <c r="X2405" s="44">
        <f t="shared" si="210"/>
        <v>0</v>
      </c>
      <c r="Y2405" s="44">
        <f t="shared" si="211"/>
        <v>0</v>
      </c>
    </row>
    <row r="2406" spans="23:25">
      <c r="W2406" s="44">
        <f t="shared" si="209"/>
        <v>0</v>
      </c>
      <c r="X2406" s="44">
        <f t="shared" si="210"/>
        <v>0</v>
      </c>
      <c r="Y2406" s="44">
        <f t="shared" si="211"/>
        <v>0</v>
      </c>
    </row>
    <row r="2407" spans="23:25">
      <c r="W2407" s="44">
        <f t="shared" si="209"/>
        <v>0</v>
      </c>
      <c r="X2407" s="44">
        <f t="shared" si="210"/>
        <v>0</v>
      </c>
      <c r="Y2407" s="44">
        <f t="shared" si="211"/>
        <v>0</v>
      </c>
    </row>
    <row r="2408" spans="23:25">
      <c r="W2408" s="44">
        <f t="shared" si="209"/>
        <v>0</v>
      </c>
      <c r="X2408" s="44">
        <f t="shared" si="210"/>
        <v>0</v>
      </c>
      <c r="Y2408" s="44">
        <f t="shared" si="211"/>
        <v>0</v>
      </c>
    </row>
    <row r="2409" spans="23:25">
      <c r="W2409" s="44">
        <f t="shared" si="209"/>
        <v>0</v>
      </c>
      <c r="X2409" s="44">
        <f t="shared" si="210"/>
        <v>0</v>
      </c>
      <c r="Y2409" s="44">
        <f t="shared" si="211"/>
        <v>0</v>
      </c>
    </row>
    <row r="2410" spans="23:25">
      <c r="W2410" s="44">
        <f t="shared" si="209"/>
        <v>0</v>
      </c>
      <c r="X2410" s="44">
        <f t="shared" si="210"/>
        <v>0</v>
      </c>
      <c r="Y2410" s="44">
        <f t="shared" si="211"/>
        <v>0</v>
      </c>
    </row>
    <row r="2411" spans="23:25">
      <c r="W2411" s="44">
        <f t="shared" si="209"/>
        <v>0</v>
      </c>
      <c r="X2411" s="44">
        <f t="shared" si="210"/>
        <v>0</v>
      </c>
      <c r="Y2411" s="44">
        <f t="shared" si="211"/>
        <v>0</v>
      </c>
    </row>
    <row r="2412" spans="23:25">
      <c r="W2412" s="44">
        <f t="shared" si="209"/>
        <v>0</v>
      </c>
      <c r="X2412" s="44">
        <f t="shared" si="210"/>
        <v>0</v>
      </c>
      <c r="Y2412" s="44">
        <f t="shared" si="211"/>
        <v>0</v>
      </c>
    </row>
    <row r="2413" spans="23:25">
      <c r="W2413" s="44">
        <f t="shared" si="209"/>
        <v>0</v>
      </c>
      <c r="X2413" s="44">
        <f t="shared" si="210"/>
        <v>0</v>
      </c>
      <c r="Y2413" s="44">
        <f t="shared" si="211"/>
        <v>0</v>
      </c>
    </row>
    <row r="2414" spans="23:25">
      <c r="W2414" s="44">
        <f t="shared" si="209"/>
        <v>0</v>
      </c>
      <c r="X2414" s="44">
        <f t="shared" si="210"/>
        <v>0</v>
      </c>
      <c r="Y2414" s="44">
        <f t="shared" si="211"/>
        <v>0</v>
      </c>
    </row>
    <row r="2415" spans="23:25">
      <c r="W2415" s="44">
        <f t="shared" si="209"/>
        <v>0</v>
      </c>
      <c r="X2415" s="44">
        <f t="shared" si="210"/>
        <v>0</v>
      </c>
      <c r="Y2415" s="44">
        <f t="shared" si="211"/>
        <v>0</v>
      </c>
    </row>
    <row r="2416" spans="23:25">
      <c r="W2416" s="44">
        <f t="shared" si="209"/>
        <v>0</v>
      </c>
      <c r="X2416" s="44">
        <f t="shared" si="210"/>
        <v>0</v>
      </c>
      <c r="Y2416" s="44">
        <f t="shared" si="211"/>
        <v>0</v>
      </c>
    </row>
    <row r="2417" spans="23:25">
      <c r="W2417" s="44">
        <f t="shared" si="209"/>
        <v>0</v>
      </c>
      <c r="X2417" s="44">
        <f t="shared" si="210"/>
        <v>0</v>
      </c>
      <c r="Y2417" s="44">
        <f t="shared" si="211"/>
        <v>0</v>
      </c>
    </row>
    <row r="2418" spans="23:25">
      <c r="W2418" s="44">
        <f t="shared" si="209"/>
        <v>0</v>
      </c>
      <c r="X2418" s="44">
        <f t="shared" si="210"/>
        <v>0</v>
      </c>
      <c r="Y2418" s="44">
        <f t="shared" si="211"/>
        <v>0</v>
      </c>
    </row>
    <row r="2419" spans="23:25">
      <c r="W2419" s="44">
        <f t="shared" si="209"/>
        <v>0</v>
      </c>
      <c r="X2419" s="44">
        <f t="shared" si="210"/>
        <v>0</v>
      </c>
      <c r="Y2419" s="44">
        <f t="shared" si="211"/>
        <v>0</v>
      </c>
    </row>
    <row r="2420" spans="23:25">
      <c r="W2420" s="44">
        <f t="shared" si="209"/>
        <v>0</v>
      </c>
      <c r="X2420" s="44">
        <f t="shared" si="210"/>
        <v>0</v>
      </c>
      <c r="Y2420" s="44">
        <f t="shared" si="211"/>
        <v>0</v>
      </c>
    </row>
    <row r="2421" spans="23:25">
      <c r="W2421" s="44">
        <f t="shared" si="209"/>
        <v>0</v>
      </c>
      <c r="X2421" s="44">
        <f t="shared" si="210"/>
        <v>0</v>
      </c>
      <c r="Y2421" s="44">
        <f t="shared" si="211"/>
        <v>0</v>
      </c>
    </row>
    <row r="2422" spans="23:25">
      <c r="W2422" s="44">
        <f t="shared" si="209"/>
        <v>0</v>
      </c>
      <c r="X2422" s="44">
        <f t="shared" si="210"/>
        <v>0</v>
      </c>
      <c r="Y2422" s="44">
        <f t="shared" si="211"/>
        <v>0</v>
      </c>
    </row>
    <row r="2423" spans="23:25">
      <c r="W2423" s="44">
        <f t="shared" si="209"/>
        <v>0</v>
      </c>
      <c r="X2423" s="44">
        <f t="shared" si="210"/>
        <v>0</v>
      </c>
      <c r="Y2423" s="44">
        <f t="shared" si="211"/>
        <v>0</v>
      </c>
    </row>
    <row r="2424" spans="23:25">
      <c r="W2424" s="44">
        <f t="shared" si="209"/>
        <v>0</v>
      </c>
      <c r="X2424" s="44">
        <f t="shared" si="210"/>
        <v>0</v>
      </c>
      <c r="Y2424" s="44">
        <f t="shared" si="211"/>
        <v>0</v>
      </c>
    </row>
    <row r="2425" spans="23:25">
      <c r="W2425" s="44">
        <f t="shared" si="209"/>
        <v>0</v>
      </c>
      <c r="X2425" s="44">
        <f t="shared" si="210"/>
        <v>0</v>
      </c>
      <c r="Y2425" s="44">
        <f t="shared" si="211"/>
        <v>0</v>
      </c>
    </row>
    <row r="2426" spans="23:25">
      <c r="W2426" s="44">
        <f t="shared" si="209"/>
        <v>0</v>
      </c>
      <c r="X2426" s="44">
        <f t="shared" si="210"/>
        <v>0</v>
      </c>
      <c r="Y2426" s="44">
        <f t="shared" si="211"/>
        <v>0</v>
      </c>
    </row>
    <row r="2427" spans="23:25">
      <c r="W2427" s="44">
        <f t="shared" si="209"/>
        <v>0</v>
      </c>
      <c r="X2427" s="44">
        <f t="shared" si="210"/>
        <v>0</v>
      </c>
      <c r="Y2427" s="44">
        <f t="shared" si="211"/>
        <v>0</v>
      </c>
    </row>
    <row r="2428" spans="23:25">
      <c r="W2428" s="44">
        <f t="shared" si="209"/>
        <v>0</v>
      </c>
      <c r="X2428" s="44">
        <f t="shared" si="210"/>
        <v>0</v>
      </c>
      <c r="Y2428" s="44">
        <f t="shared" si="211"/>
        <v>0</v>
      </c>
    </row>
    <row r="2429" spans="23:25">
      <c r="W2429" s="44">
        <f t="shared" si="209"/>
        <v>0</v>
      </c>
      <c r="X2429" s="44">
        <f t="shared" si="210"/>
        <v>0</v>
      </c>
      <c r="Y2429" s="44">
        <f t="shared" si="211"/>
        <v>0</v>
      </c>
    </row>
    <row r="2430" spans="23:25">
      <c r="W2430" s="44">
        <f t="shared" si="209"/>
        <v>0</v>
      </c>
      <c r="X2430" s="44">
        <f t="shared" si="210"/>
        <v>0</v>
      </c>
      <c r="Y2430" s="44">
        <f t="shared" si="211"/>
        <v>0</v>
      </c>
    </row>
    <row r="2431" spans="23:25">
      <c r="W2431" s="44">
        <f t="shared" si="209"/>
        <v>0</v>
      </c>
      <c r="X2431" s="44">
        <f t="shared" si="210"/>
        <v>0</v>
      </c>
      <c r="Y2431" s="44">
        <f t="shared" si="211"/>
        <v>0</v>
      </c>
    </row>
    <row r="2432" spans="23:25">
      <c r="W2432" s="44">
        <f t="shared" si="209"/>
        <v>0</v>
      </c>
      <c r="X2432" s="44">
        <f t="shared" si="210"/>
        <v>0</v>
      </c>
      <c r="Y2432" s="44">
        <f t="shared" si="211"/>
        <v>0</v>
      </c>
    </row>
    <row r="2433" spans="23:25">
      <c r="W2433" s="44">
        <f t="shared" si="209"/>
        <v>0</v>
      </c>
      <c r="X2433" s="44">
        <f t="shared" si="210"/>
        <v>0</v>
      </c>
      <c r="Y2433" s="44">
        <f t="shared" si="211"/>
        <v>0</v>
      </c>
    </row>
    <row r="2434" spans="23:25">
      <c r="W2434" s="44">
        <f t="shared" si="209"/>
        <v>0</v>
      </c>
      <c r="X2434" s="44">
        <f t="shared" si="210"/>
        <v>0</v>
      </c>
      <c r="Y2434" s="44">
        <f t="shared" si="211"/>
        <v>0</v>
      </c>
    </row>
    <row r="2435" spans="23:25">
      <c r="W2435" s="44">
        <f t="shared" si="209"/>
        <v>0</v>
      </c>
      <c r="X2435" s="44">
        <f t="shared" si="210"/>
        <v>0</v>
      </c>
      <c r="Y2435" s="44">
        <f t="shared" si="211"/>
        <v>0</v>
      </c>
    </row>
    <row r="2436" spans="23:25">
      <c r="W2436" s="44">
        <f t="shared" si="209"/>
        <v>0</v>
      </c>
      <c r="X2436" s="44">
        <f t="shared" si="210"/>
        <v>0</v>
      </c>
      <c r="Y2436" s="44">
        <f t="shared" si="211"/>
        <v>0</v>
      </c>
    </row>
    <row r="2437" spans="23:25">
      <c r="W2437" s="44">
        <f t="shared" si="209"/>
        <v>0</v>
      </c>
      <c r="X2437" s="44">
        <f t="shared" si="210"/>
        <v>0</v>
      </c>
      <c r="Y2437" s="44">
        <f t="shared" si="211"/>
        <v>0</v>
      </c>
    </row>
    <row r="2438" spans="23:25">
      <c r="W2438" s="44">
        <f t="shared" si="209"/>
        <v>0</v>
      </c>
      <c r="X2438" s="44">
        <f t="shared" si="210"/>
        <v>0</v>
      </c>
      <c r="Y2438" s="44">
        <f t="shared" si="211"/>
        <v>0</v>
      </c>
    </row>
    <row r="2439" spans="23:25">
      <c r="W2439" s="44">
        <f t="shared" si="209"/>
        <v>0</v>
      </c>
      <c r="X2439" s="44">
        <f t="shared" si="210"/>
        <v>0</v>
      </c>
      <c r="Y2439" s="44">
        <f t="shared" si="211"/>
        <v>0</v>
      </c>
    </row>
    <row r="2440" spans="23:25">
      <c r="W2440" s="44">
        <f t="shared" ref="W2440:W2503" si="212">+T2440-U2440-V2440-Z2440</f>
        <v>0</v>
      </c>
      <c r="X2440" s="44">
        <f t="shared" ref="X2440:X2503" si="213">(+O2440-U2440)*$X$1</f>
        <v>0</v>
      </c>
      <c r="Y2440" s="44">
        <f t="shared" ref="Y2440:Y2503" si="214">+W2440-X2440</f>
        <v>0</v>
      </c>
    </row>
    <row r="2441" spans="23:25">
      <c r="W2441" s="44">
        <f t="shared" si="212"/>
        <v>0</v>
      </c>
      <c r="X2441" s="44">
        <f t="shared" si="213"/>
        <v>0</v>
      </c>
      <c r="Y2441" s="44">
        <f t="shared" si="214"/>
        <v>0</v>
      </c>
    </row>
    <row r="2442" spans="23:25">
      <c r="W2442" s="44">
        <f t="shared" si="212"/>
        <v>0</v>
      </c>
      <c r="X2442" s="44">
        <f t="shared" si="213"/>
        <v>0</v>
      </c>
      <c r="Y2442" s="44">
        <f t="shared" si="214"/>
        <v>0</v>
      </c>
    </row>
    <row r="2443" spans="23:25">
      <c r="W2443" s="44">
        <f t="shared" si="212"/>
        <v>0</v>
      </c>
      <c r="X2443" s="44">
        <f t="shared" si="213"/>
        <v>0</v>
      </c>
      <c r="Y2443" s="44">
        <f t="shared" si="214"/>
        <v>0</v>
      </c>
    </row>
    <row r="2444" spans="23:25">
      <c r="W2444" s="44">
        <f t="shared" si="212"/>
        <v>0</v>
      </c>
      <c r="X2444" s="44">
        <f t="shared" si="213"/>
        <v>0</v>
      </c>
      <c r="Y2444" s="44">
        <f t="shared" si="214"/>
        <v>0</v>
      </c>
    </row>
    <row r="2445" spans="23:25">
      <c r="W2445" s="44">
        <f t="shared" si="212"/>
        <v>0</v>
      </c>
      <c r="X2445" s="44">
        <f t="shared" si="213"/>
        <v>0</v>
      </c>
      <c r="Y2445" s="44">
        <f t="shared" si="214"/>
        <v>0</v>
      </c>
    </row>
    <row r="2446" spans="23:25">
      <c r="W2446" s="44">
        <f t="shared" si="212"/>
        <v>0</v>
      </c>
      <c r="X2446" s="44">
        <f t="shared" si="213"/>
        <v>0</v>
      </c>
      <c r="Y2446" s="44">
        <f t="shared" si="214"/>
        <v>0</v>
      </c>
    </row>
    <row r="2447" spans="23:25">
      <c r="W2447" s="44">
        <f t="shared" si="212"/>
        <v>0</v>
      </c>
      <c r="X2447" s="44">
        <f t="shared" si="213"/>
        <v>0</v>
      </c>
      <c r="Y2447" s="44">
        <f t="shared" si="214"/>
        <v>0</v>
      </c>
    </row>
    <row r="2448" spans="23:25">
      <c r="W2448" s="44">
        <f t="shared" si="212"/>
        <v>0</v>
      </c>
      <c r="X2448" s="44">
        <f t="shared" si="213"/>
        <v>0</v>
      </c>
      <c r="Y2448" s="44">
        <f t="shared" si="214"/>
        <v>0</v>
      </c>
    </row>
    <row r="2449" spans="23:25">
      <c r="W2449" s="44">
        <f t="shared" si="212"/>
        <v>0</v>
      </c>
      <c r="X2449" s="44">
        <f t="shared" si="213"/>
        <v>0</v>
      </c>
      <c r="Y2449" s="44">
        <f t="shared" si="214"/>
        <v>0</v>
      </c>
    </row>
    <row r="2450" spans="23:25">
      <c r="W2450" s="44">
        <f t="shared" si="212"/>
        <v>0</v>
      </c>
      <c r="X2450" s="44">
        <f t="shared" si="213"/>
        <v>0</v>
      </c>
      <c r="Y2450" s="44">
        <f t="shared" si="214"/>
        <v>0</v>
      </c>
    </row>
    <row r="2451" spans="23:25">
      <c r="W2451" s="44">
        <f t="shared" si="212"/>
        <v>0</v>
      </c>
      <c r="X2451" s="44">
        <f t="shared" si="213"/>
        <v>0</v>
      </c>
      <c r="Y2451" s="44">
        <f t="shared" si="214"/>
        <v>0</v>
      </c>
    </row>
    <row r="2452" spans="23:25">
      <c r="W2452" s="44">
        <f t="shared" si="212"/>
        <v>0</v>
      </c>
      <c r="X2452" s="44">
        <f t="shared" si="213"/>
        <v>0</v>
      </c>
      <c r="Y2452" s="44">
        <f t="shared" si="214"/>
        <v>0</v>
      </c>
    </row>
    <row r="2453" spans="23:25">
      <c r="W2453" s="44">
        <f t="shared" si="212"/>
        <v>0</v>
      </c>
      <c r="X2453" s="44">
        <f t="shared" si="213"/>
        <v>0</v>
      </c>
      <c r="Y2453" s="44">
        <f t="shared" si="214"/>
        <v>0</v>
      </c>
    </row>
    <row r="2454" spans="23:25">
      <c r="W2454" s="44">
        <f t="shared" si="212"/>
        <v>0</v>
      </c>
      <c r="X2454" s="44">
        <f t="shared" si="213"/>
        <v>0</v>
      </c>
      <c r="Y2454" s="44">
        <f t="shared" si="214"/>
        <v>0</v>
      </c>
    </row>
    <row r="2455" spans="23:25">
      <c r="W2455" s="44">
        <f t="shared" si="212"/>
        <v>0</v>
      </c>
      <c r="X2455" s="44">
        <f t="shared" si="213"/>
        <v>0</v>
      </c>
      <c r="Y2455" s="44">
        <f t="shared" si="214"/>
        <v>0</v>
      </c>
    </row>
    <row r="2456" spans="23:25">
      <c r="W2456" s="44">
        <f t="shared" si="212"/>
        <v>0</v>
      </c>
      <c r="X2456" s="44">
        <f t="shared" si="213"/>
        <v>0</v>
      </c>
      <c r="Y2456" s="44">
        <f t="shared" si="214"/>
        <v>0</v>
      </c>
    </row>
    <row r="2457" spans="23:25">
      <c r="W2457" s="44">
        <f t="shared" si="212"/>
        <v>0</v>
      </c>
      <c r="X2457" s="44">
        <f t="shared" si="213"/>
        <v>0</v>
      </c>
      <c r="Y2457" s="44">
        <f t="shared" si="214"/>
        <v>0</v>
      </c>
    </row>
    <row r="2458" spans="23:25">
      <c r="W2458" s="44">
        <f t="shared" si="212"/>
        <v>0</v>
      </c>
      <c r="X2458" s="44">
        <f t="shared" si="213"/>
        <v>0</v>
      </c>
      <c r="Y2458" s="44">
        <f t="shared" si="214"/>
        <v>0</v>
      </c>
    </row>
    <row r="2459" spans="23:25">
      <c r="W2459" s="44">
        <f t="shared" si="212"/>
        <v>0</v>
      </c>
      <c r="X2459" s="44">
        <f t="shared" si="213"/>
        <v>0</v>
      </c>
      <c r="Y2459" s="44">
        <f t="shared" si="214"/>
        <v>0</v>
      </c>
    </row>
    <row r="2460" spans="23:25">
      <c r="W2460" s="44">
        <f t="shared" si="212"/>
        <v>0</v>
      </c>
      <c r="X2460" s="44">
        <f t="shared" si="213"/>
        <v>0</v>
      </c>
      <c r="Y2460" s="44">
        <f t="shared" si="214"/>
        <v>0</v>
      </c>
    </row>
    <row r="2461" spans="23:25">
      <c r="W2461" s="44">
        <f t="shared" si="212"/>
        <v>0</v>
      </c>
      <c r="X2461" s="44">
        <f t="shared" si="213"/>
        <v>0</v>
      </c>
      <c r="Y2461" s="44">
        <f t="shared" si="214"/>
        <v>0</v>
      </c>
    </row>
    <row r="2462" spans="23:25">
      <c r="W2462" s="44">
        <f t="shared" si="212"/>
        <v>0</v>
      </c>
      <c r="X2462" s="44">
        <f t="shared" si="213"/>
        <v>0</v>
      </c>
      <c r="Y2462" s="44">
        <f t="shared" si="214"/>
        <v>0</v>
      </c>
    </row>
    <row r="2463" spans="23:25">
      <c r="W2463" s="44">
        <f t="shared" si="212"/>
        <v>0</v>
      </c>
      <c r="X2463" s="44">
        <f t="shared" si="213"/>
        <v>0</v>
      </c>
      <c r="Y2463" s="44">
        <f t="shared" si="214"/>
        <v>0</v>
      </c>
    </row>
    <row r="2464" spans="23:25">
      <c r="W2464" s="44">
        <f t="shared" si="212"/>
        <v>0</v>
      </c>
      <c r="X2464" s="44">
        <f t="shared" si="213"/>
        <v>0</v>
      </c>
      <c r="Y2464" s="44">
        <f t="shared" si="214"/>
        <v>0</v>
      </c>
    </row>
    <row r="2465" spans="23:25">
      <c r="W2465" s="44">
        <f t="shared" si="212"/>
        <v>0</v>
      </c>
      <c r="X2465" s="44">
        <f t="shared" si="213"/>
        <v>0</v>
      </c>
      <c r="Y2465" s="44">
        <f t="shared" si="214"/>
        <v>0</v>
      </c>
    </row>
    <row r="2466" spans="23:25">
      <c r="W2466" s="44">
        <f t="shared" si="212"/>
        <v>0</v>
      </c>
      <c r="X2466" s="44">
        <f t="shared" si="213"/>
        <v>0</v>
      </c>
      <c r="Y2466" s="44">
        <f t="shared" si="214"/>
        <v>0</v>
      </c>
    </row>
    <row r="2467" spans="23:25">
      <c r="W2467" s="44">
        <f t="shared" si="212"/>
        <v>0</v>
      </c>
      <c r="X2467" s="44">
        <f t="shared" si="213"/>
        <v>0</v>
      </c>
      <c r="Y2467" s="44">
        <f t="shared" si="214"/>
        <v>0</v>
      </c>
    </row>
    <row r="2468" spans="23:25">
      <c r="W2468" s="44">
        <f t="shared" si="212"/>
        <v>0</v>
      </c>
      <c r="X2468" s="44">
        <f t="shared" si="213"/>
        <v>0</v>
      </c>
      <c r="Y2468" s="44">
        <f t="shared" si="214"/>
        <v>0</v>
      </c>
    </row>
    <row r="2469" spans="23:25">
      <c r="W2469" s="44">
        <f t="shared" si="212"/>
        <v>0</v>
      </c>
      <c r="X2469" s="44">
        <f t="shared" si="213"/>
        <v>0</v>
      </c>
      <c r="Y2469" s="44">
        <f t="shared" si="214"/>
        <v>0</v>
      </c>
    </row>
    <row r="2470" spans="23:25">
      <c r="W2470" s="44">
        <f t="shared" si="212"/>
        <v>0</v>
      </c>
      <c r="X2470" s="44">
        <f t="shared" si="213"/>
        <v>0</v>
      </c>
      <c r="Y2470" s="44">
        <f t="shared" si="214"/>
        <v>0</v>
      </c>
    </row>
    <row r="2471" spans="23:25">
      <c r="W2471" s="44">
        <f t="shared" si="212"/>
        <v>0</v>
      </c>
      <c r="X2471" s="44">
        <f t="shared" si="213"/>
        <v>0</v>
      </c>
      <c r="Y2471" s="44">
        <f t="shared" si="214"/>
        <v>0</v>
      </c>
    </row>
    <row r="2472" spans="23:25">
      <c r="W2472" s="44">
        <f t="shared" si="212"/>
        <v>0</v>
      </c>
      <c r="X2472" s="44">
        <f t="shared" si="213"/>
        <v>0</v>
      </c>
      <c r="Y2472" s="44">
        <f t="shared" si="214"/>
        <v>0</v>
      </c>
    </row>
    <row r="2473" spans="23:25">
      <c r="W2473" s="44">
        <f t="shared" si="212"/>
        <v>0</v>
      </c>
      <c r="X2473" s="44">
        <f t="shared" si="213"/>
        <v>0</v>
      </c>
      <c r="Y2473" s="44">
        <f t="shared" si="214"/>
        <v>0</v>
      </c>
    </row>
    <row r="2474" spans="23:25">
      <c r="W2474" s="44">
        <f t="shared" si="212"/>
        <v>0</v>
      </c>
      <c r="X2474" s="44">
        <f t="shared" si="213"/>
        <v>0</v>
      </c>
      <c r="Y2474" s="44">
        <f t="shared" si="214"/>
        <v>0</v>
      </c>
    </row>
    <row r="2475" spans="23:25">
      <c r="W2475" s="44">
        <f t="shared" si="212"/>
        <v>0</v>
      </c>
      <c r="X2475" s="44">
        <f t="shared" si="213"/>
        <v>0</v>
      </c>
      <c r="Y2475" s="44">
        <f t="shared" si="214"/>
        <v>0</v>
      </c>
    </row>
    <row r="2476" spans="23:25">
      <c r="W2476" s="44">
        <f t="shared" si="212"/>
        <v>0</v>
      </c>
      <c r="X2476" s="44">
        <f t="shared" si="213"/>
        <v>0</v>
      </c>
      <c r="Y2476" s="44">
        <f t="shared" si="214"/>
        <v>0</v>
      </c>
    </row>
    <row r="2477" spans="23:25">
      <c r="W2477" s="44">
        <f t="shared" si="212"/>
        <v>0</v>
      </c>
      <c r="X2477" s="44">
        <f t="shared" si="213"/>
        <v>0</v>
      </c>
      <c r="Y2477" s="44">
        <f t="shared" si="214"/>
        <v>0</v>
      </c>
    </row>
    <row r="2478" spans="23:25">
      <c r="W2478" s="44">
        <f t="shared" si="212"/>
        <v>0</v>
      </c>
      <c r="X2478" s="44">
        <f t="shared" si="213"/>
        <v>0</v>
      </c>
      <c r="Y2478" s="44">
        <f t="shared" si="214"/>
        <v>0</v>
      </c>
    </row>
    <row r="2479" spans="23:25">
      <c r="W2479" s="44">
        <f t="shared" si="212"/>
        <v>0</v>
      </c>
      <c r="X2479" s="44">
        <f t="shared" si="213"/>
        <v>0</v>
      </c>
      <c r="Y2479" s="44">
        <f t="shared" si="214"/>
        <v>0</v>
      </c>
    </row>
    <row r="2480" spans="23:25">
      <c r="W2480" s="44">
        <f t="shared" si="212"/>
        <v>0</v>
      </c>
      <c r="X2480" s="44">
        <f t="shared" si="213"/>
        <v>0</v>
      </c>
      <c r="Y2480" s="44">
        <f t="shared" si="214"/>
        <v>0</v>
      </c>
    </row>
    <row r="2481" spans="23:25">
      <c r="W2481" s="44">
        <f t="shared" si="212"/>
        <v>0</v>
      </c>
      <c r="X2481" s="44">
        <f t="shared" si="213"/>
        <v>0</v>
      </c>
      <c r="Y2481" s="44">
        <f t="shared" si="214"/>
        <v>0</v>
      </c>
    </row>
    <row r="2482" spans="23:25">
      <c r="W2482" s="44">
        <f t="shared" si="212"/>
        <v>0</v>
      </c>
      <c r="X2482" s="44">
        <f t="shared" si="213"/>
        <v>0</v>
      </c>
      <c r="Y2482" s="44">
        <f t="shared" si="214"/>
        <v>0</v>
      </c>
    </row>
    <row r="2483" spans="23:25">
      <c r="W2483" s="44">
        <f t="shared" si="212"/>
        <v>0</v>
      </c>
      <c r="X2483" s="44">
        <f t="shared" si="213"/>
        <v>0</v>
      </c>
      <c r="Y2483" s="44">
        <f t="shared" si="214"/>
        <v>0</v>
      </c>
    </row>
    <row r="2484" spans="23:25">
      <c r="W2484" s="44">
        <f t="shared" si="212"/>
        <v>0</v>
      </c>
      <c r="X2484" s="44">
        <f t="shared" si="213"/>
        <v>0</v>
      </c>
      <c r="Y2484" s="44">
        <f t="shared" si="214"/>
        <v>0</v>
      </c>
    </row>
    <row r="2485" spans="23:25">
      <c r="W2485" s="44">
        <f t="shared" si="212"/>
        <v>0</v>
      </c>
      <c r="X2485" s="44">
        <f t="shared" si="213"/>
        <v>0</v>
      </c>
      <c r="Y2485" s="44">
        <f t="shared" si="214"/>
        <v>0</v>
      </c>
    </row>
    <row r="2486" spans="23:25">
      <c r="W2486" s="44">
        <f t="shared" si="212"/>
        <v>0</v>
      </c>
      <c r="X2486" s="44">
        <f t="shared" si="213"/>
        <v>0</v>
      </c>
      <c r="Y2486" s="44">
        <f t="shared" si="214"/>
        <v>0</v>
      </c>
    </row>
    <row r="2487" spans="23:25">
      <c r="W2487" s="44">
        <f t="shared" si="212"/>
        <v>0</v>
      </c>
      <c r="X2487" s="44">
        <f t="shared" si="213"/>
        <v>0</v>
      </c>
      <c r="Y2487" s="44">
        <f t="shared" si="214"/>
        <v>0</v>
      </c>
    </row>
    <row r="2488" spans="23:25">
      <c r="W2488" s="44">
        <f t="shared" si="212"/>
        <v>0</v>
      </c>
      <c r="X2488" s="44">
        <f t="shared" si="213"/>
        <v>0</v>
      </c>
      <c r="Y2488" s="44">
        <f t="shared" si="214"/>
        <v>0</v>
      </c>
    </row>
    <row r="2489" spans="23:25">
      <c r="W2489" s="44">
        <f t="shared" si="212"/>
        <v>0</v>
      </c>
      <c r="X2489" s="44">
        <f t="shared" si="213"/>
        <v>0</v>
      </c>
      <c r="Y2489" s="44">
        <f t="shared" si="214"/>
        <v>0</v>
      </c>
    </row>
    <row r="2490" spans="23:25">
      <c r="W2490" s="44">
        <f t="shared" si="212"/>
        <v>0</v>
      </c>
      <c r="X2490" s="44">
        <f t="shared" si="213"/>
        <v>0</v>
      </c>
      <c r="Y2490" s="44">
        <f t="shared" si="214"/>
        <v>0</v>
      </c>
    </row>
    <row r="2491" spans="23:25">
      <c r="W2491" s="44">
        <f t="shared" si="212"/>
        <v>0</v>
      </c>
      <c r="X2491" s="44">
        <f t="shared" si="213"/>
        <v>0</v>
      </c>
      <c r="Y2491" s="44">
        <f t="shared" si="214"/>
        <v>0</v>
      </c>
    </row>
    <row r="2492" spans="23:25">
      <c r="W2492" s="44">
        <f t="shared" si="212"/>
        <v>0</v>
      </c>
      <c r="X2492" s="44">
        <f t="shared" si="213"/>
        <v>0</v>
      </c>
      <c r="Y2492" s="44">
        <f t="shared" si="214"/>
        <v>0</v>
      </c>
    </row>
    <row r="2493" spans="23:25">
      <c r="W2493" s="44">
        <f t="shared" si="212"/>
        <v>0</v>
      </c>
      <c r="X2493" s="44">
        <f t="shared" si="213"/>
        <v>0</v>
      </c>
      <c r="Y2493" s="44">
        <f t="shared" si="214"/>
        <v>0</v>
      </c>
    </row>
    <row r="2494" spans="23:25">
      <c r="W2494" s="44">
        <f t="shared" si="212"/>
        <v>0</v>
      </c>
      <c r="X2494" s="44">
        <f t="shared" si="213"/>
        <v>0</v>
      </c>
      <c r="Y2494" s="44">
        <f t="shared" si="214"/>
        <v>0</v>
      </c>
    </row>
    <row r="2495" spans="23:25">
      <c r="W2495" s="44">
        <f t="shared" si="212"/>
        <v>0</v>
      </c>
      <c r="X2495" s="44">
        <f t="shared" si="213"/>
        <v>0</v>
      </c>
      <c r="Y2495" s="44">
        <f t="shared" si="214"/>
        <v>0</v>
      </c>
    </row>
    <row r="2496" spans="23:25">
      <c r="W2496" s="44">
        <f t="shared" si="212"/>
        <v>0</v>
      </c>
      <c r="X2496" s="44">
        <f t="shared" si="213"/>
        <v>0</v>
      </c>
      <c r="Y2496" s="44">
        <f t="shared" si="214"/>
        <v>0</v>
      </c>
    </row>
    <row r="2497" spans="23:25">
      <c r="W2497" s="44">
        <f t="shared" si="212"/>
        <v>0</v>
      </c>
      <c r="X2497" s="44">
        <f t="shared" si="213"/>
        <v>0</v>
      </c>
      <c r="Y2497" s="44">
        <f t="shared" si="214"/>
        <v>0</v>
      </c>
    </row>
    <row r="2498" spans="23:25">
      <c r="W2498" s="44">
        <f t="shared" si="212"/>
        <v>0</v>
      </c>
      <c r="X2498" s="44">
        <f t="shared" si="213"/>
        <v>0</v>
      </c>
      <c r="Y2498" s="44">
        <f t="shared" si="214"/>
        <v>0</v>
      </c>
    </row>
    <row r="2499" spans="23:25">
      <c r="W2499" s="44">
        <f t="shared" si="212"/>
        <v>0</v>
      </c>
      <c r="X2499" s="44">
        <f t="shared" si="213"/>
        <v>0</v>
      </c>
      <c r="Y2499" s="44">
        <f t="shared" si="214"/>
        <v>0</v>
      </c>
    </row>
    <row r="2500" spans="23:25">
      <c r="W2500" s="44">
        <f t="shared" si="212"/>
        <v>0</v>
      </c>
      <c r="X2500" s="44">
        <f t="shared" si="213"/>
        <v>0</v>
      </c>
      <c r="Y2500" s="44">
        <f t="shared" si="214"/>
        <v>0</v>
      </c>
    </row>
    <row r="2501" spans="23:25">
      <c r="W2501" s="44">
        <f t="shared" si="212"/>
        <v>0</v>
      </c>
      <c r="X2501" s="44">
        <f t="shared" si="213"/>
        <v>0</v>
      </c>
      <c r="Y2501" s="44">
        <f t="shared" si="214"/>
        <v>0</v>
      </c>
    </row>
    <row r="2502" spans="23:25">
      <c r="W2502" s="44">
        <f t="shared" si="212"/>
        <v>0</v>
      </c>
      <c r="X2502" s="44">
        <f t="shared" si="213"/>
        <v>0</v>
      </c>
      <c r="Y2502" s="44">
        <f t="shared" si="214"/>
        <v>0</v>
      </c>
    </row>
    <row r="2503" spans="23:25">
      <c r="W2503" s="44">
        <f t="shared" si="212"/>
        <v>0</v>
      </c>
      <c r="X2503" s="44">
        <f t="shared" si="213"/>
        <v>0</v>
      </c>
      <c r="Y2503" s="44">
        <f t="shared" si="214"/>
        <v>0</v>
      </c>
    </row>
    <row r="2504" spans="23:25">
      <c r="W2504" s="44">
        <f t="shared" ref="W2504:W2567" si="215">+T2504-U2504-V2504-Z2504</f>
        <v>0</v>
      </c>
      <c r="X2504" s="44">
        <f t="shared" ref="X2504:X2567" si="216">(+O2504-U2504)*$X$1</f>
        <v>0</v>
      </c>
      <c r="Y2504" s="44">
        <f t="shared" ref="Y2504:Y2567" si="217">+W2504-X2504</f>
        <v>0</v>
      </c>
    </row>
    <row r="2505" spans="23:25">
      <c r="W2505" s="44">
        <f t="shared" si="215"/>
        <v>0</v>
      </c>
      <c r="X2505" s="44">
        <f t="shared" si="216"/>
        <v>0</v>
      </c>
      <c r="Y2505" s="44">
        <f t="shared" si="217"/>
        <v>0</v>
      </c>
    </row>
    <row r="2506" spans="23:25">
      <c r="W2506" s="44">
        <f t="shared" si="215"/>
        <v>0</v>
      </c>
      <c r="X2506" s="44">
        <f t="shared" si="216"/>
        <v>0</v>
      </c>
      <c r="Y2506" s="44">
        <f t="shared" si="217"/>
        <v>0</v>
      </c>
    </row>
    <row r="2507" spans="23:25">
      <c r="W2507" s="44">
        <f t="shared" si="215"/>
        <v>0</v>
      </c>
      <c r="X2507" s="44">
        <f t="shared" si="216"/>
        <v>0</v>
      </c>
      <c r="Y2507" s="44">
        <f t="shared" si="217"/>
        <v>0</v>
      </c>
    </row>
    <row r="2508" spans="23:25">
      <c r="W2508" s="44">
        <f t="shared" si="215"/>
        <v>0</v>
      </c>
      <c r="X2508" s="44">
        <f t="shared" si="216"/>
        <v>0</v>
      </c>
      <c r="Y2508" s="44">
        <f t="shared" si="217"/>
        <v>0</v>
      </c>
    </row>
    <row r="2509" spans="23:25">
      <c r="W2509" s="44">
        <f t="shared" si="215"/>
        <v>0</v>
      </c>
      <c r="X2509" s="44">
        <f t="shared" si="216"/>
        <v>0</v>
      </c>
      <c r="Y2509" s="44">
        <f t="shared" si="217"/>
        <v>0</v>
      </c>
    </row>
    <row r="2510" spans="23:25">
      <c r="W2510" s="44">
        <f t="shared" si="215"/>
        <v>0</v>
      </c>
      <c r="X2510" s="44">
        <f t="shared" si="216"/>
        <v>0</v>
      </c>
      <c r="Y2510" s="44">
        <f t="shared" si="217"/>
        <v>0</v>
      </c>
    </row>
    <row r="2511" spans="23:25">
      <c r="W2511" s="44">
        <f t="shared" si="215"/>
        <v>0</v>
      </c>
      <c r="X2511" s="44">
        <f t="shared" si="216"/>
        <v>0</v>
      </c>
      <c r="Y2511" s="44">
        <f t="shared" si="217"/>
        <v>0</v>
      </c>
    </row>
    <row r="2512" spans="23:25">
      <c r="W2512" s="44">
        <f t="shared" si="215"/>
        <v>0</v>
      </c>
      <c r="X2512" s="44">
        <f t="shared" si="216"/>
        <v>0</v>
      </c>
      <c r="Y2512" s="44">
        <f t="shared" si="217"/>
        <v>0</v>
      </c>
    </row>
    <row r="2513" spans="23:25">
      <c r="W2513" s="44">
        <f t="shared" si="215"/>
        <v>0</v>
      </c>
      <c r="X2513" s="44">
        <f t="shared" si="216"/>
        <v>0</v>
      </c>
      <c r="Y2513" s="44">
        <f t="shared" si="217"/>
        <v>0</v>
      </c>
    </row>
    <row r="2514" spans="23:25">
      <c r="W2514" s="44">
        <f t="shared" si="215"/>
        <v>0</v>
      </c>
      <c r="X2514" s="44">
        <f t="shared" si="216"/>
        <v>0</v>
      </c>
      <c r="Y2514" s="44">
        <f t="shared" si="217"/>
        <v>0</v>
      </c>
    </row>
    <row r="2515" spans="23:25">
      <c r="W2515" s="44">
        <f t="shared" si="215"/>
        <v>0</v>
      </c>
      <c r="X2515" s="44">
        <f t="shared" si="216"/>
        <v>0</v>
      </c>
      <c r="Y2515" s="44">
        <f t="shared" si="217"/>
        <v>0</v>
      </c>
    </row>
    <row r="2516" spans="23:25">
      <c r="W2516" s="44">
        <f t="shared" si="215"/>
        <v>0</v>
      </c>
      <c r="X2516" s="44">
        <f t="shared" si="216"/>
        <v>0</v>
      </c>
      <c r="Y2516" s="44">
        <f t="shared" si="217"/>
        <v>0</v>
      </c>
    </row>
    <row r="2517" spans="23:25">
      <c r="W2517" s="44">
        <f t="shared" si="215"/>
        <v>0</v>
      </c>
      <c r="X2517" s="44">
        <f t="shared" si="216"/>
        <v>0</v>
      </c>
      <c r="Y2517" s="44">
        <f t="shared" si="217"/>
        <v>0</v>
      </c>
    </row>
    <row r="2518" spans="23:25">
      <c r="W2518" s="44">
        <f t="shared" si="215"/>
        <v>0</v>
      </c>
      <c r="X2518" s="44">
        <f t="shared" si="216"/>
        <v>0</v>
      </c>
      <c r="Y2518" s="44">
        <f t="shared" si="217"/>
        <v>0</v>
      </c>
    </row>
    <row r="2519" spans="23:25">
      <c r="W2519" s="44">
        <f t="shared" si="215"/>
        <v>0</v>
      </c>
      <c r="X2519" s="44">
        <f t="shared" si="216"/>
        <v>0</v>
      </c>
      <c r="Y2519" s="44">
        <f t="shared" si="217"/>
        <v>0</v>
      </c>
    </row>
    <row r="2520" spans="23:25">
      <c r="W2520" s="44">
        <f t="shared" si="215"/>
        <v>0</v>
      </c>
      <c r="X2520" s="44">
        <f t="shared" si="216"/>
        <v>0</v>
      </c>
      <c r="Y2520" s="44">
        <f t="shared" si="217"/>
        <v>0</v>
      </c>
    </row>
    <row r="2521" spans="23:25">
      <c r="W2521" s="44">
        <f t="shared" si="215"/>
        <v>0</v>
      </c>
      <c r="X2521" s="44">
        <f t="shared" si="216"/>
        <v>0</v>
      </c>
      <c r="Y2521" s="44">
        <f t="shared" si="217"/>
        <v>0</v>
      </c>
    </row>
    <row r="2522" spans="23:25">
      <c r="W2522" s="44">
        <f t="shared" si="215"/>
        <v>0</v>
      </c>
      <c r="X2522" s="44">
        <f t="shared" si="216"/>
        <v>0</v>
      </c>
      <c r="Y2522" s="44">
        <f t="shared" si="217"/>
        <v>0</v>
      </c>
    </row>
    <row r="2523" spans="23:25">
      <c r="W2523" s="44">
        <f t="shared" si="215"/>
        <v>0</v>
      </c>
      <c r="X2523" s="44">
        <f t="shared" si="216"/>
        <v>0</v>
      </c>
      <c r="Y2523" s="44">
        <f t="shared" si="217"/>
        <v>0</v>
      </c>
    </row>
    <row r="2524" spans="23:25">
      <c r="W2524" s="44">
        <f t="shared" si="215"/>
        <v>0</v>
      </c>
      <c r="X2524" s="44">
        <f t="shared" si="216"/>
        <v>0</v>
      </c>
      <c r="Y2524" s="44">
        <f t="shared" si="217"/>
        <v>0</v>
      </c>
    </row>
    <row r="2525" spans="23:25">
      <c r="W2525" s="44">
        <f t="shared" si="215"/>
        <v>0</v>
      </c>
      <c r="X2525" s="44">
        <f t="shared" si="216"/>
        <v>0</v>
      </c>
      <c r="Y2525" s="44">
        <f t="shared" si="217"/>
        <v>0</v>
      </c>
    </row>
    <row r="2526" spans="23:25">
      <c r="W2526" s="44">
        <f t="shared" si="215"/>
        <v>0</v>
      </c>
      <c r="X2526" s="44">
        <f t="shared" si="216"/>
        <v>0</v>
      </c>
      <c r="Y2526" s="44">
        <f t="shared" si="217"/>
        <v>0</v>
      </c>
    </row>
    <row r="2527" spans="23:25">
      <c r="W2527" s="44">
        <f t="shared" si="215"/>
        <v>0</v>
      </c>
      <c r="X2527" s="44">
        <f t="shared" si="216"/>
        <v>0</v>
      </c>
      <c r="Y2527" s="44">
        <f t="shared" si="217"/>
        <v>0</v>
      </c>
    </row>
    <row r="2528" spans="23:25">
      <c r="W2528" s="44">
        <f t="shared" si="215"/>
        <v>0</v>
      </c>
      <c r="X2528" s="44">
        <f t="shared" si="216"/>
        <v>0</v>
      </c>
      <c r="Y2528" s="44">
        <f t="shared" si="217"/>
        <v>0</v>
      </c>
    </row>
    <row r="2529" spans="23:25">
      <c r="W2529" s="44">
        <f t="shared" si="215"/>
        <v>0</v>
      </c>
      <c r="X2529" s="44">
        <f t="shared" si="216"/>
        <v>0</v>
      </c>
      <c r="Y2529" s="44">
        <f t="shared" si="217"/>
        <v>0</v>
      </c>
    </row>
    <row r="2530" spans="23:25">
      <c r="W2530" s="44">
        <f t="shared" si="215"/>
        <v>0</v>
      </c>
      <c r="X2530" s="44">
        <f t="shared" si="216"/>
        <v>0</v>
      </c>
      <c r="Y2530" s="44">
        <f t="shared" si="217"/>
        <v>0</v>
      </c>
    </row>
    <row r="2531" spans="23:25">
      <c r="W2531" s="44">
        <f t="shared" si="215"/>
        <v>0</v>
      </c>
      <c r="X2531" s="44">
        <f t="shared" si="216"/>
        <v>0</v>
      </c>
      <c r="Y2531" s="44">
        <f t="shared" si="217"/>
        <v>0</v>
      </c>
    </row>
    <row r="2532" spans="23:25">
      <c r="W2532" s="44">
        <f t="shared" si="215"/>
        <v>0</v>
      </c>
      <c r="X2532" s="44">
        <f t="shared" si="216"/>
        <v>0</v>
      </c>
      <c r="Y2532" s="44">
        <f t="shared" si="217"/>
        <v>0</v>
      </c>
    </row>
    <row r="2533" spans="23:25">
      <c r="W2533" s="44">
        <f t="shared" si="215"/>
        <v>0</v>
      </c>
      <c r="X2533" s="44">
        <f t="shared" si="216"/>
        <v>0</v>
      </c>
      <c r="Y2533" s="44">
        <f t="shared" si="217"/>
        <v>0</v>
      </c>
    </row>
    <row r="2534" spans="23:25">
      <c r="W2534" s="44">
        <f t="shared" si="215"/>
        <v>0</v>
      </c>
      <c r="X2534" s="44">
        <f t="shared" si="216"/>
        <v>0</v>
      </c>
      <c r="Y2534" s="44">
        <f t="shared" si="217"/>
        <v>0</v>
      </c>
    </row>
    <row r="2535" spans="23:25">
      <c r="W2535" s="44">
        <f t="shared" si="215"/>
        <v>0</v>
      </c>
      <c r="X2535" s="44">
        <f t="shared" si="216"/>
        <v>0</v>
      </c>
      <c r="Y2535" s="44">
        <f t="shared" si="217"/>
        <v>0</v>
      </c>
    </row>
    <row r="2536" spans="23:25">
      <c r="W2536" s="44">
        <f t="shared" si="215"/>
        <v>0</v>
      </c>
      <c r="X2536" s="44">
        <f t="shared" si="216"/>
        <v>0</v>
      </c>
      <c r="Y2536" s="44">
        <f t="shared" si="217"/>
        <v>0</v>
      </c>
    </row>
    <row r="2537" spans="23:25">
      <c r="W2537" s="44">
        <f t="shared" si="215"/>
        <v>0</v>
      </c>
      <c r="X2537" s="44">
        <f t="shared" si="216"/>
        <v>0</v>
      </c>
      <c r="Y2537" s="44">
        <f t="shared" si="217"/>
        <v>0</v>
      </c>
    </row>
    <row r="2538" spans="23:25">
      <c r="W2538" s="44">
        <f t="shared" si="215"/>
        <v>0</v>
      </c>
      <c r="X2538" s="44">
        <f t="shared" si="216"/>
        <v>0</v>
      </c>
      <c r="Y2538" s="44">
        <f t="shared" si="217"/>
        <v>0</v>
      </c>
    </row>
    <row r="2539" spans="23:25">
      <c r="W2539" s="44">
        <f t="shared" si="215"/>
        <v>0</v>
      </c>
      <c r="X2539" s="44">
        <f t="shared" si="216"/>
        <v>0</v>
      </c>
      <c r="Y2539" s="44">
        <f t="shared" si="217"/>
        <v>0</v>
      </c>
    </row>
    <row r="2540" spans="23:25">
      <c r="W2540" s="44">
        <f t="shared" si="215"/>
        <v>0</v>
      </c>
      <c r="X2540" s="44">
        <f t="shared" si="216"/>
        <v>0</v>
      </c>
      <c r="Y2540" s="44">
        <f t="shared" si="217"/>
        <v>0</v>
      </c>
    </row>
    <row r="2541" spans="23:25">
      <c r="W2541" s="44">
        <f t="shared" si="215"/>
        <v>0</v>
      </c>
      <c r="X2541" s="44">
        <f t="shared" si="216"/>
        <v>0</v>
      </c>
      <c r="Y2541" s="44">
        <f t="shared" si="217"/>
        <v>0</v>
      </c>
    </row>
    <row r="2542" spans="23:25">
      <c r="W2542" s="44">
        <f t="shared" si="215"/>
        <v>0</v>
      </c>
      <c r="X2542" s="44">
        <f t="shared" si="216"/>
        <v>0</v>
      </c>
      <c r="Y2542" s="44">
        <f t="shared" si="217"/>
        <v>0</v>
      </c>
    </row>
    <row r="2543" spans="23:25">
      <c r="W2543" s="44">
        <f t="shared" si="215"/>
        <v>0</v>
      </c>
      <c r="X2543" s="44">
        <f t="shared" si="216"/>
        <v>0</v>
      </c>
      <c r="Y2543" s="44">
        <f t="shared" si="217"/>
        <v>0</v>
      </c>
    </row>
    <row r="2544" spans="23:25">
      <c r="W2544" s="44">
        <f t="shared" si="215"/>
        <v>0</v>
      </c>
      <c r="X2544" s="44">
        <f t="shared" si="216"/>
        <v>0</v>
      </c>
      <c r="Y2544" s="44">
        <f t="shared" si="217"/>
        <v>0</v>
      </c>
    </row>
    <row r="2545" spans="23:25">
      <c r="W2545" s="44">
        <f t="shared" si="215"/>
        <v>0</v>
      </c>
      <c r="X2545" s="44">
        <f t="shared" si="216"/>
        <v>0</v>
      </c>
      <c r="Y2545" s="44">
        <f t="shared" si="217"/>
        <v>0</v>
      </c>
    </row>
    <row r="2546" spans="23:25">
      <c r="W2546" s="44">
        <f t="shared" si="215"/>
        <v>0</v>
      </c>
      <c r="X2546" s="44">
        <f t="shared" si="216"/>
        <v>0</v>
      </c>
      <c r="Y2546" s="44">
        <f t="shared" si="217"/>
        <v>0</v>
      </c>
    </row>
    <row r="2547" spans="23:25">
      <c r="W2547" s="44">
        <f t="shared" si="215"/>
        <v>0</v>
      </c>
      <c r="X2547" s="44">
        <f t="shared" si="216"/>
        <v>0</v>
      </c>
      <c r="Y2547" s="44">
        <f t="shared" si="217"/>
        <v>0</v>
      </c>
    </row>
    <row r="2548" spans="23:25">
      <c r="W2548" s="44">
        <f t="shared" si="215"/>
        <v>0</v>
      </c>
      <c r="X2548" s="44">
        <f t="shared" si="216"/>
        <v>0</v>
      </c>
      <c r="Y2548" s="44">
        <f t="shared" si="217"/>
        <v>0</v>
      </c>
    </row>
    <row r="2549" spans="23:25">
      <c r="W2549" s="44">
        <f t="shared" si="215"/>
        <v>0</v>
      </c>
      <c r="X2549" s="44">
        <f t="shared" si="216"/>
        <v>0</v>
      </c>
      <c r="Y2549" s="44">
        <f t="shared" si="217"/>
        <v>0</v>
      </c>
    </row>
    <row r="2550" spans="23:25">
      <c r="W2550" s="44">
        <f t="shared" si="215"/>
        <v>0</v>
      </c>
      <c r="X2550" s="44">
        <f t="shared" si="216"/>
        <v>0</v>
      </c>
      <c r="Y2550" s="44">
        <f t="shared" si="217"/>
        <v>0</v>
      </c>
    </row>
    <row r="2551" spans="23:25">
      <c r="W2551" s="44">
        <f t="shared" si="215"/>
        <v>0</v>
      </c>
      <c r="X2551" s="44">
        <f t="shared" si="216"/>
        <v>0</v>
      </c>
      <c r="Y2551" s="44">
        <f t="shared" si="217"/>
        <v>0</v>
      </c>
    </row>
    <row r="2552" spans="23:25">
      <c r="W2552" s="44">
        <f t="shared" si="215"/>
        <v>0</v>
      </c>
      <c r="X2552" s="44">
        <f t="shared" si="216"/>
        <v>0</v>
      </c>
      <c r="Y2552" s="44">
        <f t="shared" si="217"/>
        <v>0</v>
      </c>
    </row>
    <row r="2553" spans="23:25">
      <c r="W2553" s="44">
        <f t="shared" si="215"/>
        <v>0</v>
      </c>
      <c r="X2553" s="44">
        <f t="shared" si="216"/>
        <v>0</v>
      </c>
      <c r="Y2553" s="44">
        <f t="shared" si="217"/>
        <v>0</v>
      </c>
    </row>
    <row r="2554" spans="23:25">
      <c r="W2554" s="44">
        <f t="shared" si="215"/>
        <v>0</v>
      </c>
      <c r="X2554" s="44">
        <f t="shared" si="216"/>
        <v>0</v>
      </c>
      <c r="Y2554" s="44">
        <f t="shared" si="217"/>
        <v>0</v>
      </c>
    </row>
    <row r="2555" spans="23:25">
      <c r="W2555" s="44">
        <f t="shared" si="215"/>
        <v>0</v>
      </c>
      <c r="X2555" s="44">
        <f t="shared" si="216"/>
        <v>0</v>
      </c>
      <c r="Y2555" s="44">
        <f t="shared" si="217"/>
        <v>0</v>
      </c>
    </row>
    <row r="2556" spans="23:25">
      <c r="W2556" s="44">
        <f t="shared" si="215"/>
        <v>0</v>
      </c>
      <c r="X2556" s="44">
        <f t="shared" si="216"/>
        <v>0</v>
      </c>
      <c r="Y2556" s="44">
        <f t="shared" si="217"/>
        <v>0</v>
      </c>
    </row>
    <row r="2557" spans="23:25">
      <c r="W2557" s="44">
        <f t="shared" si="215"/>
        <v>0</v>
      </c>
      <c r="X2557" s="44">
        <f t="shared" si="216"/>
        <v>0</v>
      </c>
      <c r="Y2557" s="44">
        <f t="shared" si="217"/>
        <v>0</v>
      </c>
    </row>
    <row r="2558" spans="23:25">
      <c r="W2558" s="44">
        <f t="shared" si="215"/>
        <v>0</v>
      </c>
      <c r="X2558" s="44">
        <f t="shared" si="216"/>
        <v>0</v>
      </c>
      <c r="Y2558" s="44">
        <f t="shared" si="217"/>
        <v>0</v>
      </c>
    </row>
    <row r="2559" spans="23:25">
      <c r="W2559" s="44">
        <f t="shared" si="215"/>
        <v>0</v>
      </c>
      <c r="X2559" s="44">
        <f t="shared" si="216"/>
        <v>0</v>
      </c>
      <c r="Y2559" s="44">
        <f t="shared" si="217"/>
        <v>0</v>
      </c>
    </row>
    <row r="2560" spans="23:25">
      <c r="W2560" s="44">
        <f t="shared" si="215"/>
        <v>0</v>
      </c>
      <c r="X2560" s="44">
        <f t="shared" si="216"/>
        <v>0</v>
      </c>
      <c r="Y2560" s="44">
        <f t="shared" si="217"/>
        <v>0</v>
      </c>
    </row>
    <row r="2561" spans="23:25">
      <c r="W2561" s="44">
        <f t="shared" si="215"/>
        <v>0</v>
      </c>
      <c r="X2561" s="44">
        <f t="shared" si="216"/>
        <v>0</v>
      </c>
      <c r="Y2561" s="44">
        <f t="shared" si="217"/>
        <v>0</v>
      </c>
    </row>
    <row r="2562" spans="23:25">
      <c r="W2562" s="44">
        <f t="shared" si="215"/>
        <v>0</v>
      </c>
      <c r="X2562" s="44">
        <f t="shared" si="216"/>
        <v>0</v>
      </c>
      <c r="Y2562" s="44">
        <f t="shared" si="217"/>
        <v>0</v>
      </c>
    </row>
    <row r="2563" spans="23:25">
      <c r="W2563" s="44">
        <f t="shared" si="215"/>
        <v>0</v>
      </c>
      <c r="X2563" s="44">
        <f t="shared" si="216"/>
        <v>0</v>
      </c>
      <c r="Y2563" s="44">
        <f t="shared" si="217"/>
        <v>0</v>
      </c>
    </row>
    <row r="2564" spans="23:25">
      <c r="W2564" s="44">
        <f t="shared" si="215"/>
        <v>0</v>
      </c>
      <c r="X2564" s="44">
        <f t="shared" si="216"/>
        <v>0</v>
      </c>
      <c r="Y2564" s="44">
        <f t="shared" si="217"/>
        <v>0</v>
      </c>
    </row>
    <row r="2565" spans="23:25">
      <c r="W2565" s="44">
        <f t="shared" si="215"/>
        <v>0</v>
      </c>
      <c r="X2565" s="44">
        <f t="shared" si="216"/>
        <v>0</v>
      </c>
      <c r="Y2565" s="44">
        <f t="shared" si="217"/>
        <v>0</v>
      </c>
    </row>
    <row r="2566" spans="23:25">
      <c r="W2566" s="44">
        <f t="shared" si="215"/>
        <v>0</v>
      </c>
      <c r="X2566" s="44">
        <f t="shared" si="216"/>
        <v>0</v>
      </c>
      <c r="Y2566" s="44">
        <f t="shared" si="217"/>
        <v>0</v>
      </c>
    </row>
    <row r="2567" spans="23:25">
      <c r="W2567" s="44">
        <f t="shared" si="215"/>
        <v>0</v>
      </c>
      <c r="X2567" s="44">
        <f t="shared" si="216"/>
        <v>0</v>
      </c>
      <c r="Y2567" s="44">
        <f t="shared" si="217"/>
        <v>0</v>
      </c>
    </row>
    <row r="2568" spans="23:25">
      <c r="W2568" s="44">
        <f t="shared" ref="W2568:W2631" si="218">+T2568-U2568-V2568-Z2568</f>
        <v>0</v>
      </c>
      <c r="X2568" s="44">
        <f t="shared" ref="X2568:X2631" si="219">(+O2568-U2568)*$X$1</f>
        <v>0</v>
      </c>
      <c r="Y2568" s="44">
        <f t="shared" ref="Y2568:Y2631" si="220">+W2568-X2568</f>
        <v>0</v>
      </c>
    </row>
    <row r="2569" spans="23:25">
      <c r="W2569" s="44">
        <f t="shared" si="218"/>
        <v>0</v>
      </c>
      <c r="X2569" s="44">
        <f t="shared" si="219"/>
        <v>0</v>
      </c>
      <c r="Y2569" s="44">
        <f t="shared" si="220"/>
        <v>0</v>
      </c>
    </row>
    <row r="2570" spans="23:25">
      <c r="W2570" s="44">
        <f t="shared" si="218"/>
        <v>0</v>
      </c>
      <c r="X2570" s="44">
        <f t="shared" si="219"/>
        <v>0</v>
      </c>
      <c r="Y2570" s="44">
        <f t="shared" si="220"/>
        <v>0</v>
      </c>
    </row>
    <row r="2571" spans="23:25">
      <c r="W2571" s="44">
        <f t="shared" si="218"/>
        <v>0</v>
      </c>
      <c r="X2571" s="44">
        <f t="shared" si="219"/>
        <v>0</v>
      </c>
      <c r="Y2571" s="44">
        <f t="shared" si="220"/>
        <v>0</v>
      </c>
    </row>
    <row r="2572" spans="23:25">
      <c r="W2572" s="44">
        <f t="shared" si="218"/>
        <v>0</v>
      </c>
      <c r="X2572" s="44">
        <f t="shared" si="219"/>
        <v>0</v>
      </c>
      <c r="Y2572" s="44">
        <f t="shared" si="220"/>
        <v>0</v>
      </c>
    </row>
    <row r="2573" spans="23:25">
      <c r="W2573" s="44">
        <f t="shared" si="218"/>
        <v>0</v>
      </c>
      <c r="X2573" s="44">
        <f t="shared" si="219"/>
        <v>0</v>
      </c>
      <c r="Y2573" s="44">
        <f t="shared" si="220"/>
        <v>0</v>
      </c>
    </row>
    <row r="2574" spans="23:25">
      <c r="W2574" s="44">
        <f t="shared" si="218"/>
        <v>0</v>
      </c>
      <c r="X2574" s="44">
        <f t="shared" si="219"/>
        <v>0</v>
      </c>
      <c r="Y2574" s="44">
        <f t="shared" si="220"/>
        <v>0</v>
      </c>
    </row>
    <row r="2575" spans="23:25">
      <c r="W2575" s="44">
        <f t="shared" si="218"/>
        <v>0</v>
      </c>
      <c r="X2575" s="44">
        <f t="shared" si="219"/>
        <v>0</v>
      </c>
      <c r="Y2575" s="44">
        <f t="shared" si="220"/>
        <v>0</v>
      </c>
    </row>
    <row r="2576" spans="23:25">
      <c r="W2576" s="44">
        <f t="shared" si="218"/>
        <v>0</v>
      </c>
      <c r="X2576" s="44">
        <f t="shared" si="219"/>
        <v>0</v>
      </c>
      <c r="Y2576" s="44">
        <f t="shared" si="220"/>
        <v>0</v>
      </c>
    </row>
    <row r="2577" spans="23:25">
      <c r="W2577" s="44">
        <f t="shared" si="218"/>
        <v>0</v>
      </c>
      <c r="X2577" s="44">
        <f t="shared" si="219"/>
        <v>0</v>
      </c>
      <c r="Y2577" s="44">
        <f t="shared" si="220"/>
        <v>0</v>
      </c>
    </row>
    <row r="2578" spans="23:25">
      <c r="W2578" s="44">
        <f t="shared" si="218"/>
        <v>0</v>
      </c>
      <c r="X2578" s="44">
        <f t="shared" si="219"/>
        <v>0</v>
      </c>
      <c r="Y2578" s="44">
        <f t="shared" si="220"/>
        <v>0</v>
      </c>
    </row>
    <row r="2579" spans="23:25">
      <c r="W2579" s="44">
        <f t="shared" si="218"/>
        <v>0</v>
      </c>
      <c r="X2579" s="44">
        <f t="shared" si="219"/>
        <v>0</v>
      </c>
      <c r="Y2579" s="44">
        <f t="shared" si="220"/>
        <v>0</v>
      </c>
    </row>
    <row r="2580" spans="23:25">
      <c r="W2580" s="44">
        <f t="shared" si="218"/>
        <v>0</v>
      </c>
      <c r="X2580" s="44">
        <f t="shared" si="219"/>
        <v>0</v>
      </c>
      <c r="Y2580" s="44">
        <f t="shared" si="220"/>
        <v>0</v>
      </c>
    </row>
    <row r="2581" spans="23:25">
      <c r="W2581" s="44">
        <f t="shared" si="218"/>
        <v>0</v>
      </c>
      <c r="X2581" s="44">
        <f t="shared" si="219"/>
        <v>0</v>
      </c>
      <c r="Y2581" s="44">
        <f t="shared" si="220"/>
        <v>0</v>
      </c>
    </row>
    <row r="2582" spans="23:25">
      <c r="W2582" s="44">
        <f t="shared" si="218"/>
        <v>0</v>
      </c>
      <c r="X2582" s="44">
        <f t="shared" si="219"/>
        <v>0</v>
      </c>
      <c r="Y2582" s="44">
        <f t="shared" si="220"/>
        <v>0</v>
      </c>
    </row>
    <row r="2583" spans="23:25">
      <c r="W2583" s="44">
        <f t="shared" si="218"/>
        <v>0</v>
      </c>
      <c r="X2583" s="44">
        <f t="shared" si="219"/>
        <v>0</v>
      </c>
      <c r="Y2583" s="44">
        <f t="shared" si="220"/>
        <v>0</v>
      </c>
    </row>
    <row r="2584" spans="23:25">
      <c r="W2584" s="44">
        <f t="shared" si="218"/>
        <v>0</v>
      </c>
      <c r="X2584" s="44">
        <f t="shared" si="219"/>
        <v>0</v>
      </c>
      <c r="Y2584" s="44">
        <f t="shared" si="220"/>
        <v>0</v>
      </c>
    </row>
    <row r="2585" spans="23:25">
      <c r="W2585" s="44">
        <f t="shared" si="218"/>
        <v>0</v>
      </c>
      <c r="X2585" s="44">
        <f t="shared" si="219"/>
        <v>0</v>
      </c>
      <c r="Y2585" s="44">
        <f t="shared" si="220"/>
        <v>0</v>
      </c>
    </row>
    <row r="2586" spans="23:25">
      <c r="W2586" s="44">
        <f t="shared" si="218"/>
        <v>0</v>
      </c>
      <c r="X2586" s="44">
        <f t="shared" si="219"/>
        <v>0</v>
      </c>
      <c r="Y2586" s="44">
        <f t="shared" si="220"/>
        <v>0</v>
      </c>
    </row>
    <row r="2587" spans="23:25">
      <c r="W2587" s="44">
        <f t="shared" si="218"/>
        <v>0</v>
      </c>
      <c r="X2587" s="44">
        <f t="shared" si="219"/>
        <v>0</v>
      </c>
      <c r="Y2587" s="44">
        <f t="shared" si="220"/>
        <v>0</v>
      </c>
    </row>
    <row r="2588" spans="23:25">
      <c r="W2588" s="44">
        <f t="shared" si="218"/>
        <v>0</v>
      </c>
      <c r="X2588" s="44">
        <f t="shared" si="219"/>
        <v>0</v>
      </c>
      <c r="Y2588" s="44">
        <f t="shared" si="220"/>
        <v>0</v>
      </c>
    </row>
    <row r="2589" spans="23:25">
      <c r="W2589" s="44">
        <f t="shared" si="218"/>
        <v>0</v>
      </c>
      <c r="X2589" s="44">
        <f t="shared" si="219"/>
        <v>0</v>
      </c>
      <c r="Y2589" s="44">
        <f t="shared" si="220"/>
        <v>0</v>
      </c>
    </row>
    <row r="2590" spans="23:25">
      <c r="W2590" s="44">
        <f t="shared" si="218"/>
        <v>0</v>
      </c>
      <c r="X2590" s="44">
        <f t="shared" si="219"/>
        <v>0</v>
      </c>
      <c r="Y2590" s="44">
        <f t="shared" si="220"/>
        <v>0</v>
      </c>
    </row>
    <row r="2591" spans="23:25">
      <c r="W2591" s="44">
        <f t="shared" si="218"/>
        <v>0</v>
      </c>
      <c r="X2591" s="44">
        <f t="shared" si="219"/>
        <v>0</v>
      </c>
      <c r="Y2591" s="44">
        <f t="shared" si="220"/>
        <v>0</v>
      </c>
    </row>
    <row r="2592" spans="23:25">
      <c r="W2592" s="44">
        <f t="shared" si="218"/>
        <v>0</v>
      </c>
      <c r="X2592" s="44">
        <f t="shared" si="219"/>
        <v>0</v>
      </c>
      <c r="Y2592" s="44">
        <f t="shared" si="220"/>
        <v>0</v>
      </c>
    </row>
    <row r="2593" spans="23:25">
      <c r="W2593" s="44">
        <f t="shared" si="218"/>
        <v>0</v>
      </c>
      <c r="X2593" s="44">
        <f t="shared" si="219"/>
        <v>0</v>
      </c>
      <c r="Y2593" s="44">
        <f t="shared" si="220"/>
        <v>0</v>
      </c>
    </row>
    <row r="2594" spans="23:25">
      <c r="W2594" s="44">
        <f t="shared" si="218"/>
        <v>0</v>
      </c>
      <c r="X2594" s="44">
        <f t="shared" si="219"/>
        <v>0</v>
      </c>
      <c r="Y2594" s="44">
        <f t="shared" si="220"/>
        <v>0</v>
      </c>
    </row>
    <row r="2595" spans="23:25">
      <c r="W2595" s="44">
        <f t="shared" si="218"/>
        <v>0</v>
      </c>
      <c r="X2595" s="44">
        <f t="shared" si="219"/>
        <v>0</v>
      </c>
      <c r="Y2595" s="44">
        <f t="shared" si="220"/>
        <v>0</v>
      </c>
    </row>
    <row r="2596" spans="23:25">
      <c r="W2596" s="44">
        <f t="shared" si="218"/>
        <v>0</v>
      </c>
      <c r="X2596" s="44">
        <f t="shared" si="219"/>
        <v>0</v>
      </c>
      <c r="Y2596" s="44">
        <f t="shared" si="220"/>
        <v>0</v>
      </c>
    </row>
    <row r="2597" spans="23:25">
      <c r="W2597" s="44">
        <f t="shared" si="218"/>
        <v>0</v>
      </c>
      <c r="X2597" s="44">
        <f t="shared" si="219"/>
        <v>0</v>
      </c>
      <c r="Y2597" s="44">
        <f t="shared" si="220"/>
        <v>0</v>
      </c>
    </row>
    <row r="2598" spans="23:25">
      <c r="W2598" s="44">
        <f t="shared" si="218"/>
        <v>0</v>
      </c>
      <c r="X2598" s="44">
        <f t="shared" si="219"/>
        <v>0</v>
      </c>
      <c r="Y2598" s="44">
        <f t="shared" si="220"/>
        <v>0</v>
      </c>
    </row>
    <row r="2599" spans="23:25">
      <c r="W2599" s="44">
        <f t="shared" si="218"/>
        <v>0</v>
      </c>
      <c r="X2599" s="44">
        <f t="shared" si="219"/>
        <v>0</v>
      </c>
      <c r="Y2599" s="44">
        <f t="shared" si="220"/>
        <v>0</v>
      </c>
    </row>
    <row r="2600" spans="23:25">
      <c r="W2600" s="44">
        <f t="shared" si="218"/>
        <v>0</v>
      </c>
      <c r="X2600" s="44">
        <f t="shared" si="219"/>
        <v>0</v>
      </c>
      <c r="Y2600" s="44">
        <f t="shared" si="220"/>
        <v>0</v>
      </c>
    </row>
    <row r="2601" spans="23:25">
      <c r="W2601" s="44">
        <f t="shared" si="218"/>
        <v>0</v>
      </c>
      <c r="X2601" s="44">
        <f t="shared" si="219"/>
        <v>0</v>
      </c>
      <c r="Y2601" s="44">
        <f t="shared" si="220"/>
        <v>0</v>
      </c>
    </row>
    <row r="2602" spans="23:25">
      <c r="W2602" s="44">
        <f t="shared" si="218"/>
        <v>0</v>
      </c>
      <c r="X2602" s="44">
        <f t="shared" si="219"/>
        <v>0</v>
      </c>
      <c r="Y2602" s="44">
        <f t="shared" si="220"/>
        <v>0</v>
      </c>
    </row>
    <row r="2603" spans="23:25">
      <c r="W2603" s="44">
        <f t="shared" si="218"/>
        <v>0</v>
      </c>
      <c r="X2603" s="44">
        <f t="shared" si="219"/>
        <v>0</v>
      </c>
      <c r="Y2603" s="44">
        <f t="shared" si="220"/>
        <v>0</v>
      </c>
    </row>
    <row r="2604" spans="23:25">
      <c r="W2604" s="44">
        <f t="shared" si="218"/>
        <v>0</v>
      </c>
      <c r="X2604" s="44">
        <f t="shared" si="219"/>
        <v>0</v>
      </c>
      <c r="Y2604" s="44">
        <f t="shared" si="220"/>
        <v>0</v>
      </c>
    </row>
    <row r="2605" spans="23:25">
      <c r="W2605" s="44">
        <f t="shared" si="218"/>
        <v>0</v>
      </c>
      <c r="X2605" s="44">
        <f t="shared" si="219"/>
        <v>0</v>
      </c>
      <c r="Y2605" s="44">
        <f t="shared" si="220"/>
        <v>0</v>
      </c>
    </row>
    <row r="2606" spans="23:25">
      <c r="W2606" s="44">
        <f t="shared" si="218"/>
        <v>0</v>
      </c>
      <c r="X2606" s="44">
        <f t="shared" si="219"/>
        <v>0</v>
      </c>
      <c r="Y2606" s="44">
        <f t="shared" si="220"/>
        <v>0</v>
      </c>
    </row>
    <row r="2607" spans="23:25">
      <c r="W2607" s="44">
        <f t="shared" si="218"/>
        <v>0</v>
      </c>
      <c r="X2607" s="44">
        <f t="shared" si="219"/>
        <v>0</v>
      </c>
      <c r="Y2607" s="44">
        <f t="shared" si="220"/>
        <v>0</v>
      </c>
    </row>
    <row r="2608" spans="23:25">
      <c r="W2608" s="44">
        <f t="shared" si="218"/>
        <v>0</v>
      </c>
      <c r="X2608" s="44">
        <f t="shared" si="219"/>
        <v>0</v>
      </c>
      <c r="Y2608" s="44">
        <f t="shared" si="220"/>
        <v>0</v>
      </c>
    </row>
    <row r="2609" spans="23:25">
      <c r="W2609" s="44">
        <f t="shared" si="218"/>
        <v>0</v>
      </c>
      <c r="X2609" s="44">
        <f t="shared" si="219"/>
        <v>0</v>
      </c>
      <c r="Y2609" s="44">
        <f t="shared" si="220"/>
        <v>0</v>
      </c>
    </row>
    <row r="2610" spans="23:25">
      <c r="W2610" s="44">
        <f t="shared" si="218"/>
        <v>0</v>
      </c>
      <c r="X2610" s="44">
        <f t="shared" si="219"/>
        <v>0</v>
      </c>
      <c r="Y2610" s="44">
        <f t="shared" si="220"/>
        <v>0</v>
      </c>
    </row>
    <row r="2611" spans="23:25">
      <c r="W2611" s="44">
        <f t="shared" si="218"/>
        <v>0</v>
      </c>
      <c r="X2611" s="44">
        <f t="shared" si="219"/>
        <v>0</v>
      </c>
      <c r="Y2611" s="44">
        <f t="shared" si="220"/>
        <v>0</v>
      </c>
    </row>
    <row r="2612" spans="23:25">
      <c r="W2612" s="44">
        <f t="shared" si="218"/>
        <v>0</v>
      </c>
      <c r="X2612" s="44">
        <f t="shared" si="219"/>
        <v>0</v>
      </c>
      <c r="Y2612" s="44">
        <f t="shared" si="220"/>
        <v>0</v>
      </c>
    </row>
    <row r="2613" spans="23:25">
      <c r="W2613" s="44">
        <f t="shared" si="218"/>
        <v>0</v>
      </c>
      <c r="X2613" s="44">
        <f t="shared" si="219"/>
        <v>0</v>
      </c>
      <c r="Y2613" s="44">
        <f t="shared" si="220"/>
        <v>0</v>
      </c>
    </row>
    <row r="2614" spans="23:25">
      <c r="W2614" s="44">
        <f t="shared" si="218"/>
        <v>0</v>
      </c>
      <c r="X2614" s="44">
        <f t="shared" si="219"/>
        <v>0</v>
      </c>
      <c r="Y2614" s="44">
        <f t="shared" si="220"/>
        <v>0</v>
      </c>
    </row>
    <row r="2615" spans="23:25">
      <c r="W2615" s="44">
        <f t="shared" si="218"/>
        <v>0</v>
      </c>
      <c r="X2615" s="44">
        <f t="shared" si="219"/>
        <v>0</v>
      </c>
      <c r="Y2615" s="44">
        <f t="shared" si="220"/>
        <v>0</v>
      </c>
    </row>
    <row r="2616" spans="23:25">
      <c r="W2616" s="44">
        <f t="shared" si="218"/>
        <v>0</v>
      </c>
      <c r="X2616" s="44">
        <f t="shared" si="219"/>
        <v>0</v>
      </c>
      <c r="Y2616" s="44">
        <f t="shared" si="220"/>
        <v>0</v>
      </c>
    </row>
    <row r="2617" spans="23:25">
      <c r="W2617" s="44">
        <f t="shared" si="218"/>
        <v>0</v>
      </c>
      <c r="X2617" s="44">
        <f t="shared" si="219"/>
        <v>0</v>
      </c>
      <c r="Y2617" s="44">
        <f t="shared" si="220"/>
        <v>0</v>
      </c>
    </row>
    <row r="2618" spans="23:25">
      <c r="W2618" s="44">
        <f t="shared" si="218"/>
        <v>0</v>
      </c>
      <c r="X2618" s="44">
        <f t="shared" si="219"/>
        <v>0</v>
      </c>
      <c r="Y2618" s="44">
        <f t="shared" si="220"/>
        <v>0</v>
      </c>
    </row>
    <row r="2619" spans="23:25">
      <c r="W2619" s="44">
        <f t="shared" si="218"/>
        <v>0</v>
      </c>
      <c r="X2619" s="44">
        <f t="shared" si="219"/>
        <v>0</v>
      </c>
      <c r="Y2619" s="44">
        <f t="shared" si="220"/>
        <v>0</v>
      </c>
    </row>
    <row r="2620" spans="23:25">
      <c r="W2620" s="44">
        <f t="shared" si="218"/>
        <v>0</v>
      </c>
      <c r="X2620" s="44">
        <f t="shared" si="219"/>
        <v>0</v>
      </c>
      <c r="Y2620" s="44">
        <f t="shared" si="220"/>
        <v>0</v>
      </c>
    </row>
    <row r="2621" spans="23:25">
      <c r="W2621" s="44">
        <f t="shared" si="218"/>
        <v>0</v>
      </c>
      <c r="X2621" s="44">
        <f t="shared" si="219"/>
        <v>0</v>
      </c>
      <c r="Y2621" s="44">
        <f t="shared" si="220"/>
        <v>0</v>
      </c>
    </row>
    <row r="2622" spans="23:25">
      <c r="W2622" s="44">
        <f t="shared" si="218"/>
        <v>0</v>
      </c>
      <c r="X2622" s="44">
        <f t="shared" si="219"/>
        <v>0</v>
      </c>
      <c r="Y2622" s="44">
        <f t="shared" si="220"/>
        <v>0</v>
      </c>
    </row>
    <row r="2623" spans="23:25">
      <c r="W2623" s="44">
        <f t="shared" si="218"/>
        <v>0</v>
      </c>
      <c r="X2623" s="44">
        <f t="shared" si="219"/>
        <v>0</v>
      </c>
      <c r="Y2623" s="44">
        <f t="shared" si="220"/>
        <v>0</v>
      </c>
    </row>
    <row r="2624" spans="23:25">
      <c r="W2624" s="44">
        <f t="shared" si="218"/>
        <v>0</v>
      </c>
      <c r="X2624" s="44">
        <f t="shared" si="219"/>
        <v>0</v>
      </c>
      <c r="Y2624" s="44">
        <f t="shared" si="220"/>
        <v>0</v>
      </c>
    </row>
    <row r="2625" spans="23:25">
      <c r="W2625" s="44">
        <f t="shared" si="218"/>
        <v>0</v>
      </c>
      <c r="X2625" s="44">
        <f t="shared" si="219"/>
        <v>0</v>
      </c>
      <c r="Y2625" s="44">
        <f t="shared" si="220"/>
        <v>0</v>
      </c>
    </row>
    <row r="2626" spans="23:25">
      <c r="W2626" s="44">
        <f t="shared" si="218"/>
        <v>0</v>
      </c>
      <c r="X2626" s="44">
        <f t="shared" si="219"/>
        <v>0</v>
      </c>
      <c r="Y2626" s="44">
        <f t="shared" si="220"/>
        <v>0</v>
      </c>
    </row>
    <row r="2627" spans="23:25">
      <c r="W2627" s="44">
        <f t="shared" si="218"/>
        <v>0</v>
      </c>
      <c r="X2627" s="44">
        <f t="shared" si="219"/>
        <v>0</v>
      </c>
      <c r="Y2627" s="44">
        <f t="shared" si="220"/>
        <v>0</v>
      </c>
    </row>
    <row r="2628" spans="23:25">
      <c r="W2628" s="44">
        <f t="shared" si="218"/>
        <v>0</v>
      </c>
      <c r="X2628" s="44">
        <f t="shared" si="219"/>
        <v>0</v>
      </c>
      <c r="Y2628" s="44">
        <f t="shared" si="220"/>
        <v>0</v>
      </c>
    </row>
    <row r="2629" spans="23:25">
      <c r="W2629" s="44">
        <f t="shared" si="218"/>
        <v>0</v>
      </c>
      <c r="X2629" s="44">
        <f t="shared" si="219"/>
        <v>0</v>
      </c>
      <c r="Y2629" s="44">
        <f t="shared" si="220"/>
        <v>0</v>
      </c>
    </row>
    <row r="2630" spans="23:25">
      <c r="W2630" s="44">
        <f t="shared" si="218"/>
        <v>0</v>
      </c>
      <c r="X2630" s="44">
        <f t="shared" si="219"/>
        <v>0</v>
      </c>
      <c r="Y2630" s="44">
        <f t="shared" si="220"/>
        <v>0</v>
      </c>
    </row>
    <row r="2631" spans="23:25">
      <c r="W2631" s="44">
        <f t="shared" si="218"/>
        <v>0</v>
      </c>
      <c r="X2631" s="44">
        <f t="shared" si="219"/>
        <v>0</v>
      </c>
      <c r="Y2631" s="44">
        <f t="shared" si="220"/>
        <v>0</v>
      </c>
    </row>
    <row r="2632" spans="23:25">
      <c r="W2632" s="44">
        <f t="shared" ref="W2632:W2695" si="221">+T2632-U2632-V2632-Z2632</f>
        <v>0</v>
      </c>
      <c r="X2632" s="44">
        <f t="shared" ref="X2632:X2695" si="222">(+O2632-U2632)*$X$1</f>
        <v>0</v>
      </c>
      <c r="Y2632" s="44">
        <f t="shared" ref="Y2632:Y2695" si="223">+W2632-X2632</f>
        <v>0</v>
      </c>
    </row>
    <row r="2633" spans="23:25">
      <c r="W2633" s="44">
        <f t="shared" si="221"/>
        <v>0</v>
      </c>
      <c r="X2633" s="44">
        <f t="shared" si="222"/>
        <v>0</v>
      </c>
      <c r="Y2633" s="44">
        <f t="shared" si="223"/>
        <v>0</v>
      </c>
    </row>
    <row r="2634" spans="23:25">
      <c r="W2634" s="44">
        <f t="shared" si="221"/>
        <v>0</v>
      </c>
      <c r="X2634" s="44">
        <f t="shared" si="222"/>
        <v>0</v>
      </c>
      <c r="Y2634" s="44">
        <f t="shared" si="223"/>
        <v>0</v>
      </c>
    </row>
    <row r="2635" spans="23:25">
      <c r="W2635" s="44">
        <f t="shared" si="221"/>
        <v>0</v>
      </c>
      <c r="X2635" s="44">
        <f t="shared" si="222"/>
        <v>0</v>
      </c>
      <c r="Y2635" s="44">
        <f t="shared" si="223"/>
        <v>0</v>
      </c>
    </row>
    <row r="2636" spans="23:25">
      <c r="W2636" s="44">
        <f t="shared" si="221"/>
        <v>0</v>
      </c>
      <c r="X2636" s="44">
        <f t="shared" si="222"/>
        <v>0</v>
      </c>
      <c r="Y2636" s="44">
        <f t="shared" si="223"/>
        <v>0</v>
      </c>
    </row>
    <row r="2637" spans="23:25">
      <c r="W2637" s="44">
        <f t="shared" si="221"/>
        <v>0</v>
      </c>
      <c r="X2637" s="44">
        <f t="shared" si="222"/>
        <v>0</v>
      </c>
      <c r="Y2637" s="44">
        <f t="shared" si="223"/>
        <v>0</v>
      </c>
    </row>
    <row r="2638" spans="23:25">
      <c r="W2638" s="44">
        <f t="shared" si="221"/>
        <v>0</v>
      </c>
      <c r="X2638" s="44">
        <f t="shared" si="222"/>
        <v>0</v>
      </c>
      <c r="Y2638" s="44">
        <f t="shared" si="223"/>
        <v>0</v>
      </c>
    </row>
    <row r="2639" spans="23:25">
      <c r="W2639" s="44">
        <f t="shared" si="221"/>
        <v>0</v>
      </c>
      <c r="X2639" s="44">
        <f t="shared" si="222"/>
        <v>0</v>
      </c>
      <c r="Y2639" s="44">
        <f t="shared" si="223"/>
        <v>0</v>
      </c>
    </row>
    <row r="2640" spans="23:25">
      <c r="W2640" s="44">
        <f t="shared" si="221"/>
        <v>0</v>
      </c>
      <c r="X2640" s="44">
        <f t="shared" si="222"/>
        <v>0</v>
      </c>
      <c r="Y2640" s="44">
        <f t="shared" si="223"/>
        <v>0</v>
      </c>
    </row>
    <row r="2641" spans="23:25">
      <c r="W2641" s="44">
        <f t="shared" si="221"/>
        <v>0</v>
      </c>
      <c r="X2641" s="44">
        <f t="shared" si="222"/>
        <v>0</v>
      </c>
      <c r="Y2641" s="44">
        <f t="shared" si="223"/>
        <v>0</v>
      </c>
    </row>
    <row r="2642" spans="23:25">
      <c r="W2642" s="44">
        <f t="shared" si="221"/>
        <v>0</v>
      </c>
      <c r="X2642" s="44">
        <f t="shared" si="222"/>
        <v>0</v>
      </c>
      <c r="Y2642" s="44">
        <f t="shared" si="223"/>
        <v>0</v>
      </c>
    </row>
    <row r="2643" spans="23:25">
      <c r="W2643" s="44">
        <f t="shared" si="221"/>
        <v>0</v>
      </c>
      <c r="X2643" s="44">
        <f t="shared" si="222"/>
        <v>0</v>
      </c>
      <c r="Y2643" s="44">
        <f t="shared" si="223"/>
        <v>0</v>
      </c>
    </row>
    <row r="2644" spans="23:25">
      <c r="W2644" s="44">
        <f t="shared" si="221"/>
        <v>0</v>
      </c>
      <c r="X2644" s="44">
        <f t="shared" si="222"/>
        <v>0</v>
      </c>
      <c r="Y2644" s="44">
        <f t="shared" si="223"/>
        <v>0</v>
      </c>
    </row>
    <row r="2645" spans="23:25">
      <c r="W2645" s="44">
        <f t="shared" si="221"/>
        <v>0</v>
      </c>
      <c r="X2645" s="44">
        <f t="shared" si="222"/>
        <v>0</v>
      </c>
      <c r="Y2645" s="44">
        <f t="shared" si="223"/>
        <v>0</v>
      </c>
    </row>
    <row r="2646" spans="23:25">
      <c r="W2646" s="44">
        <f t="shared" si="221"/>
        <v>0</v>
      </c>
      <c r="X2646" s="44">
        <f t="shared" si="222"/>
        <v>0</v>
      </c>
      <c r="Y2646" s="44">
        <f t="shared" si="223"/>
        <v>0</v>
      </c>
    </row>
    <row r="2647" spans="23:25">
      <c r="W2647" s="44">
        <f t="shared" si="221"/>
        <v>0</v>
      </c>
      <c r="X2647" s="44">
        <f t="shared" si="222"/>
        <v>0</v>
      </c>
      <c r="Y2647" s="44">
        <f t="shared" si="223"/>
        <v>0</v>
      </c>
    </row>
    <row r="2648" spans="23:25">
      <c r="W2648" s="44">
        <f t="shared" si="221"/>
        <v>0</v>
      </c>
      <c r="X2648" s="44">
        <f t="shared" si="222"/>
        <v>0</v>
      </c>
      <c r="Y2648" s="44">
        <f t="shared" si="223"/>
        <v>0</v>
      </c>
    </row>
    <row r="2649" spans="23:25">
      <c r="W2649" s="44">
        <f t="shared" si="221"/>
        <v>0</v>
      </c>
      <c r="X2649" s="44">
        <f t="shared" si="222"/>
        <v>0</v>
      </c>
      <c r="Y2649" s="44">
        <f t="shared" si="223"/>
        <v>0</v>
      </c>
    </row>
    <row r="2650" spans="23:25">
      <c r="W2650" s="44">
        <f t="shared" si="221"/>
        <v>0</v>
      </c>
      <c r="X2650" s="44">
        <f t="shared" si="222"/>
        <v>0</v>
      </c>
      <c r="Y2650" s="44">
        <f t="shared" si="223"/>
        <v>0</v>
      </c>
    </row>
    <row r="2651" spans="23:25">
      <c r="W2651" s="44">
        <f t="shared" si="221"/>
        <v>0</v>
      </c>
      <c r="X2651" s="44">
        <f t="shared" si="222"/>
        <v>0</v>
      </c>
      <c r="Y2651" s="44">
        <f t="shared" si="223"/>
        <v>0</v>
      </c>
    </row>
    <row r="2652" spans="23:25">
      <c r="W2652" s="44">
        <f t="shared" si="221"/>
        <v>0</v>
      </c>
      <c r="X2652" s="44">
        <f t="shared" si="222"/>
        <v>0</v>
      </c>
      <c r="Y2652" s="44">
        <f t="shared" si="223"/>
        <v>0</v>
      </c>
    </row>
    <row r="2653" spans="23:25">
      <c r="W2653" s="44">
        <f t="shared" si="221"/>
        <v>0</v>
      </c>
      <c r="X2653" s="44">
        <f t="shared" si="222"/>
        <v>0</v>
      </c>
      <c r="Y2653" s="44">
        <f t="shared" si="223"/>
        <v>0</v>
      </c>
    </row>
    <row r="2654" spans="23:25">
      <c r="W2654" s="44">
        <f t="shared" si="221"/>
        <v>0</v>
      </c>
      <c r="X2654" s="44">
        <f t="shared" si="222"/>
        <v>0</v>
      </c>
      <c r="Y2654" s="44">
        <f t="shared" si="223"/>
        <v>0</v>
      </c>
    </row>
    <row r="2655" spans="23:25">
      <c r="W2655" s="44">
        <f t="shared" si="221"/>
        <v>0</v>
      </c>
      <c r="X2655" s="44">
        <f t="shared" si="222"/>
        <v>0</v>
      </c>
      <c r="Y2655" s="44">
        <f t="shared" si="223"/>
        <v>0</v>
      </c>
    </row>
    <row r="2656" spans="23:25">
      <c r="W2656" s="44">
        <f t="shared" si="221"/>
        <v>0</v>
      </c>
      <c r="X2656" s="44">
        <f t="shared" si="222"/>
        <v>0</v>
      </c>
      <c r="Y2656" s="44">
        <f t="shared" si="223"/>
        <v>0</v>
      </c>
    </row>
    <row r="2657" spans="23:25">
      <c r="W2657" s="44">
        <f t="shared" si="221"/>
        <v>0</v>
      </c>
      <c r="X2657" s="44">
        <f t="shared" si="222"/>
        <v>0</v>
      </c>
      <c r="Y2657" s="44">
        <f t="shared" si="223"/>
        <v>0</v>
      </c>
    </row>
    <row r="2658" spans="23:25">
      <c r="W2658" s="44">
        <f t="shared" si="221"/>
        <v>0</v>
      </c>
      <c r="X2658" s="44">
        <f t="shared" si="222"/>
        <v>0</v>
      </c>
      <c r="Y2658" s="44">
        <f t="shared" si="223"/>
        <v>0</v>
      </c>
    </row>
    <row r="2659" spans="23:25">
      <c r="W2659" s="44">
        <f t="shared" si="221"/>
        <v>0</v>
      </c>
      <c r="X2659" s="44">
        <f t="shared" si="222"/>
        <v>0</v>
      </c>
      <c r="Y2659" s="44">
        <f t="shared" si="223"/>
        <v>0</v>
      </c>
    </row>
    <row r="2660" spans="23:25">
      <c r="W2660" s="44">
        <f t="shared" si="221"/>
        <v>0</v>
      </c>
      <c r="X2660" s="44">
        <f t="shared" si="222"/>
        <v>0</v>
      </c>
      <c r="Y2660" s="44">
        <f t="shared" si="223"/>
        <v>0</v>
      </c>
    </row>
    <row r="2661" spans="23:25">
      <c r="W2661" s="44">
        <f t="shared" si="221"/>
        <v>0</v>
      </c>
      <c r="X2661" s="44">
        <f t="shared" si="222"/>
        <v>0</v>
      </c>
      <c r="Y2661" s="44">
        <f t="shared" si="223"/>
        <v>0</v>
      </c>
    </row>
    <row r="2662" spans="23:25">
      <c r="W2662" s="44">
        <f t="shared" si="221"/>
        <v>0</v>
      </c>
      <c r="X2662" s="44">
        <f t="shared" si="222"/>
        <v>0</v>
      </c>
      <c r="Y2662" s="44">
        <f t="shared" si="223"/>
        <v>0</v>
      </c>
    </row>
    <row r="2663" spans="23:25">
      <c r="W2663" s="44">
        <f t="shared" si="221"/>
        <v>0</v>
      </c>
      <c r="X2663" s="44">
        <f t="shared" si="222"/>
        <v>0</v>
      </c>
      <c r="Y2663" s="44">
        <f t="shared" si="223"/>
        <v>0</v>
      </c>
    </row>
    <row r="2664" spans="23:25">
      <c r="W2664" s="44">
        <f t="shared" si="221"/>
        <v>0</v>
      </c>
      <c r="X2664" s="44">
        <f t="shared" si="222"/>
        <v>0</v>
      </c>
      <c r="Y2664" s="44">
        <f t="shared" si="223"/>
        <v>0</v>
      </c>
    </row>
    <row r="2665" spans="23:25">
      <c r="W2665" s="44">
        <f t="shared" si="221"/>
        <v>0</v>
      </c>
      <c r="X2665" s="44">
        <f t="shared" si="222"/>
        <v>0</v>
      </c>
      <c r="Y2665" s="44">
        <f t="shared" si="223"/>
        <v>0</v>
      </c>
    </row>
    <row r="2666" spans="23:25">
      <c r="W2666" s="44">
        <f t="shared" si="221"/>
        <v>0</v>
      </c>
      <c r="X2666" s="44">
        <f t="shared" si="222"/>
        <v>0</v>
      </c>
      <c r="Y2666" s="44">
        <f t="shared" si="223"/>
        <v>0</v>
      </c>
    </row>
    <row r="2667" spans="23:25">
      <c r="W2667" s="44">
        <f t="shared" si="221"/>
        <v>0</v>
      </c>
      <c r="X2667" s="44">
        <f t="shared" si="222"/>
        <v>0</v>
      </c>
      <c r="Y2667" s="44">
        <f t="shared" si="223"/>
        <v>0</v>
      </c>
    </row>
    <row r="2668" spans="23:25">
      <c r="W2668" s="44">
        <f t="shared" si="221"/>
        <v>0</v>
      </c>
      <c r="X2668" s="44">
        <f t="shared" si="222"/>
        <v>0</v>
      </c>
      <c r="Y2668" s="44">
        <f t="shared" si="223"/>
        <v>0</v>
      </c>
    </row>
    <row r="2669" spans="23:25">
      <c r="W2669" s="44">
        <f t="shared" si="221"/>
        <v>0</v>
      </c>
      <c r="X2669" s="44">
        <f t="shared" si="222"/>
        <v>0</v>
      </c>
      <c r="Y2669" s="44">
        <f t="shared" si="223"/>
        <v>0</v>
      </c>
    </row>
    <row r="2670" spans="23:25">
      <c r="W2670" s="44">
        <f t="shared" si="221"/>
        <v>0</v>
      </c>
      <c r="X2670" s="44">
        <f t="shared" si="222"/>
        <v>0</v>
      </c>
      <c r="Y2670" s="44">
        <f t="shared" si="223"/>
        <v>0</v>
      </c>
    </row>
    <row r="2671" spans="23:25">
      <c r="W2671" s="44">
        <f t="shared" si="221"/>
        <v>0</v>
      </c>
      <c r="X2671" s="44">
        <f t="shared" si="222"/>
        <v>0</v>
      </c>
      <c r="Y2671" s="44">
        <f t="shared" si="223"/>
        <v>0</v>
      </c>
    </row>
    <row r="2672" spans="23:25">
      <c r="W2672" s="44">
        <f t="shared" si="221"/>
        <v>0</v>
      </c>
      <c r="X2672" s="44">
        <f t="shared" si="222"/>
        <v>0</v>
      </c>
      <c r="Y2672" s="44">
        <f t="shared" si="223"/>
        <v>0</v>
      </c>
    </row>
    <row r="2673" spans="23:25">
      <c r="W2673" s="44">
        <f t="shared" si="221"/>
        <v>0</v>
      </c>
      <c r="X2673" s="44">
        <f t="shared" si="222"/>
        <v>0</v>
      </c>
      <c r="Y2673" s="44">
        <f t="shared" si="223"/>
        <v>0</v>
      </c>
    </row>
    <row r="2674" spans="23:25">
      <c r="W2674" s="44">
        <f t="shared" si="221"/>
        <v>0</v>
      </c>
      <c r="X2674" s="44">
        <f t="shared" si="222"/>
        <v>0</v>
      </c>
      <c r="Y2674" s="44">
        <f t="shared" si="223"/>
        <v>0</v>
      </c>
    </row>
    <row r="2675" spans="23:25">
      <c r="W2675" s="44">
        <f t="shared" si="221"/>
        <v>0</v>
      </c>
      <c r="X2675" s="44">
        <f t="shared" si="222"/>
        <v>0</v>
      </c>
      <c r="Y2675" s="44">
        <f t="shared" si="223"/>
        <v>0</v>
      </c>
    </row>
    <row r="2676" spans="23:25">
      <c r="W2676" s="44">
        <f t="shared" si="221"/>
        <v>0</v>
      </c>
      <c r="X2676" s="44">
        <f t="shared" si="222"/>
        <v>0</v>
      </c>
      <c r="Y2676" s="44">
        <f t="shared" si="223"/>
        <v>0</v>
      </c>
    </row>
    <row r="2677" spans="23:25">
      <c r="W2677" s="44">
        <f t="shared" si="221"/>
        <v>0</v>
      </c>
      <c r="X2677" s="44">
        <f t="shared" si="222"/>
        <v>0</v>
      </c>
      <c r="Y2677" s="44">
        <f t="shared" si="223"/>
        <v>0</v>
      </c>
    </row>
    <row r="2678" spans="23:25">
      <c r="W2678" s="44">
        <f t="shared" si="221"/>
        <v>0</v>
      </c>
      <c r="X2678" s="44">
        <f t="shared" si="222"/>
        <v>0</v>
      </c>
      <c r="Y2678" s="44">
        <f t="shared" si="223"/>
        <v>0</v>
      </c>
    </row>
    <row r="2679" spans="23:25">
      <c r="W2679" s="44">
        <f t="shared" si="221"/>
        <v>0</v>
      </c>
      <c r="X2679" s="44">
        <f t="shared" si="222"/>
        <v>0</v>
      </c>
      <c r="Y2679" s="44">
        <f t="shared" si="223"/>
        <v>0</v>
      </c>
    </row>
    <row r="2680" spans="23:25">
      <c r="W2680" s="44">
        <f t="shared" si="221"/>
        <v>0</v>
      </c>
      <c r="X2680" s="44">
        <f t="shared" si="222"/>
        <v>0</v>
      </c>
      <c r="Y2680" s="44">
        <f t="shared" si="223"/>
        <v>0</v>
      </c>
    </row>
    <row r="2681" spans="23:25">
      <c r="W2681" s="44">
        <f t="shared" si="221"/>
        <v>0</v>
      </c>
      <c r="X2681" s="44">
        <f t="shared" si="222"/>
        <v>0</v>
      </c>
      <c r="Y2681" s="44">
        <f t="shared" si="223"/>
        <v>0</v>
      </c>
    </row>
    <row r="2682" spans="23:25">
      <c r="W2682" s="44">
        <f t="shared" si="221"/>
        <v>0</v>
      </c>
      <c r="X2682" s="44">
        <f t="shared" si="222"/>
        <v>0</v>
      </c>
      <c r="Y2682" s="44">
        <f t="shared" si="223"/>
        <v>0</v>
      </c>
    </row>
    <row r="2683" spans="23:25">
      <c r="W2683" s="44">
        <f t="shared" si="221"/>
        <v>0</v>
      </c>
      <c r="X2683" s="44">
        <f t="shared" si="222"/>
        <v>0</v>
      </c>
      <c r="Y2683" s="44">
        <f t="shared" si="223"/>
        <v>0</v>
      </c>
    </row>
    <row r="2684" spans="23:25">
      <c r="W2684" s="44">
        <f t="shared" si="221"/>
        <v>0</v>
      </c>
      <c r="X2684" s="44">
        <f t="shared" si="222"/>
        <v>0</v>
      </c>
      <c r="Y2684" s="44">
        <f t="shared" si="223"/>
        <v>0</v>
      </c>
    </row>
    <row r="2685" spans="23:25">
      <c r="W2685" s="44">
        <f t="shared" si="221"/>
        <v>0</v>
      </c>
      <c r="X2685" s="44">
        <f t="shared" si="222"/>
        <v>0</v>
      </c>
      <c r="Y2685" s="44">
        <f t="shared" si="223"/>
        <v>0</v>
      </c>
    </row>
    <row r="2686" spans="23:25">
      <c r="W2686" s="44">
        <f t="shared" si="221"/>
        <v>0</v>
      </c>
      <c r="X2686" s="44">
        <f t="shared" si="222"/>
        <v>0</v>
      </c>
      <c r="Y2686" s="44">
        <f t="shared" si="223"/>
        <v>0</v>
      </c>
    </row>
    <row r="2687" spans="23:25">
      <c r="W2687" s="44">
        <f t="shared" si="221"/>
        <v>0</v>
      </c>
      <c r="X2687" s="44">
        <f t="shared" si="222"/>
        <v>0</v>
      </c>
      <c r="Y2687" s="44">
        <f t="shared" si="223"/>
        <v>0</v>
      </c>
    </row>
    <row r="2688" spans="23:25">
      <c r="W2688" s="44">
        <f t="shared" si="221"/>
        <v>0</v>
      </c>
      <c r="X2688" s="44">
        <f t="shared" si="222"/>
        <v>0</v>
      </c>
      <c r="Y2688" s="44">
        <f t="shared" si="223"/>
        <v>0</v>
      </c>
    </row>
    <row r="2689" spans="23:25">
      <c r="W2689" s="44">
        <f t="shared" si="221"/>
        <v>0</v>
      </c>
      <c r="X2689" s="44">
        <f t="shared" si="222"/>
        <v>0</v>
      </c>
      <c r="Y2689" s="44">
        <f t="shared" si="223"/>
        <v>0</v>
      </c>
    </row>
    <row r="2690" spans="23:25">
      <c r="W2690" s="44">
        <f t="shared" si="221"/>
        <v>0</v>
      </c>
      <c r="X2690" s="44">
        <f t="shared" si="222"/>
        <v>0</v>
      </c>
      <c r="Y2690" s="44">
        <f t="shared" si="223"/>
        <v>0</v>
      </c>
    </row>
    <row r="2691" spans="23:25">
      <c r="W2691" s="44">
        <f t="shared" si="221"/>
        <v>0</v>
      </c>
      <c r="X2691" s="44">
        <f t="shared" si="222"/>
        <v>0</v>
      </c>
      <c r="Y2691" s="44">
        <f t="shared" si="223"/>
        <v>0</v>
      </c>
    </row>
    <row r="2692" spans="23:25">
      <c r="W2692" s="44">
        <f t="shared" si="221"/>
        <v>0</v>
      </c>
      <c r="X2692" s="44">
        <f t="shared" si="222"/>
        <v>0</v>
      </c>
      <c r="Y2692" s="44">
        <f t="shared" si="223"/>
        <v>0</v>
      </c>
    </row>
    <row r="2693" spans="23:25">
      <c r="W2693" s="44">
        <f t="shared" si="221"/>
        <v>0</v>
      </c>
      <c r="X2693" s="44">
        <f t="shared" si="222"/>
        <v>0</v>
      </c>
      <c r="Y2693" s="44">
        <f t="shared" si="223"/>
        <v>0</v>
      </c>
    </row>
    <row r="2694" spans="23:25">
      <c r="W2694" s="44">
        <f t="shared" si="221"/>
        <v>0</v>
      </c>
      <c r="X2694" s="44">
        <f t="shared" si="222"/>
        <v>0</v>
      </c>
      <c r="Y2694" s="44">
        <f t="shared" si="223"/>
        <v>0</v>
      </c>
    </row>
    <row r="2695" spans="23:25">
      <c r="W2695" s="44">
        <f t="shared" si="221"/>
        <v>0</v>
      </c>
      <c r="X2695" s="44">
        <f t="shared" si="222"/>
        <v>0</v>
      </c>
      <c r="Y2695" s="44">
        <f t="shared" si="223"/>
        <v>0</v>
      </c>
    </row>
    <row r="2696" spans="23:25">
      <c r="W2696" s="44">
        <f t="shared" ref="W2696:W2759" si="224">+T2696-U2696-V2696-Z2696</f>
        <v>0</v>
      </c>
      <c r="X2696" s="44">
        <f t="shared" ref="X2696:X2759" si="225">(+O2696-U2696)*$X$1</f>
        <v>0</v>
      </c>
      <c r="Y2696" s="44">
        <f t="shared" ref="Y2696:Y2759" si="226">+W2696-X2696</f>
        <v>0</v>
      </c>
    </row>
    <row r="2697" spans="23:25">
      <c r="W2697" s="44">
        <f t="shared" si="224"/>
        <v>0</v>
      </c>
      <c r="X2697" s="44">
        <f t="shared" si="225"/>
        <v>0</v>
      </c>
      <c r="Y2697" s="44">
        <f t="shared" si="226"/>
        <v>0</v>
      </c>
    </row>
    <row r="2698" spans="23:25">
      <c r="W2698" s="44">
        <f t="shared" si="224"/>
        <v>0</v>
      </c>
      <c r="X2698" s="44">
        <f t="shared" si="225"/>
        <v>0</v>
      </c>
      <c r="Y2698" s="44">
        <f t="shared" si="226"/>
        <v>0</v>
      </c>
    </row>
    <row r="2699" spans="23:25">
      <c r="W2699" s="44">
        <f t="shared" si="224"/>
        <v>0</v>
      </c>
      <c r="X2699" s="44">
        <f t="shared" si="225"/>
        <v>0</v>
      </c>
      <c r="Y2699" s="44">
        <f t="shared" si="226"/>
        <v>0</v>
      </c>
    </row>
    <row r="2700" spans="23:25">
      <c r="W2700" s="44">
        <f t="shared" si="224"/>
        <v>0</v>
      </c>
      <c r="X2700" s="44">
        <f t="shared" si="225"/>
        <v>0</v>
      </c>
      <c r="Y2700" s="44">
        <f t="shared" si="226"/>
        <v>0</v>
      </c>
    </row>
    <row r="2701" spans="23:25">
      <c r="W2701" s="44">
        <f t="shared" si="224"/>
        <v>0</v>
      </c>
      <c r="X2701" s="44">
        <f t="shared" si="225"/>
        <v>0</v>
      </c>
      <c r="Y2701" s="44">
        <f t="shared" si="226"/>
        <v>0</v>
      </c>
    </row>
    <row r="2702" spans="23:25">
      <c r="W2702" s="44">
        <f t="shared" si="224"/>
        <v>0</v>
      </c>
      <c r="X2702" s="44">
        <f t="shared" si="225"/>
        <v>0</v>
      </c>
      <c r="Y2702" s="44">
        <f t="shared" si="226"/>
        <v>0</v>
      </c>
    </row>
    <row r="2703" spans="23:25">
      <c r="W2703" s="44">
        <f t="shared" si="224"/>
        <v>0</v>
      </c>
      <c r="X2703" s="44">
        <f t="shared" si="225"/>
        <v>0</v>
      </c>
      <c r="Y2703" s="44">
        <f t="shared" si="226"/>
        <v>0</v>
      </c>
    </row>
    <row r="2704" spans="23:25">
      <c r="W2704" s="44">
        <f t="shared" si="224"/>
        <v>0</v>
      </c>
      <c r="X2704" s="44">
        <f t="shared" si="225"/>
        <v>0</v>
      </c>
      <c r="Y2704" s="44">
        <f t="shared" si="226"/>
        <v>0</v>
      </c>
    </row>
    <row r="2705" spans="23:25">
      <c r="W2705" s="44">
        <f t="shared" si="224"/>
        <v>0</v>
      </c>
      <c r="X2705" s="44">
        <f t="shared" si="225"/>
        <v>0</v>
      </c>
      <c r="Y2705" s="44">
        <f t="shared" si="226"/>
        <v>0</v>
      </c>
    </row>
    <row r="2706" spans="23:25">
      <c r="W2706" s="44">
        <f t="shared" si="224"/>
        <v>0</v>
      </c>
      <c r="X2706" s="44">
        <f t="shared" si="225"/>
        <v>0</v>
      </c>
      <c r="Y2706" s="44">
        <f t="shared" si="226"/>
        <v>0</v>
      </c>
    </row>
    <row r="2707" spans="23:25">
      <c r="W2707" s="44">
        <f t="shared" si="224"/>
        <v>0</v>
      </c>
      <c r="X2707" s="44">
        <f t="shared" si="225"/>
        <v>0</v>
      </c>
      <c r="Y2707" s="44">
        <f t="shared" si="226"/>
        <v>0</v>
      </c>
    </row>
    <row r="2708" spans="23:25">
      <c r="W2708" s="44">
        <f t="shared" si="224"/>
        <v>0</v>
      </c>
      <c r="X2708" s="44">
        <f t="shared" si="225"/>
        <v>0</v>
      </c>
      <c r="Y2708" s="44">
        <f t="shared" si="226"/>
        <v>0</v>
      </c>
    </row>
    <row r="2709" spans="23:25">
      <c r="W2709" s="44">
        <f t="shared" si="224"/>
        <v>0</v>
      </c>
      <c r="X2709" s="44">
        <f t="shared" si="225"/>
        <v>0</v>
      </c>
      <c r="Y2709" s="44">
        <f t="shared" si="226"/>
        <v>0</v>
      </c>
    </row>
    <row r="2710" spans="23:25">
      <c r="W2710" s="44">
        <f t="shared" si="224"/>
        <v>0</v>
      </c>
      <c r="X2710" s="44">
        <f t="shared" si="225"/>
        <v>0</v>
      </c>
      <c r="Y2710" s="44">
        <f t="shared" si="226"/>
        <v>0</v>
      </c>
    </row>
    <row r="2711" spans="23:25">
      <c r="W2711" s="44">
        <f t="shared" si="224"/>
        <v>0</v>
      </c>
      <c r="X2711" s="44">
        <f t="shared" si="225"/>
        <v>0</v>
      </c>
      <c r="Y2711" s="44">
        <f t="shared" si="226"/>
        <v>0</v>
      </c>
    </row>
    <row r="2712" spans="23:25">
      <c r="W2712" s="44">
        <f t="shared" si="224"/>
        <v>0</v>
      </c>
      <c r="X2712" s="44">
        <f t="shared" si="225"/>
        <v>0</v>
      </c>
      <c r="Y2712" s="44">
        <f t="shared" si="226"/>
        <v>0</v>
      </c>
    </row>
    <row r="2713" spans="23:25">
      <c r="W2713" s="44">
        <f t="shared" si="224"/>
        <v>0</v>
      </c>
      <c r="X2713" s="44">
        <f t="shared" si="225"/>
        <v>0</v>
      </c>
      <c r="Y2713" s="44">
        <f t="shared" si="226"/>
        <v>0</v>
      </c>
    </row>
    <row r="2714" spans="23:25">
      <c r="W2714" s="44">
        <f t="shared" si="224"/>
        <v>0</v>
      </c>
      <c r="X2714" s="44">
        <f t="shared" si="225"/>
        <v>0</v>
      </c>
      <c r="Y2714" s="44">
        <f t="shared" si="226"/>
        <v>0</v>
      </c>
    </row>
    <row r="2715" spans="23:25">
      <c r="W2715" s="44">
        <f t="shared" si="224"/>
        <v>0</v>
      </c>
      <c r="X2715" s="44">
        <f t="shared" si="225"/>
        <v>0</v>
      </c>
      <c r="Y2715" s="44">
        <f t="shared" si="226"/>
        <v>0</v>
      </c>
    </row>
    <row r="2716" spans="23:25">
      <c r="W2716" s="44">
        <f t="shared" si="224"/>
        <v>0</v>
      </c>
      <c r="X2716" s="44">
        <f t="shared" si="225"/>
        <v>0</v>
      </c>
      <c r="Y2716" s="44">
        <f t="shared" si="226"/>
        <v>0</v>
      </c>
    </row>
    <row r="2717" spans="23:25">
      <c r="W2717" s="44">
        <f t="shared" si="224"/>
        <v>0</v>
      </c>
      <c r="X2717" s="44">
        <f t="shared" si="225"/>
        <v>0</v>
      </c>
      <c r="Y2717" s="44">
        <f t="shared" si="226"/>
        <v>0</v>
      </c>
    </row>
    <row r="2718" spans="23:25">
      <c r="W2718" s="44">
        <f t="shared" si="224"/>
        <v>0</v>
      </c>
      <c r="X2718" s="44">
        <f t="shared" si="225"/>
        <v>0</v>
      </c>
      <c r="Y2718" s="44">
        <f t="shared" si="226"/>
        <v>0</v>
      </c>
    </row>
    <row r="2719" spans="23:25">
      <c r="W2719" s="44">
        <f t="shared" si="224"/>
        <v>0</v>
      </c>
      <c r="X2719" s="44">
        <f t="shared" si="225"/>
        <v>0</v>
      </c>
      <c r="Y2719" s="44">
        <f t="shared" si="226"/>
        <v>0</v>
      </c>
    </row>
    <row r="2720" spans="23:25">
      <c r="W2720" s="44">
        <f t="shared" si="224"/>
        <v>0</v>
      </c>
      <c r="X2720" s="44">
        <f t="shared" si="225"/>
        <v>0</v>
      </c>
      <c r="Y2720" s="44">
        <f t="shared" si="226"/>
        <v>0</v>
      </c>
    </row>
    <row r="2721" spans="23:25">
      <c r="W2721" s="44">
        <f t="shared" si="224"/>
        <v>0</v>
      </c>
      <c r="X2721" s="44">
        <f t="shared" si="225"/>
        <v>0</v>
      </c>
      <c r="Y2721" s="44">
        <f t="shared" si="226"/>
        <v>0</v>
      </c>
    </row>
    <row r="2722" spans="23:25">
      <c r="W2722" s="44">
        <f t="shared" si="224"/>
        <v>0</v>
      </c>
      <c r="X2722" s="44">
        <f t="shared" si="225"/>
        <v>0</v>
      </c>
      <c r="Y2722" s="44">
        <f t="shared" si="226"/>
        <v>0</v>
      </c>
    </row>
    <row r="2723" spans="23:25">
      <c r="W2723" s="44">
        <f t="shared" si="224"/>
        <v>0</v>
      </c>
      <c r="X2723" s="44">
        <f t="shared" si="225"/>
        <v>0</v>
      </c>
      <c r="Y2723" s="44">
        <f t="shared" si="226"/>
        <v>0</v>
      </c>
    </row>
    <row r="2724" spans="23:25">
      <c r="W2724" s="44">
        <f t="shared" si="224"/>
        <v>0</v>
      </c>
      <c r="X2724" s="44">
        <f t="shared" si="225"/>
        <v>0</v>
      </c>
      <c r="Y2724" s="44">
        <f t="shared" si="226"/>
        <v>0</v>
      </c>
    </row>
    <row r="2725" spans="23:25">
      <c r="W2725" s="44">
        <f t="shared" si="224"/>
        <v>0</v>
      </c>
      <c r="X2725" s="44">
        <f t="shared" si="225"/>
        <v>0</v>
      </c>
      <c r="Y2725" s="44">
        <f t="shared" si="226"/>
        <v>0</v>
      </c>
    </row>
    <row r="2726" spans="23:25">
      <c r="W2726" s="44">
        <f t="shared" si="224"/>
        <v>0</v>
      </c>
      <c r="X2726" s="44">
        <f t="shared" si="225"/>
        <v>0</v>
      </c>
      <c r="Y2726" s="44">
        <f t="shared" si="226"/>
        <v>0</v>
      </c>
    </row>
    <row r="2727" spans="23:25">
      <c r="W2727" s="44">
        <f t="shared" si="224"/>
        <v>0</v>
      </c>
      <c r="X2727" s="44">
        <f t="shared" si="225"/>
        <v>0</v>
      </c>
      <c r="Y2727" s="44">
        <f t="shared" si="226"/>
        <v>0</v>
      </c>
    </row>
    <row r="2728" spans="23:25">
      <c r="W2728" s="44">
        <f t="shared" si="224"/>
        <v>0</v>
      </c>
      <c r="X2728" s="44">
        <f t="shared" si="225"/>
        <v>0</v>
      </c>
      <c r="Y2728" s="44">
        <f t="shared" si="226"/>
        <v>0</v>
      </c>
    </row>
    <row r="2729" spans="23:25">
      <c r="W2729" s="44">
        <f t="shared" si="224"/>
        <v>0</v>
      </c>
      <c r="X2729" s="44">
        <f t="shared" si="225"/>
        <v>0</v>
      </c>
      <c r="Y2729" s="44">
        <f t="shared" si="226"/>
        <v>0</v>
      </c>
    </row>
    <row r="2730" spans="23:25">
      <c r="W2730" s="44">
        <f t="shared" si="224"/>
        <v>0</v>
      </c>
      <c r="X2730" s="44">
        <f t="shared" si="225"/>
        <v>0</v>
      </c>
      <c r="Y2730" s="44">
        <f t="shared" si="226"/>
        <v>0</v>
      </c>
    </row>
    <row r="2731" spans="23:25">
      <c r="W2731" s="44">
        <f t="shared" si="224"/>
        <v>0</v>
      </c>
      <c r="X2731" s="44">
        <f t="shared" si="225"/>
        <v>0</v>
      </c>
      <c r="Y2731" s="44">
        <f t="shared" si="226"/>
        <v>0</v>
      </c>
    </row>
    <row r="2732" spans="23:25">
      <c r="W2732" s="44">
        <f t="shared" si="224"/>
        <v>0</v>
      </c>
      <c r="X2732" s="44">
        <f t="shared" si="225"/>
        <v>0</v>
      </c>
      <c r="Y2732" s="44">
        <f t="shared" si="226"/>
        <v>0</v>
      </c>
    </row>
    <row r="2733" spans="23:25">
      <c r="W2733" s="44">
        <f t="shared" si="224"/>
        <v>0</v>
      </c>
      <c r="X2733" s="44">
        <f t="shared" si="225"/>
        <v>0</v>
      </c>
      <c r="Y2733" s="44">
        <f t="shared" si="226"/>
        <v>0</v>
      </c>
    </row>
    <row r="2734" spans="23:25">
      <c r="W2734" s="44">
        <f t="shared" si="224"/>
        <v>0</v>
      </c>
      <c r="X2734" s="44">
        <f t="shared" si="225"/>
        <v>0</v>
      </c>
      <c r="Y2734" s="44">
        <f t="shared" si="226"/>
        <v>0</v>
      </c>
    </row>
    <row r="2735" spans="23:25">
      <c r="W2735" s="44">
        <f t="shared" si="224"/>
        <v>0</v>
      </c>
      <c r="X2735" s="44">
        <f t="shared" si="225"/>
        <v>0</v>
      </c>
      <c r="Y2735" s="44">
        <f t="shared" si="226"/>
        <v>0</v>
      </c>
    </row>
    <row r="2736" spans="23:25">
      <c r="W2736" s="44">
        <f t="shared" si="224"/>
        <v>0</v>
      </c>
      <c r="X2736" s="44">
        <f t="shared" si="225"/>
        <v>0</v>
      </c>
      <c r="Y2736" s="44">
        <f t="shared" si="226"/>
        <v>0</v>
      </c>
    </row>
    <row r="2737" spans="23:25">
      <c r="W2737" s="44">
        <f t="shared" si="224"/>
        <v>0</v>
      </c>
      <c r="X2737" s="44">
        <f t="shared" si="225"/>
        <v>0</v>
      </c>
      <c r="Y2737" s="44">
        <f t="shared" si="226"/>
        <v>0</v>
      </c>
    </row>
    <row r="2738" spans="23:25">
      <c r="W2738" s="44">
        <f t="shared" si="224"/>
        <v>0</v>
      </c>
      <c r="X2738" s="44">
        <f t="shared" si="225"/>
        <v>0</v>
      </c>
      <c r="Y2738" s="44">
        <f t="shared" si="226"/>
        <v>0</v>
      </c>
    </row>
    <row r="2739" spans="23:25">
      <c r="W2739" s="44">
        <f t="shared" si="224"/>
        <v>0</v>
      </c>
      <c r="X2739" s="44">
        <f t="shared" si="225"/>
        <v>0</v>
      </c>
      <c r="Y2739" s="44">
        <f t="shared" si="226"/>
        <v>0</v>
      </c>
    </row>
    <row r="2740" spans="23:25">
      <c r="W2740" s="44">
        <f t="shared" si="224"/>
        <v>0</v>
      </c>
      <c r="X2740" s="44">
        <f t="shared" si="225"/>
        <v>0</v>
      </c>
      <c r="Y2740" s="44">
        <f t="shared" si="226"/>
        <v>0</v>
      </c>
    </row>
    <row r="2741" spans="23:25">
      <c r="W2741" s="44">
        <f t="shared" si="224"/>
        <v>0</v>
      </c>
      <c r="X2741" s="44">
        <f t="shared" si="225"/>
        <v>0</v>
      </c>
      <c r="Y2741" s="44">
        <f t="shared" si="226"/>
        <v>0</v>
      </c>
    </row>
    <row r="2742" spans="23:25">
      <c r="W2742" s="44">
        <f t="shared" si="224"/>
        <v>0</v>
      </c>
      <c r="X2742" s="44">
        <f t="shared" si="225"/>
        <v>0</v>
      </c>
      <c r="Y2742" s="44">
        <f t="shared" si="226"/>
        <v>0</v>
      </c>
    </row>
    <row r="2743" spans="23:25">
      <c r="W2743" s="44">
        <f t="shared" si="224"/>
        <v>0</v>
      </c>
      <c r="X2743" s="44">
        <f t="shared" si="225"/>
        <v>0</v>
      </c>
      <c r="Y2743" s="44">
        <f t="shared" si="226"/>
        <v>0</v>
      </c>
    </row>
    <row r="2744" spans="23:25">
      <c r="W2744" s="44">
        <f t="shared" si="224"/>
        <v>0</v>
      </c>
      <c r="X2744" s="44">
        <f t="shared" si="225"/>
        <v>0</v>
      </c>
      <c r="Y2744" s="44">
        <f t="shared" si="226"/>
        <v>0</v>
      </c>
    </row>
    <row r="2745" spans="23:25">
      <c r="W2745" s="44">
        <f t="shared" si="224"/>
        <v>0</v>
      </c>
      <c r="X2745" s="44">
        <f t="shared" si="225"/>
        <v>0</v>
      </c>
      <c r="Y2745" s="44">
        <f t="shared" si="226"/>
        <v>0</v>
      </c>
    </row>
    <row r="2746" spans="23:25">
      <c r="W2746" s="44">
        <f t="shared" si="224"/>
        <v>0</v>
      </c>
      <c r="X2746" s="44">
        <f t="shared" si="225"/>
        <v>0</v>
      </c>
      <c r="Y2746" s="44">
        <f t="shared" si="226"/>
        <v>0</v>
      </c>
    </row>
    <row r="2747" spans="23:25">
      <c r="W2747" s="44">
        <f t="shared" si="224"/>
        <v>0</v>
      </c>
      <c r="X2747" s="44">
        <f t="shared" si="225"/>
        <v>0</v>
      </c>
      <c r="Y2747" s="44">
        <f t="shared" si="226"/>
        <v>0</v>
      </c>
    </row>
    <row r="2748" spans="23:25">
      <c r="W2748" s="44">
        <f t="shared" si="224"/>
        <v>0</v>
      </c>
      <c r="X2748" s="44">
        <f t="shared" si="225"/>
        <v>0</v>
      </c>
      <c r="Y2748" s="44">
        <f t="shared" si="226"/>
        <v>0</v>
      </c>
    </row>
    <row r="2749" spans="23:25">
      <c r="W2749" s="44">
        <f t="shared" si="224"/>
        <v>0</v>
      </c>
      <c r="X2749" s="44">
        <f t="shared" si="225"/>
        <v>0</v>
      </c>
      <c r="Y2749" s="44">
        <f t="shared" si="226"/>
        <v>0</v>
      </c>
    </row>
    <row r="2750" spans="23:25">
      <c r="W2750" s="44">
        <f t="shared" si="224"/>
        <v>0</v>
      </c>
      <c r="X2750" s="44">
        <f t="shared" si="225"/>
        <v>0</v>
      </c>
      <c r="Y2750" s="44">
        <f t="shared" si="226"/>
        <v>0</v>
      </c>
    </row>
    <row r="2751" spans="23:25">
      <c r="W2751" s="44">
        <f t="shared" si="224"/>
        <v>0</v>
      </c>
      <c r="X2751" s="44">
        <f t="shared" si="225"/>
        <v>0</v>
      </c>
      <c r="Y2751" s="44">
        <f t="shared" si="226"/>
        <v>0</v>
      </c>
    </row>
    <row r="2752" spans="23:25">
      <c r="W2752" s="44">
        <f t="shared" si="224"/>
        <v>0</v>
      </c>
      <c r="X2752" s="44">
        <f t="shared" si="225"/>
        <v>0</v>
      </c>
      <c r="Y2752" s="44">
        <f t="shared" si="226"/>
        <v>0</v>
      </c>
    </row>
    <row r="2753" spans="23:25">
      <c r="W2753" s="44">
        <f t="shared" si="224"/>
        <v>0</v>
      </c>
      <c r="X2753" s="44">
        <f t="shared" si="225"/>
        <v>0</v>
      </c>
      <c r="Y2753" s="44">
        <f t="shared" si="226"/>
        <v>0</v>
      </c>
    </row>
    <row r="2754" spans="23:25">
      <c r="W2754" s="44">
        <f t="shared" si="224"/>
        <v>0</v>
      </c>
      <c r="X2754" s="44">
        <f t="shared" si="225"/>
        <v>0</v>
      </c>
      <c r="Y2754" s="44">
        <f t="shared" si="226"/>
        <v>0</v>
      </c>
    </row>
    <row r="2755" spans="23:25">
      <c r="W2755" s="44">
        <f t="shared" si="224"/>
        <v>0</v>
      </c>
      <c r="X2755" s="44">
        <f t="shared" si="225"/>
        <v>0</v>
      </c>
      <c r="Y2755" s="44">
        <f t="shared" si="226"/>
        <v>0</v>
      </c>
    </row>
    <row r="2756" spans="23:25">
      <c r="W2756" s="44">
        <f t="shared" si="224"/>
        <v>0</v>
      </c>
      <c r="X2756" s="44">
        <f t="shared" si="225"/>
        <v>0</v>
      </c>
      <c r="Y2756" s="44">
        <f t="shared" si="226"/>
        <v>0</v>
      </c>
    </row>
    <row r="2757" spans="23:25">
      <c r="W2757" s="44">
        <f t="shared" si="224"/>
        <v>0</v>
      </c>
      <c r="X2757" s="44">
        <f t="shared" si="225"/>
        <v>0</v>
      </c>
      <c r="Y2757" s="44">
        <f t="shared" si="226"/>
        <v>0</v>
      </c>
    </row>
    <row r="2758" spans="23:25">
      <c r="W2758" s="44">
        <f t="shared" si="224"/>
        <v>0</v>
      </c>
      <c r="X2758" s="44">
        <f t="shared" si="225"/>
        <v>0</v>
      </c>
      <c r="Y2758" s="44">
        <f t="shared" si="226"/>
        <v>0</v>
      </c>
    </row>
    <row r="2759" spans="23:25">
      <c r="W2759" s="44">
        <f t="shared" si="224"/>
        <v>0</v>
      </c>
      <c r="X2759" s="44">
        <f t="shared" si="225"/>
        <v>0</v>
      </c>
      <c r="Y2759" s="44">
        <f t="shared" si="226"/>
        <v>0</v>
      </c>
    </row>
    <row r="2760" spans="23:25">
      <c r="W2760" s="44">
        <f t="shared" ref="W2760:W2823" si="227">+T2760-U2760-V2760-Z2760</f>
        <v>0</v>
      </c>
      <c r="X2760" s="44">
        <f t="shared" ref="X2760:X2823" si="228">(+O2760-U2760)*$X$1</f>
        <v>0</v>
      </c>
      <c r="Y2760" s="44">
        <f t="shared" ref="Y2760:Y2823" si="229">+W2760-X2760</f>
        <v>0</v>
      </c>
    </row>
    <row r="2761" spans="23:25">
      <c r="W2761" s="44">
        <f t="shared" si="227"/>
        <v>0</v>
      </c>
      <c r="X2761" s="44">
        <f t="shared" si="228"/>
        <v>0</v>
      </c>
      <c r="Y2761" s="44">
        <f t="shared" si="229"/>
        <v>0</v>
      </c>
    </row>
    <row r="2762" spans="23:25">
      <c r="W2762" s="44">
        <f t="shared" si="227"/>
        <v>0</v>
      </c>
      <c r="X2762" s="44">
        <f t="shared" si="228"/>
        <v>0</v>
      </c>
      <c r="Y2762" s="44">
        <f t="shared" si="229"/>
        <v>0</v>
      </c>
    </row>
    <row r="2763" spans="23:25">
      <c r="W2763" s="44">
        <f t="shared" si="227"/>
        <v>0</v>
      </c>
      <c r="X2763" s="44">
        <f t="shared" si="228"/>
        <v>0</v>
      </c>
      <c r="Y2763" s="44">
        <f t="shared" si="229"/>
        <v>0</v>
      </c>
    </row>
    <row r="2764" spans="23:25">
      <c r="W2764" s="44">
        <f t="shared" si="227"/>
        <v>0</v>
      </c>
      <c r="X2764" s="44">
        <f t="shared" si="228"/>
        <v>0</v>
      </c>
      <c r="Y2764" s="44">
        <f t="shared" si="229"/>
        <v>0</v>
      </c>
    </row>
    <row r="2765" spans="23:25">
      <c r="W2765" s="44">
        <f t="shared" si="227"/>
        <v>0</v>
      </c>
      <c r="X2765" s="44">
        <f t="shared" si="228"/>
        <v>0</v>
      </c>
      <c r="Y2765" s="44">
        <f t="shared" si="229"/>
        <v>0</v>
      </c>
    </row>
    <row r="2766" spans="23:25">
      <c r="W2766" s="44">
        <f t="shared" si="227"/>
        <v>0</v>
      </c>
      <c r="X2766" s="44">
        <f t="shared" si="228"/>
        <v>0</v>
      </c>
      <c r="Y2766" s="44">
        <f t="shared" si="229"/>
        <v>0</v>
      </c>
    </row>
    <row r="2767" spans="23:25">
      <c r="W2767" s="44">
        <f t="shared" si="227"/>
        <v>0</v>
      </c>
      <c r="X2767" s="44">
        <f t="shared" si="228"/>
        <v>0</v>
      </c>
      <c r="Y2767" s="44">
        <f t="shared" si="229"/>
        <v>0</v>
      </c>
    </row>
    <row r="2768" spans="23:25">
      <c r="W2768" s="44">
        <f t="shared" si="227"/>
        <v>0</v>
      </c>
      <c r="X2768" s="44">
        <f t="shared" si="228"/>
        <v>0</v>
      </c>
      <c r="Y2768" s="44">
        <f t="shared" si="229"/>
        <v>0</v>
      </c>
    </row>
    <row r="2769" spans="23:25">
      <c r="W2769" s="44">
        <f t="shared" si="227"/>
        <v>0</v>
      </c>
      <c r="X2769" s="44">
        <f t="shared" si="228"/>
        <v>0</v>
      </c>
      <c r="Y2769" s="44">
        <f t="shared" si="229"/>
        <v>0</v>
      </c>
    </row>
    <row r="2770" spans="23:25">
      <c r="W2770" s="44">
        <f t="shared" si="227"/>
        <v>0</v>
      </c>
      <c r="X2770" s="44">
        <f t="shared" si="228"/>
        <v>0</v>
      </c>
      <c r="Y2770" s="44">
        <f t="shared" si="229"/>
        <v>0</v>
      </c>
    </row>
    <row r="2771" spans="23:25">
      <c r="W2771" s="44">
        <f t="shared" si="227"/>
        <v>0</v>
      </c>
      <c r="X2771" s="44">
        <f t="shared" si="228"/>
        <v>0</v>
      </c>
      <c r="Y2771" s="44">
        <f t="shared" si="229"/>
        <v>0</v>
      </c>
    </row>
    <row r="2772" spans="23:25">
      <c r="W2772" s="44">
        <f t="shared" si="227"/>
        <v>0</v>
      </c>
      <c r="X2772" s="44">
        <f t="shared" si="228"/>
        <v>0</v>
      </c>
      <c r="Y2772" s="44">
        <f t="shared" si="229"/>
        <v>0</v>
      </c>
    </row>
    <row r="2773" spans="23:25">
      <c r="W2773" s="44">
        <f t="shared" si="227"/>
        <v>0</v>
      </c>
      <c r="X2773" s="44">
        <f t="shared" si="228"/>
        <v>0</v>
      </c>
      <c r="Y2773" s="44">
        <f t="shared" si="229"/>
        <v>0</v>
      </c>
    </row>
    <row r="2774" spans="23:25">
      <c r="W2774" s="44">
        <f t="shared" si="227"/>
        <v>0</v>
      </c>
      <c r="X2774" s="44">
        <f t="shared" si="228"/>
        <v>0</v>
      </c>
      <c r="Y2774" s="44">
        <f t="shared" si="229"/>
        <v>0</v>
      </c>
    </row>
    <row r="2775" spans="23:25">
      <c r="W2775" s="44">
        <f t="shared" si="227"/>
        <v>0</v>
      </c>
      <c r="X2775" s="44">
        <f t="shared" si="228"/>
        <v>0</v>
      </c>
      <c r="Y2775" s="44">
        <f t="shared" si="229"/>
        <v>0</v>
      </c>
    </row>
    <row r="2776" spans="23:25">
      <c r="W2776" s="44">
        <f t="shared" si="227"/>
        <v>0</v>
      </c>
      <c r="X2776" s="44">
        <f t="shared" si="228"/>
        <v>0</v>
      </c>
      <c r="Y2776" s="44">
        <f t="shared" si="229"/>
        <v>0</v>
      </c>
    </row>
    <row r="2777" spans="23:25">
      <c r="W2777" s="44">
        <f t="shared" si="227"/>
        <v>0</v>
      </c>
      <c r="X2777" s="44">
        <f t="shared" si="228"/>
        <v>0</v>
      </c>
      <c r="Y2777" s="44">
        <f t="shared" si="229"/>
        <v>0</v>
      </c>
    </row>
    <row r="2778" spans="23:25">
      <c r="W2778" s="44">
        <f t="shared" si="227"/>
        <v>0</v>
      </c>
      <c r="X2778" s="44">
        <f t="shared" si="228"/>
        <v>0</v>
      </c>
      <c r="Y2778" s="44">
        <f t="shared" si="229"/>
        <v>0</v>
      </c>
    </row>
    <row r="2779" spans="23:25">
      <c r="W2779" s="44">
        <f t="shared" si="227"/>
        <v>0</v>
      </c>
      <c r="X2779" s="44">
        <f t="shared" si="228"/>
        <v>0</v>
      </c>
      <c r="Y2779" s="44">
        <f t="shared" si="229"/>
        <v>0</v>
      </c>
    </row>
    <row r="2780" spans="23:25">
      <c r="W2780" s="44">
        <f t="shared" si="227"/>
        <v>0</v>
      </c>
      <c r="X2780" s="44">
        <f t="shared" si="228"/>
        <v>0</v>
      </c>
      <c r="Y2780" s="44">
        <f t="shared" si="229"/>
        <v>0</v>
      </c>
    </row>
    <row r="2781" spans="23:25">
      <c r="W2781" s="44">
        <f t="shared" si="227"/>
        <v>0</v>
      </c>
      <c r="X2781" s="44">
        <f t="shared" si="228"/>
        <v>0</v>
      </c>
      <c r="Y2781" s="44">
        <f t="shared" si="229"/>
        <v>0</v>
      </c>
    </row>
    <row r="2782" spans="23:25">
      <c r="W2782" s="44">
        <f t="shared" si="227"/>
        <v>0</v>
      </c>
      <c r="X2782" s="44">
        <f t="shared" si="228"/>
        <v>0</v>
      </c>
      <c r="Y2782" s="44">
        <f t="shared" si="229"/>
        <v>0</v>
      </c>
    </row>
    <row r="2783" spans="23:25">
      <c r="W2783" s="44">
        <f t="shared" si="227"/>
        <v>0</v>
      </c>
      <c r="X2783" s="44">
        <f t="shared" si="228"/>
        <v>0</v>
      </c>
      <c r="Y2783" s="44">
        <f t="shared" si="229"/>
        <v>0</v>
      </c>
    </row>
    <row r="2784" spans="23:25">
      <c r="W2784" s="44">
        <f t="shared" si="227"/>
        <v>0</v>
      </c>
      <c r="X2784" s="44">
        <f t="shared" si="228"/>
        <v>0</v>
      </c>
      <c r="Y2784" s="44">
        <f t="shared" si="229"/>
        <v>0</v>
      </c>
    </row>
    <row r="2785" spans="23:25">
      <c r="W2785" s="44">
        <f t="shared" si="227"/>
        <v>0</v>
      </c>
      <c r="X2785" s="44">
        <f t="shared" si="228"/>
        <v>0</v>
      </c>
      <c r="Y2785" s="44">
        <f t="shared" si="229"/>
        <v>0</v>
      </c>
    </row>
    <row r="2786" spans="23:25">
      <c r="W2786" s="44">
        <f t="shared" si="227"/>
        <v>0</v>
      </c>
      <c r="X2786" s="44">
        <f t="shared" si="228"/>
        <v>0</v>
      </c>
      <c r="Y2786" s="44">
        <f t="shared" si="229"/>
        <v>0</v>
      </c>
    </row>
    <row r="2787" spans="23:25">
      <c r="W2787" s="44">
        <f t="shared" si="227"/>
        <v>0</v>
      </c>
      <c r="X2787" s="44">
        <f t="shared" si="228"/>
        <v>0</v>
      </c>
      <c r="Y2787" s="44">
        <f t="shared" si="229"/>
        <v>0</v>
      </c>
    </row>
    <row r="2788" spans="23:25">
      <c r="W2788" s="44">
        <f t="shared" si="227"/>
        <v>0</v>
      </c>
      <c r="X2788" s="44">
        <f t="shared" si="228"/>
        <v>0</v>
      </c>
      <c r="Y2788" s="44">
        <f t="shared" si="229"/>
        <v>0</v>
      </c>
    </row>
    <row r="2789" spans="23:25">
      <c r="W2789" s="44">
        <f t="shared" si="227"/>
        <v>0</v>
      </c>
      <c r="X2789" s="44">
        <f t="shared" si="228"/>
        <v>0</v>
      </c>
      <c r="Y2789" s="44">
        <f t="shared" si="229"/>
        <v>0</v>
      </c>
    </row>
    <row r="2790" spans="23:25">
      <c r="W2790" s="44">
        <f t="shared" si="227"/>
        <v>0</v>
      </c>
      <c r="X2790" s="44">
        <f t="shared" si="228"/>
        <v>0</v>
      </c>
      <c r="Y2790" s="44">
        <f t="shared" si="229"/>
        <v>0</v>
      </c>
    </row>
    <row r="2791" spans="23:25">
      <c r="W2791" s="44">
        <f t="shared" si="227"/>
        <v>0</v>
      </c>
      <c r="X2791" s="44">
        <f t="shared" si="228"/>
        <v>0</v>
      </c>
      <c r="Y2791" s="44">
        <f t="shared" si="229"/>
        <v>0</v>
      </c>
    </row>
    <row r="2792" spans="23:25">
      <c r="W2792" s="44">
        <f t="shared" si="227"/>
        <v>0</v>
      </c>
      <c r="X2792" s="44">
        <f t="shared" si="228"/>
        <v>0</v>
      </c>
      <c r="Y2792" s="44">
        <f t="shared" si="229"/>
        <v>0</v>
      </c>
    </row>
    <row r="2793" spans="23:25">
      <c r="W2793" s="44">
        <f t="shared" si="227"/>
        <v>0</v>
      </c>
      <c r="X2793" s="44">
        <f t="shared" si="228"/>
        <v>0</v>
      </c>
      <c r="Y2793" s="44">
        <f t="shared" si="229"/>
        <v>0</v>
      </c>
    </row>
    <row r="2794" spans="23:25">
      <c r="W2794" s="44">
        <f t="shared" si="227"/>
        <v>0</v>
      </c>
      <c r="X2794" s="44">
        <f t="shared" si="228"/>
        <v>0</v>
      </c>
      <c r="Y2794" s="44">
        <f t="shared" si="229"/>
        <v>0</v>
      </c>
    </row>
    <row r="2795" spans="23:25">
      <c r="W2795" s="44">
        <f t="shared" si="227"/>
        <v>0</v>
      </c>
      <c r="X2795" s="44">
        <f t="shared" si="228"/>
        <v>0</v>
      </c>
      <c r="Y2795" s="44">
        <f t="shared" si="229"/>
        <v>0</v>
      </c>
    </row>
    <row r="2796" spans="23:25">
      <c r="W2796" s="44">
        <f t="shared" si="227"/>
        <v>0</v>
      </c>
      <c r="X2796" s="44">
        <f t="shared" si="228"/>
        <v>0</v>
      </c>
      <c r="Y2796" s="44">
        <f t="shared" si="229"/>
        <v>0</v>
      </c>
    </row>
    <row r="2797" spans="23:25">
      <c r="W2797" s="44">
        <f t="shared" si="227"/>
        <v>0</v>
      </c>
      <c r="X2797" s="44">
        <f t="shared" si="228"/>
        <v>0</v>
      </c>
      <c r="Y2797" s="44">
        <f t="shared" si="229"/>
        <v>0</v>
      </c>
    </row>
    <row r="2798" spans="23:25">
      <c r="W2798" s="44">
        <f t="shared" si="227"/>
        <v>0</v>
      </c>
      <c r="X2798" s="44">
        <f t="shared" si="228"/>
        <v>0</v>
      </c>
      <c r="Y2798" s="44">
        <f t="shared" si="229"/>
        <v>0</v>
      </c>
    </row>
    <row r="2799" spans="23:25">
      <c r="W2799" s="44">
        <f t="shared" si="227"/>
        <v>0</v>
      </c>
      <c r="X2799" s="44">
        <f t="shared" si="228"/>
        <v>0</v>
      </c>
      <c r="Y2799" s="44">
        <f t="shared" si="229"/>
        <v>0</v>
      </c>
    </row>
    <row r="2800" spans="23:25">
      <c r="W2800" s="44">
        <f t="shared" si="227"/>
        <v>0</v>
      </c>
      <c r="X2800" s="44">
        <f t="shared" si="228"/>
        <v>0</v>
      </c>
      <c r="Y2800" s="44">
        <f t="shared" si="229"/>
        <v>0</v>
      </c>
    </row>
    <row r="2801" spans="23:25">
      <c r="W2801" s="44">
        <f t="shared" si="227"/>
        <v>0</v>
      </c>
      <c r="X2801" s="44">
        <f t="shared" si="228"/>
        <v>0</v>
      </c>
      <c r="Y2801" s="44">
        <f t="shared" si="229"/>
        <v>0</v>
      </c>
    </row>
    <row r="2802" spans="23:25">
      <c r="W2802" s="44">
        <f t="shared" si="227"/>
        <v>0</v>
      </c>
      <c r="X2802" s="44">
        <f t="shared" si="228"/>
        <v>0</v>
      </c>
      <c r="Y2802" s="44">
        <f t="shared" si="229"/>
        <v>0</v>
      </c>
    </row>
    <row r="2803" spans="23:25">
      <c r="W2803" s="44">
        <f t="shared" si="227"/>
        <v>0</v>
      </c>
      <c r="X2803" s="44">
        <f t="shared" si="228"/>
        <v>0</v>
      </c>
      <c r="Y2803" s="44">
        <f t="shared" si="229"/>
        <v>0</v>
      </c>
    </row>
    <row r="2804" spans="23:25">
      <c r="W2804" s="44">
        <f t="shared" si="227"/>
        <v>0</v>
      </c>
      <c r="X2804" s="44">
        <f t="shared" si="228"/>
        <v>0</v>
      </c>
      <c r="Y2804" s="44">
        <f t="shared" si="229"/>
        <v>0</v>
      </c>
    </row>
    <row r="2805" spans="23:25">
      <c r="W2805" s="44">
        <f t="shared" si="227"/>
        <v>0</v>
      </c>
      <c r="X2805" s="44">
        <f t="shared" si="228"/>
        <v>0</v>
      </c>
      <c r="Y2805" s="44">
        <f t="shared" si="229"/>
        <v>0</v>
      </c>
    </row>
    <row r="2806" spans="23:25">
      <c r="W2806" s="44">
        <f t="shared" si="227"/>
        <v>0</v>
      </c>
      <c r="X2806" s="44">
        <f t="shared" si="228"/>
        <v>0</v>
      </c>
      <c r="Y2806" s="44">
        <f t="shared" si="229"/>
        <v>0</v>
      </c>
    </row>
    <row r="2807" spans="23:25">
      <c r="W2807" s="44">
        <f t="shared" si="227"/>
        <v>0</v>
      </c>
      <c r="X2807" s="44">
        <f t="shared" si="228"/>
        <v>0</v>
      </c>
      <c r="Y2807" s="44">
        <f t="shared" si="229"/>
        <v>0</v>
      </c>
    </row>
    <row r="2808" spans="23:25">
      <c r="W2808" s="44">
        <f t="shared" si="227"/>
        <v>0</v>
      </c>
      <c r="X2808" s="44">
        <f t="shared" si="228"/>
        <v>0</v>
      </c>
      <c r="Y2808" s="44">
        <f t="shared" si="229"/>
        <v>0</v>
      </c>
    </row>
    <row r="2809" spans="23:25">
      <c r="W2809" s="44">
        <f t="shared" si="227"/>
        <v>0</v>
      </c>
      <c r="X2809" s="44">
        <f t="shared" si="228"/>
        <v>0</v>
      </c>
      <c r="Y2809" s="44">
        <f t="shared" si="229"/>
        <v>0</v>
      </c>
    </row>
    <row r="2810" spans="23:25">
      <c r="W2810" s="44">
        <f t="shared" si="227"/>
        <v>0</v>
      </c>
      <c r="X2810" s="44">
        <f t="shared" si="228"/>
        <v>0</v>
      </c>
      <c r="Y2810" s="44">
        <f t="shared" si="229"/>
        <v>0</v>
      </c>
    </row>
    <row r="2811" spans="23:25">
      <c r="W2811" s="44">
        <f t="shared" si="227"/>
        <v>0</v>
      </c>
      <c r="X2811" s="44">
        <f t="shared" si="228"/>
        <v>0</v>
      </c>
      <c r="Y2811" s="44">
        <f t="shared" si="229"/>
        <v>0</v>
      </c>
    </row>
    <row r="2812" spans="23:25">
      <c r="W2812" s="44">
        <f t="shared" si="227"/>
        <v>0</v>
      </c>
      <c r="X2812" s="44">
        <f t="shared" si="228"/>
        <v>0</v>
      </c>
      <c r="Y2812" s="44">
        <f t="shared" si="229"/>
        <v>0</v>
      </c>
    </row>
    <row r="2813" spans="23:25">
      <c r="W2813" s="44">
        <f t="shared" si="227"/>
        <v>0</v>
      </c>
      <c r="X2813" s="44">
        <f t="shared" si="228"/>
        <v>0</v>
      </c>
      <c r="Y2813" s="44">
        <f t="shared" si="229"/>
        <v>0</v>
      </c>
    </row>
    <row r="2814" spans="23:25">
      <c r="W2814" s="44">
        <f t="shared" si="227"/>
        <v>0</v>
      </c>
      <c r="X2814" s="44">
        <f t="shared" si="228"/>
        <v>0</v>
      </c>
      <c r="Y2814" s="44">
        <f t="shared" si="229"/>
        <v>0</v>
      </c>
    </row>
    <row r="2815" spans="23:25">
      <c r="W2815" s="44">
        <f t="shared" si="227"/>
        <v>0</v>
      </c>
      <c r="X2815" s="44">
        <f t="shared" si="228"/>
        <v>0</v>
      </c>
      <c r="Y2815" s="44">
        <f t="shared" si="229"/>
        <v>0</v>
      </c>
    </row>
    <row r="2816" spans="23:25">
      <c r="W2816" s="44">
        <f t="shared" si="227"/>
        <v>0</v>
      </c>
      <c r="X2816" s="44">
        <f t="shared" si="228"/>
        <v>0</v>
      </c>
      <c r="Y2816" s="44">
        <f t="shared" si="229"/>
        <v>0</v>
      </c>
    </row>
    <row r="2817" spans="23:25">
      <c r="W2817" s="44">
        <f t="shared" si="227"/>
        <v>0</v>
      </c>
      <c r="X2817" s="44">
        <f t="shared" si="228"/>
        <v>0</v>
      </c>
      <c r="Y2817" s="44">
        <f t="shared" si="229"/>
        <v>0</v>
      </c>
    </row>
    <row r="2818" spans="23:25">
      <c r="W2818" s="44">
        <f t="shared" si="227"/>
        <v>0</v>
      </c>
      <c r="X2818" s="44">
        <f t="shared" si="228"/>
        <v>0</v>
      </c>
      <c r="Y2818" s="44">
        <f t="shared" si="229"/>
        <v>0</v>
      </c>
    </row>
    <row r="2819" spans="23:25">
      <c r="W2819" s="44">
        <f t="shared" si="227"/>
        <v>0</v>
      </c>
      <c r="X2819" s="44">
        <f t="shared" si="228"/>
        <v>0</v>
      </c>
      <c r="Y2819" s="44">
        <f t="shared" si="229"/>
        <v>0</v>
      </c>
    </row>
    <row r="2820" spans="23:25">
      <c r="W2820" s="44">
        <f t="shared" si="227"/>
        <v>0</v>
      </c>
      <c r="X2820" s="44">
        <f t="shared" si="228"/>
        <v>0</v>
      </c>
      <c r="Y2820" s="44">
        <f t="shared" si="229"/>
        <v>0</v>
      </c>
    </row>
    <row r="2821" spans="23:25">
      <c r="W2821" s="44">
        <f t="shared" si="227"/>
        <v>0</v>
      </c>
      <c r="X2821" s="44">
        <f t="shared" si="228"/>
        <v>0</v>
      </c>
      <c r="Y2821" s="44">
        <f t="shared" si="229"/>
        <v>0</v>
      </c>
    </row>
    <row r="2822" spans="23:25">
      <c r="W2822" s="44">
        <f t="shared" si="227"/>
        <v>0</v>
      </c>
      <c r="X2822" s="44">
        <f t="shared" si="228"/>
        <v>0</v>
      </c>
      <c r="Y2822" s="44">
        <f t="shared" si="229"/>
        <v>0</v>
      </c>
    </row>
    <row r="2823" spans="23:25">
      <c r="W2823" s="44">
        <f t="shared" si="227"/>
        <v>0</v>
      </c>
      <c r="X2823" s="44">
        <f t="shared" si="228"/>
        <v>0</v>
      </c>
      <c r="Y2823" s="44">
        <f t="shared" si="229"/>
        <v>0</v>
      </c>
    </row>
    <row r="2824" spans="23:25">
      <c r="W2824" s="44">
        <f t="shared" ref="W2824:W2887" si="230">+T2824-U2824-V2824-Z2824</f>
        <v>0</v>
      </c>
      <c r="X2824" s="44">
        <f t="shared" ref="X2824:X2887" si="231">(+O2824-U2824)*$X$1</f>
        <v>0</v>
      </c>
      <c r="Y2824" s="44">
        <f t="shared" ref="Y2824:Y2887" si="232">+W2824-X2824</f>
        <v>0</v>
      </c>
    </row>
    <row r="2825" spans="23:25">
      <c r="W2825" s="44">
        <f t="shared" si="230"/>
        <v>0</v>
      </c>
      <c r="X2825" s="44">
        <f t="shared" si="231"/>
        <v>0</v>
      </c>
      <c r="Y2825" s="44">
        <f t="shared" si="232"/>
        <v>0</v>
      </c>
    </row>
    <row r="2826" spans="23:25">
      <c r="W2826" s="44">
        <f t="shared" si="230"/>
        <v>0</v>
      </c>
      <c r="X2826" s="44">
        <f t="shared" si="231"/>
        <v>0</v>
      </c>
      <c r="Y2826" s="44">
        <f t="shared" si="232"/>
        <v>0</v>
      </c>
    </row>
    <row r="2827" spans="23:25">
      <c r="W2827" s="44">
        <f t="shared" si="230"/>
        <v>0</v>
      </c>
      <c r="X2827" s="44">
        <f t="shared" si="231"/>
        <v>0</v>
      </c>
      <c r="Y2827" s="44">
        <f t="shared" si="232"/>
        <v>0</v>
      </c>
    </row>
    <row r="2828" spans="23:25">
      <c r="W2828" s="44">
        <f t="shared" si="230"/>
        <v>0</v>
      </c>
      <c r="X2828" s="44">
        <f t="shared" si="231"/>
        <v>0</v>
      </c>
      <c r="Y2828" s="44">
        <f t="shared" si="232"/>
        <v>0</v>
      </c>
    </row>
    <row r="2829" spans="23:25">
      <c r="W2829" s="44">
        <f t="shared" si="230"/>
        <v>0</v>
      </c>
      <c r="X2829" s="44">
        <f t="shared" si="231"/>
        <v>0</v>
      </c>
      <c r="Y2829" s="44">
        <f t="shared" si="232"/>
        <v>0</v>
      </c>
    </row>
    <row r="2830" spans="23:25">
      <c r="W2830" s="44">
        <f t="shared" si="230"/>
        <v>0</v>
      </c>
      <c r="X2830" s="44">
        <f t="shared" si="231"/>
        <v>0</v>
      </c>
      <c r="Y2830" s="44">
        <f t="shared" si="232"/>
        <v>0</v>
      </c>
    </row>
    <row r="2831" spans="23:25">
      <c r="W2831" s="44">
        <f t="shared" si="230"/>
        <v>0</v>
      </c>
      <c r="X2831" s="44">
        <f t="shared" si="231"/>
        <v>0</v>
      </c>
      <c r="Y2831" s="44">
        <f t="shared" si="232"/>
        <v>0</v>
      </c>
    </row>
    <row r="2832" spans="23:25">
      <c r="W2832" s="44">
        <f t="shared" si="230"/>
        <v>0</v>
      </c>
      <c r="X2832" s="44">
        <f t="shared" si="231"/>
        <v>0</v>
      </c>
      <c r="Y2832" s="44">
        <f t="shared" si="232"/>
        <v>0</v>
      </c>
    </row>
    <row r="2833" spans="23:25">
      <c r="W2833" s="44">
        <f t="shared" si="230"/>
        <v>0</v>
      </c>
      <c r="X2833" s="44">
        <f t="shared" si="231"/>
        <v>0</v>
      </c>
      <c r="Y2833" s="44">
        <f t="shared" si="232"/>
        <v>0</v>
      </c>
    </row>
    <row r="2834" spans="23:25">
      <c r="W2834" s="44">
        <f t="shared" si="230"/>
        <v>0</v>
      </c>
      <c r="X2834" s="44">
        <f t="shared" si="231"/>
        <v>0</v>
      </c>
      <c r="Y2834" s="44">
        <f t="shared" si="232"/>
        <v>0</v>
      </c>
    </row>
    <row r="2835" spans="23:25">
      <c r="W2835" s="44">
        <f t="shared" si="230"/>
        <v>0</v>
      </c>
      <c r="X2835" s="44">
        <f t="shared" si="231"/>
        <v>0</v>
      </c>
      <c r="Y2835" s="44">
        <f t="shared" si="232"/>
        <v>0</v>
      </c>
    </row>
    <row r="2836" spans="23:25">
      <c r="W2836" s="44">
        <f t="shared" si="230"/>
        <v>0</v>
      </c>
      <c r="X2836" s="44">
        <f t="shared" si="231"/>
        <v>0</v>
      </c>
      <c r="Y2836" s="44">
        <f t="shared" si="232"/>
        <v>0</v>
      </c>
    </row>
    <row r="2837" spans="23:25">
      <c r="W2837" s="44">
        <f t="shared" si="230"/>
        <v>0</v>
      </c>
      <c r="X2837" s="44">
        <f t="shared" si="231"/>
        <v>0</v>
      </c>
      <c r="Y2837" s="44">
        <f t="shared" si="232"/>
        <v>0</v>
      </c>
    </row>
    <row r="2838" spans="23:25">
      <c r="W2838" s="44">
        <f t="shared" si="230"/>
        <v>0</v>
      </c>
      <c r="X2838" s="44">
        <f t="shared" si="231"/>
        <v>0</v>
      </c>
      <c r="Y2838" s="44">
        <f t="shared" si="232"/>
        <v>0</v>
      </c>
    </row>
    <row r="2839" spans="23:25">
      <c r="W2839" s="44">
        <f t="shared" si="230"/>
        <v>0</v>
      </c>
      <c r="X2839" s="44">
        <f t="shared" si="231"/>
        <v>0</v>
      </c>
      <c r="Y2839" s="44">
        <f t="shared" si="232"/>
        <v>0</v>
      </c>
    </row>
    <row r="2840" spans="23:25">
      <c r="W2840" s="44">
        <f t="shared" si="230"/>
        <v>0</v>
      </c>
      <c r="X2840" s="44">
        <f t="shared" si="231"/>
        <v>0</v>
      </c>
      <c r="Y2840" s="44">
        <f t="shared" si="232"/>
        <v>0</v>
      </c>
    </row>
    <row r="2841" spans="23:25">
      <c r="W2841" s="44">
        <f t="shared" si="230"/>
        <v>0</v>
      </c>
      <c r="X2841" s="44">
        <f t="shared" si="231"/>
        <v>0</v>
      </c>
      <c r="Y2841" s="44">
        <f t="shared" si="232"/>
        <v>0</v>
      </c>
    </row>
    <row r="2842" spans="23:25">
      <c r="W2842" s="44">
        <f t="shared" si="230"/>
        <v>0</v>
      </c>
      <c r="X2842" s="44">
        <f t="shared" si="231"/>
        <v>0</v>
      </c>
      <c r="Y2842" s="44">
        <f t="shared" si="232"/>
        <v>0</v>
      </c>
    </row>
    <row r="2843" spans="23:25">
      <c r="W2843" s="44">
        <f t="shared" si="230"/>
        <v>0</v>
      </c>
      <c r="X2843" s="44">
        <f t="shared" si="231"/>
        <v>0</v>
      </c>
      <c r="Y2843" s="44">
        <f t="shared" si="232"/>
        <v>0</v>
      </c>
    </row>
    <row r="2844" spans="23:25">
      <c r="W2844" s="44">
        <f t="shared" si="230"/>
        <v>0</v>
      </c>
      <c r="X2844" s="44">
        <f t="shared" si="231"/>
        <v>0</v>
      </c>
      <c r="Y2844" s="44">
        <f t="shared" si="232"/>
        <v>0</v>
      </c>
    </row>
    <row r="2845" spans="23:25">
      <c r="W2845" s="44">
        <f t="shared" si="230"/>
        <v>0</v>
      </c>
      <c r="X2845" s="44">
        <f t="shared" si="231"/>
        <v>0</v>
      </c>
      <c r="Y2845" s="44">
        <f t="shared" si="232"/>
        <v>0</v>
      </c>
    </row>
    <row r="2846" spans="23:25">
      <c r="W2846" s="44">
        <f t="shared" si="230"/>
        <v>0</v>
      </c>
      <c r="X2846" s="44">
        <f t="shared" si="231"/>
        <v>0</v>
      </c>
      <c r="Y2846" s="44">
        <f t="shared" si="232"/>
        <v>0</v>
      </c>
    </row>
    <row r="2847" spans="23:25">
      <c r="W2847" s="44">
        <f t="shared" si="230"/>
        <v>0</v>
      </c>
      <c r="X2847" s="44">
        <f t="shared" si="231"/>
        <v>0</v>
      </c>
      <c r="Y2847" s="44">
        <f t="shared" si="232"/>
        <v>0</v>
      </c>
    </row>
    <row r="2848" spans="23:25">
      <c r="W2848" s="44">
        <f t="shared" si="230"/>
        <v>0</v>
      </c>
      <c r="X2848" s="44">
        <f t="shared" si="231"/>
        <v>0</v>
      </c>
      <c r="Y2848" s="44">
        <f t="shared" si="232"/>
        <v>0</v>
      </c>
    </row>
    <row r="2849" spans="23:25">
      <c r="W2849" s="44">
        <f t="shared" si="230"/>
        <v>0</v>
      </c>
      <c r="X2849" s="44">
        <f t="shared" si="231"/>
        <v>0</v>
      </c>
      <c r="Y2849" s="44">
        <f t="shared" si="232"/>
        <v>0</v>
      </c>
    </row>
    <row r="2850" spans="23:25">
      <c r="W2850" s="44">
        <f t="shared" si="230"/>
        <v>0</v>
      </c>
      <c r="X2850" s="44">
        <f t="shared" si="231"/>
        <v>0</v>
      </c>
      <c r="Y2850" s="44">
        <f t="shared" si="232"/>
        <v>0</v>
      </c>
    </row>
    <row r="2851" spans="23:25">
      <c r="W2851" s="44">
        <f t="shared" si="230"/>
        <v>0</v>
      </c>
      <c r="X2851" s="44">
        <f t="shared" si="231"/>
        <v>0</v>
      </c>
      <c r="Y2851" s="44">
        <f t="shared" si="232"/>
        <v>0</v>
      </c>
    </row>
    <row r="2852" spans="23:25">
      <c r="W2852" s="44">
        <f t="shared" si="230"/>
        <v>0</v>
      </c>
      <c r="X2852" s="44">
        <f t="shared" si="231"/>
        <v>0</v>
      </c>
      <c r="Y2852" s="44">
        <f t="shared" si="232"/>
        <v>0</v>
      </c>
    </row>
    <row r="2853" spans="23:25">
      <c r="W2853" s="44">
        <f t="shared" si="230"/>
        <v>0</v>
      </c>
      <c r="X2853" s="44">
        <f t="shared" si="231"/>
        <v>0</v>
      </c>
      <c r="Y2853" s="44">
        <f t="shared" si="232"/>
        <v>0</v>
      </c>
    </row>
    <row r="2854" spans="23:25">
      <c r="W2854" s="44">
        <f t="shared" si="230"/>
        <v>0</v>
      </c>
      <c r="X2854" s="44">
        <f t="shared" si="231"/>
        <v>0</v>
      </c>
      <c r="Y2854" s="44">
        <f t="shared" si="232"/>
        <v>0</v>
      </c>
    </row>
    <row r="2855" spans="23:25">
      <c r="W2855" s="44">
        <f t="shared" si="230"/>
        <v>0</v>
      </c>
      <c r="X2855" s="44">
        <f t="shared" si="231"/>
        <v>0</v>
      </c>
      <c r="Y2855" s="44">
        <f t="shared" si="232"/>
        <v>0</v>
      </c>
    </row>
    <row r="2856" spans="23:25">
      <c r="W2856" s="44">
        <f t="shared" si="230"/>
        <v>0</v>
      </c>
      <c r="X2856" s="44">
        <f t="shared" si="231"/>
        <v>0</v>
      </c>
      <c r="Y2856" s="44">
        <f t="shared" si="232"/>
        <v>0</v>
      </c>
    </row>
    <row r="2857" spans="23:25">
      <c r="W2857" s="44">
        <f t="shared" si="230"/>
        <v>0</v>
      </c>
      <c r="X2857" s="44">
        <f t="shared" si="231"/>
        <v>0</v>
      </c>
      <c r="Y2857" s="44">
        <f t="shared" si="232"/>
        <v>0</v>
      </c>
    </row>
    <row r="2858" spans="23:25">
      <c r="W2858" s="44">
        <f t="shared" si="230"/>
        <v>0</v>
      </c>
      <c r="X2858" s="44">
        <f t="shared" si="231"/>
        <v>0</v>
      </c>
      <c r="Y2858" s="44">
        <f t="shared" si="232"/>
        <v>0</v>
      </c>
    </row>
    <row r="2859" spans="23:25">
      <c r="W2859" s="44">
        <f t="shared" si="230"/>
        <v>0</v>
      </c>
      <c r="X2859" s="44">
        <f t="shared" si="231"/>
        <v>0</v>
      </c>
      <c r="Y2859" s="44">
        <f t="shared" si="232"/>
        <v>0</v>
      </c>
    </row>
    <row r="2860" spans="23:25">
      <c r="W2860" s="44">
        <f t="shared" si="230"/>
        <v>0</v>
      </c>
      <c r="X2860" s="44">
        <f t="shared" si="231"/>
        <v>0</v>
      </c>
      <c r="Y2860" s="44">
        <f t="shared" si="232"/>
        <v>0</v>
      </c>
    </row>
    <row r="2861" spans="23:25">
      <c r="W2861" s="44">
        <f t="shared" si="230"/>
        <v>0</v>
      </c>
      <c r="X2861" s="44">
        <f t="shared" si="231"/>
        <v>0</v>
      </c>
      <c r="Y2861" s="44">
        <f t="shared" si="232"/>
        <v>0</v>
      </c>
    </row>
    <row r="2862" spans="23:25">
      <c r="W2862" s="44">
        <f t="shared" si="230"/>
        <v>0</v>
      </c>
      <c r="X2862" s="44">
        <f t="shared" si="231"/>
        <v>0</v>
      </c>
      <c r="Y2862" s="44">
        <f t="shared" si="232"/>
        <v>0</v>
      </c>
    </row>
    <row r="2863" spans="23:25">
      <c r="W2863" s="44">
        <f t="shared" si="230"/>
        <v>0</v>
      </c>
      <c r="X2863" s="44">
        <f t="shared" si="231"/>
        <v>0</v>
      </c>
      <c r="Y2863" s="44">
        <f t="shared" si="232"/>
        <v>0</v>
      </c>
    </row>
    <row r="2864" spans="23:25">
      <c r="W2864" s="44">
        <f t="shared" si="230"/>
        <v>0</v>
      </c>
      <c r="X2864" s="44">
        <f t="shared" si="231"/>
        <v>0</v>
      </c>
      <c r="Y2864" s="44">
        <f t="shared" si="232"/>
        <v>0</v>
      </c>
    </row>
    <row r="2865" spans="23:25">
      <c r="W2865" s="44">
        <f t="shared" si="230"/>
        <v>0</v>
      </c>
      <c r="X2865" s="44">
        <f t="shared" si="231"/>
        <v>0</v>
      </c>
      <c r="Y2865" s="44">
        <f t="shared" si="232"/>
        <v>0</v>
      </c>
    </row>
    <row r="2866" spans="23:25">
      <c r="W2866" s="44">
        <f t="shared" si="230"/>
        <v>0</v>
      </c>
      <c r="X2866" s="44">
        <f t="shared" si="231"/>
        <v>0</v>
      </c>
      <c r="Y2866" s="44">
        <f t="shared" si="232"/>
        <v>0</v>
      </c>
    </row>
    <row r="2867" spans="23:25">
      <c r="W2867" s="44">
        <f t="shared" si="230"/>
        <v>0</v>
      </c>
      <c r="X2867" s="44">
        <f t="shared" si="231"/>
        <v>0</v>
      </c>
      <c r="Y2867" s="44">
        <f t="shared" si="232"/>
        <v>0</v>
      </c>
    </row>
    <row r="2868" spans="23:25">
      <c r="W2868" s="44">
        <f t="shared" si="230"/>
        <v>0</v>
      </c>
      <c r="X2868" s="44">
        <f t="shared" si="231"/>
        <v>0</v>
      </c>
      <c r="Y2868" s="44">
        <f t="shared" si="232"/>
        <v>0</v>
      </c>
    </row>
    <row r="2869" spans="23:25">
      <c r="W2869" s="44">
        <f t="shared" si="230"/>
        <v>0</v>
      </c>
      <c r="X2869" s="44">
        <f t="shared" si="231"/>
        <v>0</v>
      </c>
      <c r="Y2869" s="44">
        <f t="shared" si="232"/>
        <v>0</v>
      </c>
    </row>
    <row r="2870" spans="23:25">
      <c r="W2870" s="44">
        <f t="shared" si="230"/>
        <v>0</v>
      </c>
      <c r="X2870" s="44">
        <f t="shared" si="231"/>
        <v>0</v>
      </c>
      <c r="Y2870" s="44">
        <f t="shared" si="232"/>
        <v>0</v>
      </c>
    </row>
    <row r="2871" spans="23:25">
      <c r="W2871" s="44">
        <f t="shared" si="230"/>
        <v>0</v>
      </c>
      <c r="X2871" s="44">
        <f t="shared" si="231"/>
        <v>0</v>
      </c>
      <c r="Y2871" s="44">
        <f t="shared" si="232"/>
        <v>0</v>
      </c>
    </row>
    <row r="2872" spans="23:25">
      <c r="W2872" s="44">
        <f t="shared" si="230"/>
        <v>0</v>
      </c>
      <c r="X2872" s="44">
        <f t="shared" si="231"/>
        <v>0</v>
      </c>
      <c r="Y2872" s="44">
        <f t="shared" si="232"/>
        <v>0</v>
      </c>
    </row>
    <row r="2873" spans="23:25">
      <c r="W2873" s="44">
        <f t="shared" si="230"/>
        <v>0</v>
      </c>
      <c r="X2873" s="44">
        <f t="shared" si="231"/>
        <v>0</v>
      </c>
      <c r="Y2873" s="44">
        <f t="shared" si="232"/>
        <v>0</v>
      </c>
    </row>
    <row r="2874" spans="23:25">
      <c r="W2874" s="44">
        <f t="shared" si="230"/>
        <v>0</v>
      </c>
      <c r="X2874" s="44">
        <f t="shared" si="231"/>
        <v>0</v>
      </c>
      <c r="Y2874" s="44">
        <f t="shared" si="232"/>
        <v>0</v>
      </c>
    </row>
    <row r="2875" spans="23:25">
      <c r="W2875" s="44">
        <f t="shared" si="230"/>
        <v>0</v>
      </c>
      <c r="X2875" s="44">
        <f t="shared" si="231"/>
        <v>0</v>
      </c>
      <c r="Y2875" s="44">
        <f t="shared" si="232"/>
        <v>0</v>
      </c>
    </row>
    <row r="2876" spans="23:25">
      <c r="W2876" s="44">
        <f t="shared" si="230"/>
        <v>0</v>
      </c>
      <c r="X2876" s="44">
        <f t="shared" si="231"/>
        <v>0</v>
      </c>
      <c r="Y2876" s="44">
        <f t="shared" si="232"/>
        <v>0</v>
      </c>
    </row>
    <row r="2877" spans="23:25">
      <c r="W2877" s="44">
        <f t="shared" si="230"/>
        <v>0</v>
      </c>
      <c r="X2877" s="44">
        <f t="shared" si="231"/>
        <v>0</v>
      </c>
      <c r="Y2877" s="44">
        <f t="shared" si="232"/>
        <v>0</v>
      </c>
    </row>
    <row r="2878" spans="23:25">
      <c r="W2878" s="44">
        <f t="shared" si="230"/>
        <v>0</v>
      </c>
      <c r="X2878" s="44">
        <f t="shared" si="231"/>
        <v>0</v>
      </c>
      <c r="Y2878" s="44">
        <f t="shared" si="232"/>
        <v>0</v>
      </c>
    </row>
    <row r="2879" spans="23:25">
      <c r="W2879" s="44">
        <f t="shared" si="230"/>
        <v>0</v>
      </c>
      <c r="X2879" s="44">
        <f t="shared" si="231"/>
        <v>0</v>
      </c>
      <c r="Y2879" s="44">
        <f t="shared" si="232"/>
        <v>0</v>
      </c>
    </row>
    <row r="2880" spans="23:25">
      <c r="W2880" s="44">
        <f t="shared" si="230"/>
        <v>0</v>
      </c>
      <c r="X2880" s="44">
        <f t="shared" si="231"/>
        <v>0</v>
      </c>
      <c r="Y2880" s="44">
        <f t="shared" si="232"/>
        <v>0</v>
      </c>
    </row>
    <row r="2881" spans="23:25">
      <c r="W2881" s="44">
        <f t="shared" si="230"/>
        <v>0</v>
      </c>
      <c r="X2881" s="44">
        <f t="shared" si="231"/>
        <v>0</v>
      </c>
      <c r="Y2881" s="44">
        <f t="shared" si="232"/>
        <v>0</v>
      </c>
    </row>
    <row r="2882" spans="23:25">
      <c r="W2882" s="44">
        <f t="shared" si="230"/>
        <v>0</v>
      </c>
      <c r="X2882" s="44">
        <f t="shared" si="231"/>
        <v>0</v>
      </c>
      <c r="Y2882" s="44">
        <f t="shared" si="232"/>
        <v>0</v>
      </c>
    </row>
    <row r="2883" spans="23:25">
      <c r="W2883" s="44">
        <f t="shared" si="230"/>
        <v>0</v>
      </c>
      <c r="X2883" s="44">
        <f t="shared" si="231"/>
        <v>0</v>
      </c>
      <c r="Y2883" s="44">
        <f t="shared" si="232"/>
        <v>0</v>
      </c>
    </row>
    <row r="2884" spans="23:25">
      <c r="W2884" s="44">
        <f t="shared" si="230"/>
        <v>0</v>
      </c>
      <c r="X2884" s="44">
        <f t="shared" si="231"/>
        <v>0</v>
      </c>
      <c r="Y2884" s="44">
        <f t="shared" si="232"/>
        <v>0</v>
      </c>
    </row>
    <row r="2885" spans="23:25">
      <c r="W2885" s="44">
        <f t="shared" si="230"/>
        <v>0</v>
      </c>
      <c r="X2885" s="44">
        <f t="shared" si="231"/>
        <v>0</v>
      </c>
      <c r="Y2885" s="44">
        <f t="shared" si="232"/>
        <v>0</v>
      </c>
    </row>
    <row r="2886" spans="23:25">
      <c r="W2886" s="44">
        <f t="shared" si="230"/>
        <v>0</v>
      </c>
      <c r="X2886" s="44">
        <f t="shared" si="231"/>
        <v>0</v>
      </c>
      <c r="Y2886" s="44">
        <f t="shared" si="232"/>
        <v>0</v>
      </c>
    </row>
    <row r="2887" spans="23:25">
      <c r="W2887" s="44">
        <f t="shared" si="230"/>
        <v>0</v>
      </c>
      <c r="X2887" s="44">
        <f t="shared" si="231"/>
        <v>0</v>
      </c>
      <c r="Y2887" s="44">
        <f t="shared" si="232"/>
        <v>0</v>
      </c>
    </row>
    <row r="2888" spans="23:25">
      <c r="W2888" s="44">
        <f t="shared" ref="W2888:W2951" si="233">+T2888-U2888-V2888-Z2888</f>
        <v>0</v>
      </c>
      <c r="X2888" s="44">
        <f t="shared" ref="X2888:X2951" si="234">(+O2888-U2888)*$X$1</f>
        <v>0</v>
      </c>
      <c r="Y2888" s="44">
        <f t="shared" ref="Y2888:Y2951" si="235">+W2888-X2888</f>
        <v>0</v>
      </c>
    </row>
    <row r="2889" spans="23:25">
      <c r="W2889" s="44">
        <f t="shared" si="233"/>
        <v>0</v>
      </c>
      <c r="X2889" s="44">
        <f t="shared" si="234"/>
        <v>0</v>
      </c>
      <c r="Y2889" s="44">
        <f t="shared" si="235"/>
        <v>0</v>
      </c>
    </row>
    <row r="2890" spans="23:25">
      <c r="W2890" s="44">
        <f t="shared" si="233"/>
        <v>0</v>
      </c>
      <c r="X2890" s="44">
        <f t="shared" si="234"/>
        <v>0</v>
      </c>
      <c r="Y2890" s="44">
        <f t="shared" si="235"/>
        <v>0</v>
      </c>
    </row>
    <row r="2891" spans="23:25">
      <c r="W2891" s="44">
        <f t="shared" si="233"/>
        <v>0</v>
      </c>
      <c r="X2891" s="44">
        <f t="shared" si="234"/>
        <v>0</v>
      </c>
      <c r="Y2891" s="44">
        <f t="shared" si="235"/>
        <v>0</v>
      </c>
    </row>
    <row r="2892" spans="23:25">
      <c r="W2892" s="44">
        <f t="shared" si="233"/>
        <v>0</v>
      </c>
      <c r="X2892" s="44">
        <f t="shared" si="234"/>
        <v>0</v>
      </c>
      <c r="Y2892" s="44">
        <f t="shared" si="235"/>
        <v>0</v>
      </c>
    </row>
    <row r="2893" spans="23:25">
      <c r="W2893" s="44">
        <f t="shared" si="233"/>
        <v>0</v>
      </c>
      <c r="X2893" s="44">
        <f t="shared" si="234"/>
        <v>0</v>
      </c>
      <c r="Y2893" s="44">
        <f t="shared" si="235"/>
        <v>0</v>
      </c>
    </row>
    <row r="2894" spans="23:25">
      <c r="W2894" s="44">
        <f t="shared" si="233"/>
        <v>0</v>
      </c>
      <c r="X2894" s="44">
        <f t="shared" si="234"/>
        <v>0</v>
      </c>
      <c r="Y2894" s="44">
        <f t="shared" si="235"/>
        <v>0</v>
      </c>
    </row>
    <row r="2895" spans="23:25">
      <c r="W2895" s="44">
        <f t="shared" si="233"/>
        <v>0</v>
      </c>
      <c r="X2895" s="44">
        <f t="shared" si="234"/>
        <v>0</v>
      </c>
      <c r="Y2895" s="44">
        <f t="shared" si="235"/>
        <v>0</v>
      </c>
    </row>
    <row r="2896" spans="23:25">
      <c r="W2896" s="44">
        <f t="shared" si="233"/>
        <v>0</v>
      </c>
      <c r="X2896" s="44">
        <f t="shared" si="234"/>
        <v>0</v>
      </c>
      <c r="Y2896" s="44">
        <f t="shared" si="235"/>
        <v>0</v>
      </c>
    </row>
    <row r="2897" spans="23:25">
      <c r="W2897" s="44">
        <f t="shared" si="233"/>
        <v>0</v>
      </c>
      <c r="X2897" s="44">
        <f t="shared" si="234"/>
        <v>0</v>
      </c>
      <c r="Y2897" s="44">
        <f t="shared" si="235"/>
        <v>0</v>
      </c>
    </row>
    <row r="2898" spans="23:25">
      <c r="W2898" s="44">
        <f t="shared" si="233"/>
        <v>0</v>
      </c>
      <c r="X2898" s="44">
        <f t="shared" si="234"/>
        <v>0</v>
      </c>
      <c r="Y2898" s="44">
        <f t="shared" si="235"/>
        <v>0</v>
      </c>
    </row>
    <row r="2899" spans="23:25">
      <c r="W2899" s="44">
        <f t="shared" si="233"/>
        <v>0</v>
      </c>
      <c r="X2899" s="44">
        <f t="shared" si="234"/>
        <v>0</v>
      </c>
      <c r="Y2899" s="44">
        <f t="shared" si="235"/>
        <v>0</v>
      </c>
    </row>
    <row r="2900" spans="23:25">
      <c r="W2900" s="44">
        <f t="shared" si="233"/>
        <v>0</v>
      </c>
      <c r="X2900" s="44">
        <f t="shared" si="234"/>
        <v>0</v>
      </c>
      <c r="Y2900" s="44">
        <f t="shared" si="235"/>
        <v>0</v>
      </c>
    </row>
    <row r="2901" spans="23:25">
      <c r="W2901" s="44">
        <f t="shared" si="233"/>
        <v>0</v>
      </c>
      <c r="X2901" s="44">
        <f t="shared" si="234"/>
        <v>0</v>
      </c>
      <c r="Y2901" s="44">
        <f t="shared" si="235"/>
        <v>0</v>
      </c>
    </row>
    <row r="2902" spans="23:25">
      <c r="W2902" s="44">
        <f t="shared" si="233"/>
        <v>0</v>
      </c>
      <c r="X2902" s="44">
        <f t="shared" si="234"/>
        <v>0</v>
      </c>
      <c r="Y2902" s="44">
        <f t="shared" si="235"/>
        <v>0</v>
      </c>
    </row>
    <row r="2903" spans="23:25">
      <c r="W2903" s="44">
        <f t="shared" si="233"/>
        <v>0</v>
      </c>
      <c r="X2903" s="44">
        <f t="shared" si="234"/>
        <v>0</v>
      </c>
      <c r="Y2903" s="44">
        <f t="shared" si="235"/>
        <v>0</v>
      </c>
    </row>
    <row r="2904" spans="23:25">
      <c r="W2904" s="44">
        <f t="shared" si="233"/>
        <v>0</v>
      </c>
      <c r="X2904" s="44">
        <f t="shared" si="234"/>
        <v>0</v>
      </c>
      <c r="Y2904" s="44">
        <f t="shared" si="235"/>
        <v>0</v>
      </c>
    </row>
    <row r="2905" spans="23:25">
      <c r="W2905" s="44">
        <f t="shared" si="233"/>
        <v>0</v>
      </c>
      <c r="X2905" s="44">
        <f t="shared" si="234"/>
        <v>0</v>
      </c>
      <c r="Y2905" s="44">
        <f t="shared" si="235"/>
        <v>0</v>
      </c>
    </row>
    <row r="2906" spans="23:25">
      <c r="W2906" s="44">
        <f t="shared" si="233"/>
        <v>0</v>
      </c>
      <c r="X2906" s="44">
        <f t="shared" si="234"/>
        <v>0</v>
      </c>
      <c r="Y2906" s="44">
        <f t="shared" si="235"/>
        <v>0</v>
      </c>
    </row>
    <row r="2907" spans="23:25">
      <c r="W2907" s="44">
        <f t="shared" si="233"/>
        <v>0</v>
      </c>
      <c r="X2907" s="44">
        <f t="shared" si="234"/>
        <v>0</v>
      </c>
      <c r="Y2907" s="44">
        <f t="shared" si="235"/>
        <v>0</v>
      </c>
    </row>
    <row r="2908" spans="23:25">
      <c r="W2908" s="44">
        <f t="shared" si="233"/>
        <v>0</v>
      </c>
      <c r="X2908" s="44">
        <f t="shared" si="234"/>
        <v>0</v>
      </c>
      <c r="Y2908" s="44">
        <f t="shared" si="235"/>
        <v>0</v>
      </c>
    </row>
    <row r="2909" spans="23:25">
      <c r="W2909" s="44">
        <f t="shared" si="233"/>
        <v>0</v>
      </c>
      <c r="X2909" s="44">
        <f t="shared" si="234"/>
        <v>0</v>
      </c>
      <c r="Y2909" s="44">
        <f t="shared" si="235"/>
        <v>0</v>
      </c>
    </row>
    <row r="2910" spans="23:25">
      <c r="W2910" s="44">
        <f t="shared" si="233"/>
        <v>0</v>
      </c>
      <c r="X2910" s="44">
        <f t="shared" si="234"/>
        <v>0</v>
      </c>
      <c r="Y2910" s="44">
        <f t="shared" si="235"/>
        <v>0</v>
      </c>
    </row>
    <row r="2911" spans="23:25">
      <c r="W2911" s="44">
        <f t="shared" si="233"/>
        <v>0</v>
      </c>
      <c r="X2911" s="44">
        <f t="shared" si="234"/>
        <v>0</v>
      </c>
      <c r="Y2911" s="44">
        <f t="shared" si="235"/>
        <v>0</v>
      </c>
    </row>
    <row r="2912" spans="23:25">
      <c r="W2912" s="44">
        <f t="shared" si="233"/>
        <v>0</v>
      </c>
      <c r="X2912" s="44">
        <f t="shared" si="234"/>
        <v>0</v>
      </c>
      <c r="Y2912" s="44">
        <f t="shared" si="235"/>
        <v>0</v>
      </c>
    </row>
    <row r="2913" spans="23:25">
      <c r="W2913" s="44">
        <f t="shared" si="233"/>
        <v>0</v>
      </c>
      <c r="X2913" s="44">
        <f t="shared" si="234"/>
        <v>0</v>
      </c>
      <c r="Y2913" s="44">
        <f t="shared" si="235"/>
        <v>0</v>
      </c>
    </row>
    <row r="2914" spans="23:25">
      <c r="W2914" s="44">
        <f t="shared" si="233"/>
        <v>0</v>
      </c>
      <c r="X2914" s="44">
        <f t="shared" si="234"/>
        <v>0</v>
      </c>
      <c r="Y2914" s="44">
        <f t="shared" si="235"/>
        <v>0</v>
      </c>
    </row>
    <row r="2915" spans="23:25">
      <c r="W2915" s="44">
        <f t="shared" si="233"/>
        <v>0</v>
      </c>
      <c r="X2915" s="44">
        <f t="shared" si="234"/>
        <v>0</v>
      </c>
      <c r="Y2915" s="44">
        <f t="shared" si="235"/>
        <v>0</v>
      </c>
    </row>
    <row r="2916" spans="23:25">
      <c r="W2916" s="44">
        <f t="shared" si="233"/>
        <v>0</v>
      </c>
      <c r="X2916" s="44">
        <f t="shared" si="234"/>
        <v>0</v>
      </c>
      <c r="Y2916" s="44">
        <f t="shared" si="235"/>
        <v>0</v>
      </c>
    </row>
    <row r="2917" spans="23:25">
      <c r="W2917" s="44">
        <f t="shared" si="233"/>
        <v>0</v>
      </c>
      <c r="X2917" s="44">
        <f t="shared" si="234"/>
        <v>0</v>
      </c>
      <c r="Y2917" s="44">
        <f t="shared" si="235"/>
        <v>0</v>
      </c>
    </row>
    <row r="2918" spans="23:25">
      <c r="W2918" s="44">
        <f t="shared" si="233"/>
        <v>0</v>
      </c>
      <c r="X2918" s="44">
        <f t="shared" si="234"/>
        <v>0</v>
      </c>
      <c r="Y2918" s="44">
        <f t="shared" si="235"/>
        <v>0</v>
      </c>
    </row>
    <row r="2919" spans="23:25">
      <c r="W2919" s="44">
        <f t="shared" si="233"/>
        <v>0</v>
      </c>
      <c r="X2919" s="44">
        <f t="shared" si="234"/>
        <v>0</v>
      </c>
      <c r="Y2919" s="44">
        <f t="shared" si="235"/>
        <v>0</v>
      </c>
    </row>
    <row r="2920" spans="23:25">
      <c r="W2920" s="44">
        <f t="shared" si="233"/>
        <v>0</v>
      </c>
      <c r="X2920" s="44">
        <f t="shared" si="234"/>
        <v>0</v>
      </c>
      <c r="Y2920" s="44">
        <f t="shared" si="235"/>
        <v>0</v>
      </c>
    </row>
    <row r="2921" spans="23:25">
      <c r="W2921" s="44">
        <f t="shared" si="233"/>
        <v>0</v>
      </c>
      <c r="X2921" s="44">
        <f t="shared" si="234"/>
        <v>0</v>
      </c>
      <c r="Y2921" s="44">
        <f t="shared" si="235"/>
        <v>0</v>
      </c>
    </row>
    <row r="2922" spans="23:25">
      <c r="W2922" s="44">
        <f t="shared" si="233"/>
        <v>0</v>
      </c>
      <c r="X2922" s="44">
        <f t="shared" si="234"/>
        <v>0</v>
      </c>
      <c r="Y2922" s="44">
        <f t="shared" si="235"/>
        <v>0</v>
      </c>
    </row>
    <row r="2923" spans="23:25">
      <c r="W2923" s="44">
        <f t="shared" si="233"/>
        <v>0</v>
      </c>
      <c r="X2923" s="44">
        <f t="shared" si="234"/>
        <v>0</v>
      </c>
      <c r="Y2923" s="44">
        <f t="shared" si="235"/>
        <v>0</v>
      </c>
    </row>
    <row r="2924" spans="23:25">
      <c r="W2924" s="44">
        <f t="shared" si="233"/>
        <v>0</v>
      </c>
      <c r="X2924" s="44">
        <f t="shared" si="234"/>
        <v>0</v>
      </c>
      <c r="Y2924" s="44">
        <f t="shared" si="235"/>
        <v>0</v>
      </c>
    </row>
    <row r="2925" spans="23:25">
      <c r="W2925" s="44">
        <f t="shared" si="233"/>
        <v>0</v>
      </c>
      <c r="X2925" s="44">
        <f t="shared" si="234"/>
        <v>0</v>
      </c>
      <c r="Y2925" s="44">
        <f t="shared" si="235"/>
        <v>0</v>
      </c>
    </row>
    <row r="2926" spans="23:25">
      <c r="W2926" s="44">
        <f t="shared" si="233"/>
        <v>0</v>
      </c>
      <c r="X2926" s="44">
        <f t="shared" si="234"/>
        <v>0</v>
      </c>
      <c r="Y2926" s="44">
        <f t="shared" si="235"/>
        <v>0</v>
      </c>
    </row>
    <row r="2927" spans="23:25">
      <c r="W2927" s="44">
        <f t="shared" si="233"/>
        <v>0</v>
      </c>
      <c r="X2927" s="44">
        <f t="shared" si="234"/>
        <v>0</v>
      </c>
      <c r="Y2927" s="44">
        <f t="shared" si="235"/>
        <v>0</v>
      </c>
    </row>
    <row r="2928" spans="23:25">
      <c r="W2928" s="44">
        <f t="shared" si="233"/>
        <v>0</v>
      </c>
      <c r="X2928" s="44">
        <f t="shared" si="234"/>
        <v>0</v>
      </c>
      <c r="Y2928" s="44">
        <f t="shared" si="235"/>
        <v>0</v>
      </c>
    </row>
    <row r="2929" spans="23:25">
      <c r="W2929" s="44">
        <f t="shared" si="233"/>
        <v>0</v>
      </c>
      <c r="X2929" s="44">
        <f t="shared" si="234"/>
        <v>0</v>
      </c>
      <c r="Y2929" s="44">
        <f t="shared" si="235"/>
        <v>0</v>
      </c>
    </row>
    <row r="2930" spans="23:25">
      <c r="W2930" s="44">
        <f t="shared" si="233"/>
        <v>0</v>
      </c>
      <c r="X2930" s="44">
        <f t="shared" si="234"/>
        <v>0</v>
      </c>
      <c r="Y2930" s="44">
        <f t="shared" si="235"/>
        <v>0</v>
      </c>
    </row>
    <row r="2931" spans="23:25">
      <c r="W2931" s="44">
        <f t="shared" si="233"/>
        <v>0</v>
      </c>
      <c r="X2931" s="44">
        <f t="shared" si="234"/>
        <v>0</v>
      </c>
      <c r="Y2931" s="44">
        <f t="shared" si="235"/>
        <v>0</v>
      </c>
    </row>
    <row r="2932" spans="23:25">
      <c r="W2932" s="44">
        <f t="shared" si="233"/>
        <v>0</v>
      </c>
      <c r="X2932" s="44">
        <f t="shared" si="234"/>
        <v>0</v>
      </c>
      <c r="Y2932" s="44">
        <f t="shared" si="235"/>
        <v>0</v>
      </c>
    </row>
    <row r="2933" spans="23:25">
      <c r="W2933" s="44">
        <f t="shared" si="233"/>
        <v>0</v>
      </c>
      <c r="X2933" s="44">
        <f t="shared" si="234"/>
        <v>0</v>
      </c>
      <c r="Y2933" s="44">
        <f t="shared" si="235"/>
        <v>0</v>
      </c>
    </row>
    <row r="2934" spans="23:25">
      <c r="W2934" s="44">
        <f t="shared" si="233"/>
        <v>0</v>
      </c>
      <c r="X2934" s="44">
        <f t="shared" si="234"/>
        <v>0</v>
      </c>
      <c r="Y2934" s="44">
        <f t="shared" si="235"/>
        <v>0</v>
      </c>
    </row>
    <row r="2935" spans="23:25">
      <c r="W2935" s="44">
        <f t="shared" si="233"/>
        <v>0</v>
      </c>
      <c r="X2935" s="44">
        <f t="shared" si="234"/>
        <v>0</v>
      </c>
      <c r="Y2935" s="44">
        <f t="shared" si="235"/>
        <v>0</v>
      </c>
    </row>
    <row r="2936" spans="23:25">
      <c r="W2936" s="44">
        <f t="shared" si="233"/>
        <v>0</v>
      </c>
      <c r="X2936" s="44">
        <f t="shared" si="234"/>
        <v>0</v>
      </c>
      <c r="Y2936" s="44">
        <f t="shared" si="235"/>
        <v>0</v>
      </c>
    </row>
    <row r="2937" spans="23:25">
      <c r="W2937" s="44">
        <f t="shared" si="233"/>
        <v>0</v>
      </c>
      <c r="X2937" s="44">
        <f t="shared" si="234"/>
        <v>0</v>
      </c>
      <c r="Y2937" s="44">
        <f t="shared" si="235"/>
        <v>0</v>
      </c>
    </row>
    <row r="2938" spans="23:25">
      <c r="W2938" s="44">
        <f t="shared" si="233"/>
        <v>0</v>
      </c>
      <c r="X2938" s="44">
        <f t="shared" si="234"/>
        <v>0</v>
      </c>
      <c r="Y2938" s="44">
        <f t="shared" si="235"/>
        <v>0</v>
      </c>
    </row>
    <row r="2939" spans="23:25">
      <c r="W2939" s="44">
        <f t="shared" si="233"/>
        <v>0</v>
      </c>
      <c r="X2939" s="44">
        <f t="shared" si="234"/>
        <v>0</v>
      </c>
      <c r="Y2939" s="44">
        <f t="shared" si="235"/>
        <v>0</v>
      </c>
    </row>
    <row r="2940" spans="23:25">
      <c r="W2940" s="44">
        <f t="shared" si="233"/>
        <v>0</v>
      </c>
      <c r="X2940" s="44">
        <f t="shared" si="234"/>
        <v>0</v>
      </c>
      <c r="Y2940" s="44">
        <f t="shared" si="235"/>
        <v>0</v>
      </c>
    </row>
    <row r="2941" spans="23:25">
      <c r="W2941" s="44">
        <f t="shared" si="233"/>
        <v>0</v>
      </c>
      <c r="X2941" s="44">
        <f t="shared" si="234"/>
        <v>0</v>
      </c>
      <c r="Y2941" s="44">
        <f t="shared" si="235"/>
        <v>0</v>
      </c>
    </row>
    <row r="2942" spans="23:25">
      <c r="W2942" s="44">
        <f t="shared" si="233"/>
        <v>0</v>
      </c>
      <c r="X2942" s="44">
        <f t="shared" si="234"/>
        <v>0</v>
      </c>
      <c r="Y2942" s="44">
        <f t="shared" si="235"/>
        <v>0</v>
      </c>
    </row>
    <row r="2943" spans="23:25">
      <c r="W2943" s="44">
        <f t="shared" si="233"/>
        <v>0</v>
      </c>
      <c r="X2943" s="44">
        <f t="shared" si="234"/>
        <v>0</v>
      </c>
      <c r="Y2943" s="44">
        <f t="shared" si="235"/>
        <v>0</v>
      </c>
    </row>
    <row r="2944" spans="23:25">
      <c r="W2944" s="44">
        <f t="shared" si="233"/>
        <v>0</v>
      </c>
      <c r="X2944" s="44">
        <f t="shared" si="234"/>
        <v>0</v>
      </c>
      <c r="Y2944" s="44">
        <f t="shared" si="235"/>
        <v>0</v>
      </c>
    </row>
    <row r="2945" spans="1:25">
      <c r="W2945" s="44">
        <f t="shared" si="233"/>
        <v>0</v>
      </c>
      <c r="X2945" s="44">
        <f t="shared" si="234"/>
        <v>0</v>
      </c>
      <c r="Y2945" s="44">
        <f t="shared" si="235"/>
        <v>0</v>
      </c>
    </row>
    <row r="2946" spans="1:25">
      <c r="W2946" s="44">
        <f t="shared" si="233"/>
        <v>0</v>
      </c>
      <c r="X2946" s="44">
        <f t="shared" si="234"/>
        <v>0</v>
      </c>
      <c r="Y2946" s="44">
        <f t="shared" si="235"/>
        <v>0</v>
      </c>
    </row>
    <row r="2947" spans="1:25">
      <c r="W2947" s="44">
        <f t="shared" si="233"/>
        <v>0</v>
      </c>
      <c r="X2947" s="44">
        <f t="shared" si="234"/>
        <v>0</v>
      </c>
      <c r="Y2947" s="44">
        <f t="shared" si="235"/>
        <v>0</v>
      </c>
    </row>
    <row r="2948" spans="1:25">
      <c r="W2948" s="44">
        <f t="shared" si="233"/>
        <v>0</v>
      </c>
      <c r="X2948" s="44">
        <f t="shared" si="234"/>
        <v>0</v>
      </c>
      <c r="Y2948" s="44">
        <f t="shared" si="235"/>
        <v>0</v>
      </c>
    </row>
    <row r="2949" spans="1:25">
      <c r="W2949" s="44">
        <f t="shared" si="233"/>
        <v>0</v>
      </c>
      <c r="X2949" s="44">
        <f t="shared" si="234"/>
        <v>0</v>
      </c>
      <c r="Y2949" s="44">
        <f t="shared" si="235"/>
        <v>0</v>
      </c>
    </row>
    <row r="2950" spans="1:25">
      <c r="W2950" s="44">
        <f t="shared" si="233"/>
        <v>0</v>
      </c>
      <c r="X2950" s="44">
        <f t="shared" si="234"/>
        <v>0</v>
      </c>
      <c r="Y2950" s="44">
        <f t="shared" si="235"/>
        <v>0</v>
      </c>
    </row>
    <row r="2951" spans="1:25">
      <c r="W2951" s="44">
        <f t="shared" si="233"/>
        <v>0</v>
      </c>
      <c r="X2951" s="44">
        <f t="shared" si="234"/>
        <v>0</v>
      </c>
      <c r="Y2951" s="44">
        <f t="shared" si="235"/>
        <v>0</v>
      </c>
    </row>
    <row r="2952" spans="1:25">
      <c r="A2952" s="45" t="s">
        <v>29</v>
      </c>
      <c r="W2952" s="44">
        <f t="shared" ref="W2952:W3015" si="236">+T2952-U2952-V2952-Z2952</f>
        <v>0</v>
      </c>
      <c r="X2952" s="44">
        <f t="shared" ref="X2952:X3015" si="237">(+O2952-U2952)*$X$1</f>
        <v>0</v>
      </c>
      <c r="Y2952" s="44">
        <f t="shared" ref="Y2952:Y3015" si="238">+W2952-X2952</f>
        <v>0</v>
      </c>
    </row>
    <row r="2953" spans="1:25">
      <c r="A2953" s="45" t="s">
        <v>30</v>
      </c>
      <c r="W2953" s="44">
        <f t="shared" si="236"/>
        <v>0</v>
      </c>
      <c r="X2953" s="44">
        <f t="shared" si="237"/>
        <v>0</v>
      </c>
      <c r="Y2953" s="44">
        <f t="shared" si="238"/>
        <v>0</v>
      </c>
    </row>
    <row r="2954" spans="1:25">
      <c r="A2954" s="45" t="s">
        <v>31</v>
      </c>
      <c r="W2954" s="44">
        <f t="shared" si="236"/>
        <v>0</v>
      </c>
      <c r="X2954" s="44">
        <f t="shared" si="237"/>
        <v>0</v>
      </c>
      <c r="Y2954" s="44">
        <f t="shared" si="238"/>
        <v>0</v>
      </c>
    </row>
    <row r="2955" spans="1:25">
      <c r="A2955" s="45" t="s">
        <v>32</v>
      </c>
      <c r="W2955" s="44">
        <f t="shared" si="236"/>
        <v>0</v>
      </c>
      <c r="X2955" s="44">
        <f t="shared" si="237"/>
        <v>0</v>
      </c>
      <c r="Y2955" s="44">
        <f t="shared" si="238"/>
        <v>0</v>
      </c>
    </row>
    <row r="2956" spans="1:25">
      <c r="A2956" s="45" t="s">
        <v>33</v>
      </c>
      <c r="W2956" s="44">
        <f t="shared" si="236"/>
        <v>0</v>
      </c>
      <c r="X2956" s="44">
        <f t="shared" si="237"/>
        <v>0</v>
      </c>
      <c r="Y2956" s="44">
        <f t="shared" si="238"/>
        <v>0</v>
      </c>
    </row>
    <row r="2957" spans="1:25">
      <c r="A2957" s="45" t="s">
        <v>34</v>
      </c>
      <c r="W2957" s="44">
        <f t="shared" si="236"/>
        <v>0</v>
      </c>
      <c r="X2957" s="44">
        <f t="shared" si="237"/>
        <v>0</v>
      </c>
      <c r="Y2957" s="44">
        <f t="shared" si="238"/>
        <v>0</v>
      </c>
    </row>
    <row r="2958" spans="1:25">
      <c r="A2958" s="45" t="s">
        <v>35</v>
      </c>
      <c r="W2958" s="44">
        <f t="shared" si="236"/>
        <v>0</v>
      </c>
      <c r="X2958" s="44">
        <f t="shared" si="237"/>
        <v>0</v>
      </c>
      <c r="Y2958" s="44">
        <f t="shared" si="238"/>
        <v>0</v>
      </c>
    </row>
    <row r="2959" spans="1:25">
      <c r="A2959" s="45" t="s">
        <v>36</v>
      </c>
      <c r="W2959" s="44">
        <f t="shared" si="236"/>
        <v>0</v>
      </c>
      <c r="X2959" s="44">
        <f t="shared" si="237"/>
        <v>0</v>
      </c>
      <c r="Y2959" s="44">
        <f t="shared" si="238"/>
        <v>0</v>
      </c>
    </row>
    <row r="2960" spans="1:25">
      <c r="A2960" s="45" t="s">
        <v>37</v>
      </c>
      <c r="W2960" s="44">
        <f t="shared" si="236"/>
        <v>0</v>
      </c>
      <c r="X2960" s="44">
        <f t="shared" si="237"/>
        <v>0</v>
      </c>
      <c r="Y2960" s="44">
        <f t="shared" si="238"/>
        <v>0</v>
      </c>
    </row>
    <row r="2961" spans="1:25">
      <c r="A2961" s="45" t="s">
        <v>38</v>
      </c>
      <c r="W2961" s="44">
        <f t="shared" si="236"/>
        <v>0</v>
      </c>
      <c r="X2961" s="44">
        <f t="shared" si="237"/>
        <v>0</v>
      </c>
      <c r="Y2961" s="44">
        <f t="shared" si="238"/>
        <v>0</v>
      </c>
    </row>
    <row r="2962" spans="1:25">
      <c r="A2962" s="45" t="s">
        <v>39</v>
      </c>
      <c r="W2962" s="44">
        <f t="shared" si="236"/>
        <v>0</v>
      </c>
      <c r="X2962" s="44">
        <f t="shared" si="237"/>
        <v>0</v>
      </c>
      <c r="Y2962" s="44">
        <f t="shared" si="238"/>
        <v>0</v>
      </c>
    </row>
    <row r="2963" spans="1:25">
      <c r="A2963" s="45" t="s">
        <v>40</v>
      </c>
      <c r="W2963" s="44">
        <f t="shared" si="236"/>
        <v>0</v>
      </c>
      <c r="X2963" s="44">
        <f t="shared" si="237"/>
        <v>0</v>
      </c>
      <c r="Y2963" s="44">
        <f t="shared" si="238"/>
        <v>0</v>
      </c>
    </row>
    <row r="2964" spans="1:25">
      <c r="A2964" s="45" t="s">
        <v>41</v>
      </c>
      <c r="W2964" s="44">
        <f t="shared" si="236"/>
        <v>0</v>
      </c>
      <c r="X2964" s="44">
        <f t="shared" si="237"/>
        <v>0</v>
      </c>
      <c r="Y2964" s="44">
        <f t="shared" si="238"/>
        <v>0</v>
      </c>
    </row>
    <row r="2965" spans="1:25">
      <c r="A2965" s="45" t="s">
        <v>42</v>
      </c>
      <c r="W2965" s="44">
        <f t="shared" si="236"/>
        <v>0</v>
      </c>
      <c r="X2965" s="44">
        <f t="shared" si="237"/>
        <v>0</v>
      </c>
      <c r="Y2965" s="44">
        <f t="shared" si="238"/>
        <v>0</v>
      </c>
    </row>
    <row r="2966" spans="1:25">
      <c r="A2966" s="45" t="s">
        <v>43</v>
      </c>
      <c r="W2966" s="44">
        <f t="shared" si="236"/>
        <v>0</v>
      </c>
      <c r="X2966" s="44">
        <f t="shared" si="237"/>
        <v>0</v>
      </c>
      <c r="Y2966" s="44">
        <f t="shared" si="238"/>
        <v>0</v>
      </c>
    </row>
    <row r="2967" spans="1:25">
      <c r="A2967" s="45" t="s">
        <v>44</v>
      </c>
      <c r="W2967" s="44">
        <f t="shared" si="236"/>
        <v>0</v>
      </c>
      <c r="X2967" s="44">
        <f t="shared" si="237"/>
        <v>0</v>
      </c>
      <c r="Y2967" s="44">
        <f t="shared" si="238"/>
        <v>0</v>
      </c>
    </row>
    <row r="2968" spans="1:25">
      <c r="A2968" s="45" t="s">
        <v>45</v>
      </c>
      <c r="W2968" s="44">
        <f t="shared" si="236"/>
        <v>0</v>
      </c>
      <c r="X2968" s="44">
        <f t="shared" si="237"/>
        <v>0</v>
      </c>
      <c r="Y2968" s="44">
        <f t="shared" si="238"/>
        <v>0</v>
      </c>
    </row>
    <row r="2969" spans="1:25">
      <c r="A2969" s="45" t="s">
        <v>46</v>
      </c>
      <c r="W2969" s="44">
        <f t="shared" si="236"/>
        <v>0</v>
      </c>
      <c r="X2969" s="44">
        <f t="shared" si="237"/>
        <v>0</v>
      </c>
      <c r="Y2969" s="44">
        <f t="shared" si="238"/>
        <v>0</v>
      </c>
    </row>
    <row r="2970" spans="1:25">
      <c r="A2970" s="45" t="s">
        <v>47</v>
      </c>
      <c r="W2970" s="44">
        <f t="shared" si="236"/>
        <v>0</v>
      </c>
      <c r="X2970" s="44">
        <f t="shared" si="237"/>
        <v>0</v>
      </c>
      <c r="Y2970" s="44">
        <f t="shared" si="238"/>
        <v>0</v>
      </c>
    </row>
    <row r="2971" spans="1:25">
      <c r="A2971" s="45" t="s">
        <v>48</v>
      </c>
      <c r="W2971" s="44">
        <f t="shared" si="236"/>
        <v>0</v>
      </c>
      <c r="X2971" s="44">
        <f t="shared" si="237"/>
        <v>0</v>
      </c>
      <c r="Y2971" s="44">
        <f t="shared" si="238"/>
        <v>0</v>
      </c>
    </row>
    <row r="2972" spans="1:25">
      <c r="A2972" s="45" t="s">
        <v>49</v>
      </c>
      <c r="W2972" s="44">
        <f t="shared" si="236"/>
        <v>0</v>
      </c>
      <c r="X2972" s="44">
        <f t="shared" si="237"/>
        <v>0</v>
      </c>
      <c r="Y2972" s="44">
        <f t="shared" si="238"/>
        <v>0</v>
      </c>
    </row>
    <row r="2973" spans="1:25">
      <c r="A2973" s="45" t="s">
        <v>50</v>
      </c>
      <c r="W2973" s="44">
        <f t="shared" si="236"/>
        <v>0</v>
      </c>
      <c r="X2973" s="44">
        <f t="shared" si="237"/>
        <v>0</v>
      </c>
      <c r="Y2973" s="44">
        <f t="shared" si="238"/>
        <v>0</v>
      </c>
    </row>
    <row r="2974" spans="1:25">
      <c r="A2974" s="45" t="s">
        <v>51</v>
      </c>
      <c r="W2974" s="44">
        <f t="shared" si="236"/>
        <v>0</v>
      </c>
      <c r="X2974" s="44">
        <f t="shared" si="237"/>
        <v>0</v>
      </c>
      <c r="Y2974" s="44">
        <f t="shared" si="238"/>
        <v>0</v>
      </c>
    </row>
    <row r="2975" spans="1:25">
      <c r="A2975" s="45" t="s">
        <v>52</v>
      </c>
      <c r="W2975" s="44">
        <f t="shared" si="236"/>
        <v>0</v>
      </c>
      <c r="X2975" s="44">
        <f t="shared" si="237"/>
        <v>0</v>
      </c>
      <c r="Y2975" s="44">
        <f t="shared" si="238"/>
        <v>0</v>
      </c>
    </row>
    <row r="2976" spans="1:25">
      <c r="A2976" s="45" t="s">
        <v>53</v>
      </c>
      <c r="W2976" s="44">
        <f t="shared" si="236"/>
        <v>0</v>
      </c>
      <c r="X2976" s="44">
        <f t="shared" si="237"/>
        <v>0</v>
      </c>
      <c r="Y2976" s="44">
        <f t="shared" si="238"/>
        <v>0</v>
      </c>
    </row>
    <row r="2977" spans="1:25">
      <c r="A2977" s="45" t="s">
        <v>54</v>
      </c>
      <c r="W2977" s="44">
        <f t="shared" si="236"/>
        <v>0</v>
      </c>
      <c r="X2977" s="44">
        <f t="shared" si="237"/>
        <v>0</v>
      </c>
      <c r="Y2977" s="44">
        <f t="shared" si="238"/>
        <v>0</v>
      </c>
    </row>
    <row r="2978" spans="1:25">
      <c r="A2978" s="45" t="s">
        <v>55</v>
      </c>
      <c r="W2978" s="44">
        <f t="shared" si="236"/>
        <v>0</v>
      </c>
      <c r="X2978" s="44">
        <f t="shared" si="237"/>
        <v>0</v>
      </c>
      <c r="Y2978" s="44">
        <f t="shared" si="238"/>
        <v>0</v>
      </c>
    </row>
    <row r="2979" spans="1:25">
      <c r="A2979" s="45" t="s">
        <v>56</v>
      </c>
      <c r="W2979" s="44">
        <f t="shared" si="236"/>
        <v>0</v>
      </c>
      <c r="X2979" s="44">
        <f t="shared" si="237"/>
        <v>0</v>
      </c>
      <c r="Y2979" s="44">
        <f t="shared" si="238"/>
        <v>0</v>
      </c>
    </row>
    <row r="2980" spans="1:25">
      <c r="A2980" s="45" t="s">
        <v>57</v>
      </c>
      <c r="W2980" s="44">
        <f t="shared" si="236"/>
        <v>0</v>
      </c>
      <c r="X2980" s="44">
        <f t="shared" si="237"/>
        <v>0</v>
      </c>
      <c r="Y2980" s="44">
        <f t="shared" si="238"/>
        <v>0</v>
      </c>
    </row>
    <row r="2981" spans="1:25">
      <c r="A2981" s="45" t="s">
        <v>58</v>
      </c>
      <c r="W2981" s="44">
        <f t="shared" si="236"/>
        <v>0</v>
      </c>
      <c r="X2981" s="44">
        <f t="shared" si="237"/>
        <v>0</v>
      </c>
      <c r="Y2981" s="44">
        <f t="shared" si="238"/>
        <v>0</v>
      </c>
    </row>
    <row r="2982" spans="1:25">
      <c r="A2982" s="45" t="s">
        <v>59</v>
      </c>
      <c r="W2982" s="44">
        <f t="shared" si="236"/>
        <v>0</v>
      </c>
      <c r="X2982" s="44">
        <f t="shared" si="237"/>
        <v>0</v>
      </c>
      <c r="Y2982" s="44">
        <f t="shared" si="238"/>
        <v>0</v>
      </c>
    </row>
    <row r="2983" spans="1:25">
      <c r="A2983" s="45" t="s">
        <v>60</v>
      </c>
      <c r="W2983" s="44">
        <f t="shared" si="236"/>
        <v>0</v>
      </c>
      <c r="X2983" s="44">
        <f t="shared" si="237"/>
        <v>0</v>
      </c>
      <c r="Y2983" s="44">
        <f t="shared" si="238"/>
        <v>0</v>
      </c>
    </row>
    <row r="2984" spans="1:25">
      <c r="A2984" s="45" t="s">
        <v>61</v>
      </c>
      <c r="W2984" s="44">
        <f t="shared" si="236"/>
        <v>0</v>
      </c>
      <c r="X2984" s="44">
        <f t="shared" si="237"/>
        <v>0</v>
      </c>
      <c r="Y2984" s="44">
        <f t="shared" si="238"/>
        <v>0</v>
      </c>
    </row>
    <row r="2985" spans="1:25">
      <c r="A2985" s="45" t="s">
        <v>62</v>
      </c>
      <c r="W2985" s="44">
        <f t="shared" si="236"/>
        <v>0</v>
      </c>
      <c r="X2985" s="44">
        <f t="shared" si="237"/>
        <v>0</v>
      </c>
      <c r="Y2985" s="44">
        <f t="shared" si="238"/>
        <v>0</v>
      </c>
    </row>
    <row r="2986" spans="1:25">
      <c r="A2986" s="45" t="s">
        <v>63</v>
      </c>
      <c r="W2986" s="44">
        <f t="shared" si="236"/>
        <v>0</v>
      </c>
      <c r="X2986" s="44">
        <f t="shared" si="237"/>
        <v>0</v>
      </c>
      <c r="Y2986" s="44">
        <f t="shared" si="238"/>
        <v>0</v>
      </c>
    </row>
    <row r="2987" spans="1:25">
      <c r="A2987" s="45" t="s">
        <v>64</v>
      </c>
      <c r="W2987" s="44">
        <f t="shared" si="236"/>
        <v>0</v>
      </c>
      <c r="X2987" s="44">
        <f t="shared" si="237"/>
        <v>0</v>
      </c>
      <c r="Y2987" s="44">
        <f t="shared" si="238"/>
        <v>0</v>
      </c>
    </row>
    <row r="2988" spans="1:25">
      <c r="A2988" s="45" t="s">
        <v>65</v>
      </c>
      <c r="W2988" s="44">
        <f t="shared" si="236"/>
        <v>0</v>
      </c>
      <c r="X2988" s="44">
        <f t="shared" si="237"/>
        <v>0</v>
      </c>
      <c r="Y2988" s="44">
        <f t="shared" si="238"/>
        <v>0</v>
      </c>
    </row>
    <row r="2989" spans="1:25">
      <c r="A2989" s="45" t="s">
        <v>66</v>
      </c>
      <c r="W2989" s="44">
        <f t="shared" si="236"/>
        <v>0</v>
      </c>
      <c r="X2989" s="44">
        <f t="shared" si="237"/>
        <v>0</v>
      </c>
      <c r="Y2989" s="44">
        <f t="shared" si="238"/>
        <v>0</v>
      </c>
    </row>
    <row r="2990" spans="1:25">
      <c r="A2990" s="45" t="s">
        <v>67</v>
      </c>
      <c r="W2990" s="44">
        <f t="shared" si="236"/>
        <v>0</v>
      </c>
      <c r="X2990" s="44">
        <f t="shared" si="237"/>
        <v>0</v>
      </c>
      <c r="Y2990" s="44">
        <f t="shared" si="238"/>
        <v>0</v>
      </c>
    </row>
    <row r="2991" spans="1:25">
      <c r="A2991" s="45" t="s">
        <v>68</v>
      </c>
      <c r="W2991" s="44">
        <f t="shared" si="236"/>
        <v>0</v>
      </c>
      <c r="X2991" s="44">
        <f t="shared" si="237"/>
        <v>0</v>
      </c>
      <c r="Y2991" s="44">
        <f t="shared" si="238"/>
        <v>0</v>
      </c>
    </row>
    <row r="2992" spans="1:25">
      <c r="A2992" s="45" t="s">
        <v>69</v>
      </c>
      <c r="W2992" s="44">
        <f t="shared" si="236"/>
        <v>0</v>
      </c>
      <c r="X2992" s="44">
        <f t="shared" si="237"/>
        <v>0</v>
      </c>
      <c r="Y2992" s="44">
        <f t="shared" si="238"/>
        <v>0</v>
      </c>
    </row>
    <row r="2993" spans="1:25">
      <c r="A2993" s="45" t="s">
        <v>70</v>
      </c>
      <c r="W2993" s="44">
        <f t="shared" si="236"/>
        <v>0</v>
      </c>
      <c r="X2993" s="44">
        <f t="shared" si="237"/>
        <v>0</v>
      </c>
      <c r="Y2993" s="44">
        <f t="shared" si="238"/>
        <v>0</v>
      </c>
    </row>
    <row r="2994" spans="1:25">
      <c r="A2994" s="45" t="s">
        <v>71</v>
      </c>
      <c r="W2994" s="44">
        <f t="shared" si="236"/>
        <v>0</v>
      </c>
      <c r="X2994" s="44">
        <f t="shared" si="237"/>
        <v>0</v>
      </c>
      <c r="Y2994" s="44">
        <f t="shared" si="238"/>
        <v>0</v>
      </c>
    </row>
    <row r="2995" spans="1:25">
      <c r="A2995" s="45" t="s">
        <v>72</v>
      </c>
      <c r="W2995" s="44">
        <f t="shared" si="236"/>
        <v>0</v>
      </c>
      <c r="X2995" s="44">
        <f t="shared" si="237"/>
        <v>0</v>
      </c>
      <c r="Y2995" s="44">
        <f t="shared" si="238"/>
        <v>0</v>
      </c>
    </row>
    <row r="2996" spans="1:25">
      <c r="A2996" s="45" t="s">
        <v>73</v>
      </c>
      <c r="W2996" s="44">
        <f t="shared" si="236"/>
        <v>0</v>
      </c>
      <c r="X2996" s="44">
        <f t="shared" si="237"/>
        <v>0</v>
      </c>
      <c r="Y2996" s="44">
        <f t="shared" si="238"/>
        <v>0</v>
      </c>
    </row>
    <row r="2997" spans="1:25">
      <c r="A2997" s="45" t="s">
        <v>74</v>
      </c>
      <c r="W2997" s="44">
        <f t="shared" si="236"/>
        <v>0</v>
      </c>
      <c r="X2997" s="44">
        <f t="shared" si="237"/>
        <v>0</v>
      </c>
      <c r="Y2997" s="44">
        <f t="shared" si="238"/>
        <v>0</v>
      </c>
    </row>
    <row r="2998" spans="1:25">
      <c r="A2998" s="45" t="s">
        <v>75</v>
      </c>
      <c r="W2998" s="44">
        <f t="shared" si="236"/>
        <v>0</v>
      </c>
      <c r="X2998" s="44">
        <f t="shared" si="237"/>
        <v>0</v>
      </c>
      <c r="Y2998" s="44">
        <f t="shared" si="238"/>
        <v>0</v>
      </c>
    </row>
    <row r="2999" spans="1:25">
      <c r="A2999" s="45" t="s">
        <v>76</v>
      </c>
      <c r="W2999" s="44">
        <f t="shared" si="236"/>
        <v>0</v>
      </c>
      <c r="X2999" s="44">
        <f t="shared" si="237"/>
        <v>0</v>
      </c>
      <c r="Y2999" s="44">
        <f t="shared" si="238"/>
        <v>0</v>
      </c>
    </row>
    <row r="3000" spans="1:25">
      <c r="A3000" s="45" t="s">
        <v>77</v>
      </c>
      <c r="W3000" s="44">
        <f t="shared" si="236"/>
        <v>0</v>
      </c>
      <c r="X3000" s="44">
        <f t="shared" si="237"/>
        <v>0</v>
      </c>
      <c r="Y3000" s="44">
        <f t="shared" si="238"/>
        <v>0</v>
      </c>
    </row>
    <row r="3001" spans="1:25">
      <c r="A3001" s="45" t="s">
        <v>78</v>
      </c>
      <c r="W3001" s="44">
        <f t="shared" si="236"/>
        <v>0</v>
      </c>
      <c r="X3001" s="44">
        <f t="shared" si="237"/>
        <v>0</v>
      </c>
      <c r="Y3001" s="44">
        <f t="shared" si="238"/>
        <v>0</v>
      </c>
    </row>
    <row r="3002" spans="1:25">
      <c r="A3002" s="45" t="s">
        <v>79</v>
      </c>
      <c r="W3002" s="44">
        <f t="shared" si="236"/>
        <v>0</v>
      </c>
      <c r="X3002" s="44">
        <f t="shared" si="237"/>
        <v>0</v>
      </c>
      <c r="Y3002" s="44">
        <f t="shared" si="238"/>
        <v>0</v>
      </c>
    </row>
    <row r="3003" spans="1:25">
      <c r="A3003" s="45" t="s">
        <v>80</v>
      </c>
      <c r="W3003" s="44">
        <f t="shared" si="236"/>
        <v>0</v>
      </c>
      <c r="X3003" s="44">
        <f t="shared" si="237"/>
        <v>0</v>
      </c>
      <c r="Y3003" s="44">
        <f t="shared" si="238"/>
        <v>0</v>
      </c>
    </row>
    <row r="3004" spans="1:25">
      <c r="A3004" s="45" t="s">
        <v>81</v>
      </c>
      <c r="W3004" s="44">
        <f t="shared" si="236"/>
        <v>0</v>
      </c>
      <c r="X3004" s="44">
        <f t="shared" si="237"/>
        <v>0</v>
      </c>
      <c r="Y3004" s="44">
        <f t="shared" si="238"/>
        <v>0</v>
      </c>
    </row>
    <row r="3005" spans="1:25">
      <c r="W3005" s="44">
        <f t="shared" si="236"/>
        <v>0</v>
      </c>
      <c r="X3005" s="44">
        <f t="shared" si="237"/>
        <v>0</v>
      </c>
      <c r="Y3005" s="44">
        <f t="shared" si="238"/>
        <v>0</v>
      </c>
    </row>
    <row r="3006" spans="1:25">
      <c r="W3006" s="44">
        <f t="shared" si="236"/>
        <v>0</v>
      </c>
      <c r="X3006" s="44">
        <f t="shared" si="237"/>
        <v>0</v>
      </c>
      <c r="Y3006" s="44">
        <f t="shared" si="238"/>
        <v>0</v>
      </c>
    </row>
    <row r="3007" spans="1:25">
      <c r="W3007" s="44">
        <f t="shared" si="236"/>
        <v>0</v>
      </c>
      <c r="X3007" s="44">
        <f t="shared" si="237"/>
        <v>0</v>
      </c>
      <c r="Y3007" s="44">
        <f t="shared" si="238"/>
        <v>0</v>
      </c>
    </row>
    <row r="3008" spans="1:25">
      <c r="W3008" s="44">
        <f t="shared" si="236"/>
        <v>0</v>
      </c>
      <c r="X3008" s="44">
        <f t="shared" si="237"/>
        <v>0</v>
      </c>
      <c r="Y3008" s="44">
        <f t="shared" si="238"/>
        <v>0</v>
      </c>
    </row>
    <row r="3009" spans="23:25">
      <c r="W3009" s="44">
        <f t="shared" si="236"/>
        <v>0</v>
      </c>
      <c r="X3009" s="44">
        <f t="shared" si="237"/>
        <v>0</v>
      </c>
      <c r="Y3009" s="44">
        <f t="shared" si="238"/>
        <v>0</v>
      </c>
    </row>
    <row r="3010" spans="23:25">
      <c r="W3010" s="44">
        <f t="shared" si="236"/>
        <v>0</v>
      </c>
      <c r="X3010" s="44">
        <f t="shared" si="237"/>
        <v>0</v>
      </c>
      <c r="Y3010" s="44">
        <f t="shared" si="238"/>
        <v>0</v>
      </c>
    </row>
    <row r="3011" spans="23:25">
      <c r="W3011" s="44">
        <f t="shared" si="236"/>
        <v>0</v>
      </c>
      <c r="X3011" s="44">
        <f t="shared" si="237"/>
        <v>0</v>
      </c>
      <c r="Y3011" s="44">
        <f t="shared" si="238"/>
        <v>0</v>
      </c>
    </row>
    <row r="3012" spans="23:25">
      <c r="W3012" s="44">
        <f t="shared" si="236"/>
        <v>0</v>
      </c>
      <c r="X3012" s="44">
        <f t="shared" si="237"/>
        <v>0</v>
      </c>
      <c r="Y3012" s="44">
        <f t="shared" si="238"/>
        <v>0</v>
      </c>
    </row>
    <row r="3013" spans="23:25">
      <c r="W3013" s="44">
        <f t="shared" si="236"/>
        <v>0</v>
      </c>
      <c r="X3013" s="44">
        <f t="shared" si="237"/>
        <v>0</v>
      </c>
      <c r="Y3013" s="44">
        <f t="shared" si="238"/>
        <v>0</v>
      </c>
    </row>
    <row r="3014" spans="23:25">
      <c r="W3014" s="44">
        <f t="shared" si="236"/>
        <v>0</v>
      </c>
      <c r="X3014" s="44">
        <f t="shared" si="237"/>
        <v>0</v>
      </c>
      <c r="Y3014" s="44">
        <f t="shared" si="238"/>
        <v>0</v>
      </c>
    </row>
    <row r="3015" spans="23:25">
      <c r="W3015" s="44">
        <f t="shared" si="236"/>
        <v>0</v>
      </c>
      <c r="X3015" s="44">
        <f t="shared" si="237"/>
        <v>0</v>
      </c>
      <c r="Y3015" s="44">
        <f t="shared" si="238"/>
        <v>0</v>
      </c>
    </row>
    <row r="3016" spans="23:25">
      <c r="W3016" s="44">
        <f t="shared" ref="W3016:W3079" si="239">+T3016-U3016-V3016-Z3016</f>
        <v>0</v>
      </c>
      <c r="X3016" s="44">
        <f t="shared" ref="X3016:X3079" si="240">(+O3016-U3016)*$X$1</f>
        <v>0</v>
      </c>
      <c r="Y3016" s="44">
        <f t="shared" ref="Y3016:Y3079" si="241">+W3016-X3016</f>
        <v>0</v>
      </c>
    </row>
    <row r="3017" spans="23:25">
      <c r="W3017" s="44">
        <f t="shared" si="239"/>
        <v>0</v>
      </c>
      <c r="X3017" s="44">
        <f t="shared" si="240"/>
        <v>0</v>
      </c>
      <c r="Y3017" s="44">
        <f t="shared" si="241"/>
        <v>0</v>
      </c>
    </row>
    <row r="3018" spans="23:25">
      <c r="W3018" s="44">
        <f t="shared" si="239"/>
        <v>0</v>
      </c>
      <c r="X3018" s="44">
        <f t="shared" si="240"/>
        <v>0</v>
      </c>
      <c r="Y3018" s="44">
        <f t="shared" si="241"/>
        <v>0</v>
      </c>
    </row>
    <row r="3019" spans="23:25">
      <c r="W3019" s="44">
        <f t="shared" si="239"/>
        <v>0</v>
      </c>
      <c r="X3019" s="44">
        <f t="shared" si="240"/>
        <v>0</v>
      </c>
      <c r="Y3019" s="44">
        <f t="shared" si="241"/>
        <v>0</v>
      </c>
    </row>
    <row r="3020" spans="23:25">
      <c r="W3020" s="44">
        <f t="shared" si="239"/>
        <v>0</v>
      </c>
      <c r="X3020" s="44">
        <f t="shared" si="240"/>
        <v>0</v>
      </c>
      <c r="Y3020" s="44">
        <f t="shared" si="241"/>
        <v>0</v>
      </c>
    </row>
    <row r="3021" spans="23:25">
      <c r="W3021" s="44">
        <f t="shared" si="239"/>
        <v>0</v>
      </c>
      <c r="X3021" s="44">
        <f t="shared" si="240"/>
        <v>0</v>
      </c>
      <c r="Y3021" s="44">
        <f t="shared" si="241"/>
        <v>0</v>
      </c>
    </row>
    <row r="3022" spans="23:25">
      <c r="W3022" s="44">
        <f t="shared" si="239"/>
        <v>0</v>
      </c>
      <c r="X3022" s="44">
        <f t="shared" si="240"/>
        <v>0</v>
      </c>
      <c r="Y3022" s="44">
        <f t="shared" si="241"/>
        <v>0</v>
      </c>
    </row>
    <row r="3023" spans="23:25">
      <c r="W3023" s="44">
        <f t="shared" si="239"/>
        <v>0</v>
      </c>
      <c r="X3023" s="44">
        <f t="shared" si="240"/>
        <v>0</v>
      </c>
      <c r="Y3023" s="44">
        <f t="shared" si="241"/>
        <v>0</v>
      </c>
    </row>
    <row r="3024" spans="23:25">
      <c r="W3024" s="44">
        <f t="shared" si="239"/>
        <v>0</v>
      </c>
      <c r="X3024" s="44">
        <f t="shared" si="240"/>
        <v>0</v>
      </c>
      <c r="Y3024" s="44">
        <f t="shared" si="241"/>
        <v>0</v>
      </c>
    </row>
    <row r="3025" spans="23:25">
      <c r="W3025" s="44">
        <f t="shared" si="239"/>
        <v>0</v>
      </c>
      <c r="X3025" s="44">
        <f t="shared" si="240"/>
        <v>0</v>
      </c>
      <c r="Y3025" s="44">
        <f t="shared" si="241"/>
        <v>0</v>
      </c>
    </row>
    <row r="3026" spans="23:25">
      <c r="W3026" s="44">
        <f t="shared" si="239"/>
        <v>0</v>
      </c>
      <c r="X3026" s="44">
        <f t="shared" si="240"/>
        <v>0</v>
      </c>
      <c r="Y3026" s="44">
        <f t="shared" si="241"/>
        <v>0</v>
      </c>
    </row>
    <row r="3027" spans="23:25">
      <c r="W3027" s="44">
        <f t="shared" si="239"/>
        <v>0</v>
      </c>
      <c r="X3027" s="44">
        <f t="shared" si="240"/>
        <v>0</v>
      </c>
      <c r="Y3027" s="44">
        <f t="shared" si="241"/>
        <v>0</v>
      </c>
    </row>
    <row r="3028" spans="23:25">
      <c r="W3028" s="44">
        <f t="shared" si="239"/>
        <v>0</v>
      </c>
      <c r="X3028" s="44">
        <f t="shared" si="240"/>
        <v>0</v>
      </c>
      <c r="Y3028" s="44">
        <f t="shared" si="241"/>
        <v>0</v>
      </c>
    </row>
    <row r="3029" spans="23:25">
      <c r="W3029" s="44">
        <f t="shared" si="239"/>
        <v>0</v>
      </c>
      <c r="X3029" s="44">
        <f t="shared" si="240"/>
        <v>0</v>
      </c>
      <c r="Y3029" s="44">
        <f t="shared" si="241"/>
        <v>0</v>
      </c>
    </row>
    <row r="3030" spans="23:25">
      <c r="W3030" s="44">
        <f t="shared" si="239"/>
        <v>0</v>
      </c>
      <c r="X3030" s="44">
        <f t="shared" si="240"/>
        <v>0</v>
      </c>
      <c r="Y3030" s="44">
        <f t="shared" si="241"/>
        <v>0</v>
      </c>
    </row>
    <row r="3031" spans="23:25">
      <c r="W3031" s="44">
        <f t="shared" si="239"/>
        <v>0</v>
      </c>
      <c r="X3031" s="44">
        <f t="shared" si="240"/>
        <v>0</v>
      </c>
      <c r="Y3031" s="44">
        <f t="shared" si="241"/>
        <v>0</v>
      </c>
    </row>
    <row r="3032" spans="23:25">
      <c r="W3032" s="44">
        <f t="shared" si="239"/>
        <v>0</v>
      </c>
      <c r="X3032" s="44">
        <f t="shared" si="240"/>
        <v>0</v>
      </c>
      <c r="Y3032" s="44">
        <f t="shared" si="241"/>
        <v>0</v>
      </c>
    </row>
    <row r="3033" spans="23:25">
      <c r="W3033" s="44">
        <f t="shared" si="239"/>
        <v>0</v>
      </c>
      <c r="X3033" s="44">
        <f t="shared" si="240"/>
        <v>0</v>
      </c>
      <c r="Y3033" s="44">
        <f t="shared" si="241"/>
        <v>0</v>
      </c>
    </row>
    <row r="3034" spans="23:25">
      <c r="W3034" s="44">
        <f t="shared" si="239"/>
        <v>0</v>
      </c>
      <c r="X3034" s="44">
        <f t="shared" si="240"/>
        <v>0</v>
      </c>
      <c r="Y3034" s="44">
        <f t="shared" si="241"/>
        <v>0</v>
      </c>
    </row>
    <row r="3035" spans="23:25">
      <c r="W3035" s="44">
        <f t="shared" si="239"/>
        <v>0</v>
      </c>
      <c r="X3035" s="44">
        <f t="shared" si="240"/>
        <v>0</v>
      </c>
      <c r="Y3035" s="44">
        <f t="shared" si="241"/>
        <v>0</v>
      </c>
    </row>
    <row r="3036" spans="23:25">
      <c r="W3036" s="44">
        <f t="shared" si="239"/>
        <v>0</v>
      </c>
      <c r="X3036" s="44">
        <f t="shared" si="240"/>
        <v>0</v>
      </c>
      <c r="Y3036" s="44">
        <f t="shared" si="241"/>
        <v>0</v>
      </c>
    </row>
    <row r="3037" spans="23:25">
      <c r="W3037" s="44">
        <f t="shared" si="239"/>
        <v>0</v>
      </c>
      <c r="X3037" s="44">
        <f t="shared" si="240"/>
        <v>0</v>
      </c>
      <c r="Y3037" s="44">
        <f t="shared" si="241"/>
        <v>0</v>
      </c>
    </row>
    <row r="3038" spans="23:25">
      <c r="W3038" s="44">
        <f t="shared" si="239"/>
        <v>0</v>
      </c>
      <c r="X3038" s="44">
        <f t="shared" si="240"/>
        <v>0</v>
      </c>
      <c r="Y3038" s="44">
        <f t="shared" si="241"/>
        <v>0</v>
      </c>
    </row>
    <row r="3039" spans="23:25">
      <c r="W3039" s="44">
        <f t="shared" si="239"/>
        <v>0</v>
      </c>
      <c r="X3039" s="44">
        <f t="shared" si="240"/>
        <v>0</v>
      </c>
      <c r="Y3039" s="44">
        <f t="shared" si="241"/>
        <v>0</v>
      </c>
    </row>
    <row r="3040" spans="23:25">
      <c r="W3040" s="44">
        <f t="shared" si="239"/>
        <v>0</v>
      </c>
      <c r="X3040" s="44">
        <f t="shared" si="240"/>
        <v>0</v>
      </c>
      <c r="Y3040" s="44">
        <f t="shared" si="241"/>
        <v>0</v>
      </c>
    </row>
    <row r="3041" spans="23:25">
      <c r="W3041" s="44">
        <f t="shared" si="239"/>
        <v>0</v>
      </c>
      <c r="X3041" s="44">
        <f t="shared" si="240"/>
        <v>0</v>
      </c>
      <c r="Y3041" s="44">
        <f t="shared" si="241"/>
        <v>0</v>
      </c>
    </row>
    <row r="3042" spans="23:25">
      <c r="W3042" s="44">
        <f t="shared" si="239"/>
        <v>0</v>
      </c>
      <c r="X3042" s="44">
        <f t="shared" si="240"/>
        <v>0</v>
      </c>
      <c r="Y3042" s="44">
        <f t="shared" si="241"/>
        <v>0</v>
      </c>
    </row>
    <row r="3043" spans="23:25">
      <c r="W3043" s="44">
        <f t="shared" si="239"/>
        <v>0</v>
      </c>
      <c r="X3043" s="44">
        <f t="shared" si="240"/>
        <v>0</v>
      </c>
      <c r="Y3043" s="44">
        <f t="shared" si="241"/>
        <v>0</v>
      </c>
    </row>
    <row r="3044" spans="23:25">
      <c r="W3044" s="44">
        <f t="shared" si="239"/>
        <v>0</v>
      </c>
      <c r="X3044" s="44">
        <f t="shared" si="240"/>
        <v>0</v>
      </c>
      <c r="Y3044" s="44">
        <f t="shared" si="241"/>
        <v>0</v>
      </c>
    </row>
    <row r="3045" spans="23:25">
      <c r="W3045" s="44">
        <f t="shared" si="239"/>
        <v>0</v>
      </c>
      <c r="X3045" s="44">
        <f t="shared" si="240"/>
        <v>0</v>
      </c>
      <c r="Y3045" s="44">
        <f t="shared" si="241"/>
        <v>0</v>
      </c>
    </row>
    <row r="3046" spans="23:25">
      <c r="W3046" s="44">
        <f t="shared" si="239"/>
        <v>0</v>
      </c>
      <c r="X3046" s="44">
        <f t="shared" si="240"/>
        <v>0</v>
      </c>
      <c r="Y3046" s="44">
        <f t="shared" si="241"/>
        <v>0</v>
      </c>
    </row>
    <row r="3047" spans="23:25">
      <c r="W3047" s="44">
        <f t="shared" si="239"/>
        <v>0</v>
      </c>
      <c r="X3047" s="44">
        <f t="shared" si="240"/>
        <v>0</v>
      </c>
      <c r="Y3047" s="44">
        <f t="shared" si="241"/>
        <v>0</v>
      </c>
    </row>
    <row r="3048" spans="23:25">
      <c r="W3048" s="44">
        <f t="shared" si="239"/>
        <v>0</v>
      </c>
      <c r="X3048" s="44">
        <f t="shared" si="240"/>
        <v>0</v>
      </c>
      <c r="Y3048" s="44">
        <f t="shared" si="241"/>
        <v>0</v>
      </c>
    </row>
    <row r="3049" spans="23:25">
      <c r="W3049" s="44">
        <f t="shared" si="239"/>
        <v>0</v>
      </c>
      <c r="X3049" s="44">
        <f t="shared" si="240"/>
        <v>0</v>
      </c>
      <c r="Y3049" s="44">
        <f t="shared" si="241"/>
        <v>0</v>
      </c>
    </row>
    <row r="3050" spans="23:25">
      <c r="W3050" s="44">
        <f t="shared" si="239"/>
        <v>0</v>
      </c>
      <c r="X3050" s="44">
        <f t="shared" si="240"/>
        <v>0</v>
      </c>
      <c r="Y3050" s="44">
        <f t="shared" si="241"/>
        <v>0</v>
      </c>
    </row>
    <row r="3051" spans="23:25">
      <c r="W3051" s="44">
        <f t="shared" si="239"/>
        <v>0</v>
      </c>
      <c r="X3051" s="44">
        <f t="shared" si="240"/>
        <v>0</v>
      </c>
      <c r="Y3051" s="44">
        <f t="shared" si="241"/>
        <v>0</v>
      </c>
    </row>
    <row r="3052" spans="23:25">
      <c r="W3052" s="44">
        <f t="shared" si="239"/>
        <v>0</v>
      </c>
      <c r="X3052" s="44">
        <f t="shared" si="240"/>
        <v>0</v>
      </c>
      <c r="Y3052" s="44">
        <f t="shared" si="241"/>
        <v>0</v>
      </c>
    </row>
    <row r="3053" spans="23:25">
      <c r="W3053" s="44">
        <f t="shared" si="239"/>
        <v>0</v>
      </c>
      <c r="X3053" s="44">
        <f t="shared" si="240"/>
        <v>0</v>
      </c>
      <c r="Y3053" s="44">
        <f t="shared" si="241"/>
        <v>0</v>
      </c>
    </row>
    <row r="3054" spans="23:25">
      <c r="W3054" s="44">
        <f t="shared" si="239"/>
        <v>0</v>
      </c>
      <c r="X3054" s="44">
        <f t="shared" si="240"/>
        <v>0</v>
      </c>
      <c r="Y3054" s="44">
        <f t="shared" si="241"/>
        <v>0</v>
      </c>
    </row>
    <row r="3055" spans="23:25">
      <c r="W3055" s="44">
        <f t="shared" si="239"/>
        <v>0</v>
      </c>
      <c r="X3055" s="44">
        <f t="shared" si="240"/>
        <v>0</v>
      </c>
      <c r="Y3055" s="44">
        <f t="shared" si="241"/>
        <v>0</v>
      </c>
    </row>
    <row r="3056" spans="23:25">
      <c r="W3056" s="44">
        <f t="shared" si="239"/>
        <v>0</v>
      </c>
      <c r="X3056" s="44">
        <f t="shared" si="240"/>
        <v>0</v>
      </c>
      <c r="Y3056" s="44">
        <f t="shared" si="241"/>
        <v>0</v>
      </c>
    </row>
    <row r="3057" spans="23:25">
      <c r="W3057" s="44">
        <f t="shared" si="239"/>
        <v>0</v>
      </c>
      <c r="X3057" s="44">
        <f t="shared" si="240"/>
        <v>0</v>
      </c>
      <c r="Y3057" s="44">
        <f t="shared" si="241"/>
        <v>0</v>
      </c>
    </row>
    <row r="3058" spans="23:25">
      <c r="W3058" s="44">
        <f t="shared" si="239"/>
        <v>0</v>
      </c>
      <c r="X3058" s="44">
        <f t="shared" si="240"/>
        <v>0</v>
      </c>
      <c r="Y3058" s="44">
        <f t="shared" si="241"/>
        <v>0</v>
      </c>
    </row>
    <row r="3059" spans="23:25">
      <c r="W3059" s="44">
        <f t="shared" si="239"/>
        <v>0</v>
      </c>
      <c r="X3059" s="44">
        <f t="shared" si="240"/>
        <v>0</v>
      </c>
      <c r="Y3059" s="44">
        <f t="shared" si="241"/>
        <v>0</v>
      </c>
    </row>
    <row r="3060" spans="23:25">
      <c r="W3060" s="44">
        <f t="shared" si="239"/>
        <v>0</v>
      </c>
      <c r="X3060" s="44">
        <f t="shared" si="240"/>
        <v>0</v>
      </c>
      <c r="Y3060" s="44">
        <f t="shared" si="241"/>
        <v>0</v>
      </c>
    </row>
    <row r="3061" spans="23:25">
      <c r="W3061" s="44">
        <f t="shared" si="239"/>
        <v>0</v>
      </c>
      <c r="X3061" s="44">
        <f t="shared" si="240"/>
        <v>0</v>
      </c>
      <c r="Y3061" s="44">
        <f t="shared" si="241"/>
        <v>0</v>
      </c>
    </row>
    <row r="3062" spans="23:25">
      <c r="W3062" s="44">
        <f t="shared" si="239"/>
        <v>0</v>
      </c>
      <c r="X3062" s="44">
        <f t="shared" si="240"/>
        <v>0</v>
      </c>
      <c r="Y3062" s="44">
        <f t="shared" si="241"/>
        <v>0</v>
      </c>
    </row>
    <row r="3063" spans="23:25">
      <c r="W3063" s="44">
        <f t="shared" si="239"/>
        <v>0</v>
      </c>
      <c r="X3063" s="44">
        <f t="shared" si="240"/>
        <v>0</v>
      </c>
      <c r="Y3063" s="44">
        <f t="shared" si="241"/>
        <v>0</v>
      </c>
    </row>
    <row r="3064" spans="23:25">
      <c r="W3064" s="44">
        <f t="shared" si="239"/>
        <v>0</v>
      </c>
      <c r="X3064" s="44">
        <f t="shared" si="240"/>
        <v>0</v>
      </c>
      <c r="Y3064" s="44">
        <f t="shared" si="241"/>
        <v>0</v>
      </c>
    </row>
    <row r="3065" spans="23:25">
      <c r="W3065" s="44">
        <f t="shared" si="239"/>
        <v>0</v>
      </c>
      <c r="X3065" s="44">
        <f t="shared" si="240"/>
        <v>0</v>
      </c>
      <c r="Y3065" s="44">
        <f t="shared" si="241"/>
        <v>0</v>
      </c>
    </row>
    <row r="3066" spans="23:25">
      <c r="W3066" s="44">
        <f t="shared" si="239"/>
        <v>0</v>
      </c>
      <c r="X3066" s="44">
        <f t="shared" si="240"/>
        <v>0</v>
      </c>
      <c r="Y3066" s="44">
        <f t="shared" si="241"/>
        <v>0</v>
      </c>
    </row>
    <row r="3067" spans="23:25">
      <c r="W3067" s="44">
        <f t="shared" si="239"/>
        <v>0</v>
      </c>
      <c r="X3067" s="44">
        <f t="shared" si="240"/>
        <v>0</v>
      </c>
      <c r="Y3067" s="44">
        <f t="shared" si="241"/>
        <v>0</v>
      </c>
    </row>
    <row r="3068" spans="23:25">
      <c r="W3068" s="44">
        <f t="shared" si="239"/>
        <v>0</v>
      </c>
      <c r="X3068" s="44">
        <f t="shared" si="240"/>
        <v>0</v>
      </c>
      <c r="Y3068" s="44">
        <f t="shared" si="241"/>
        <v>0</v>
      </c>
    </row>
    <row r="3069" spans="23:25">
      <c r="W3069" s="44">
        <f t="shared" si="239"/>
        <v>0</v>
      </c>
      <c r="X3069" s="44">
        <f t="shared" si="240"/>
        <v>0</v>
      </c>
      <c r="Y3069" s="44">
        <f t="shared" si="241"/>
        <v>0</v>
      </c>
    </row>
    <row r="3070" spans="23:25">
      <c r="W3070" s="44">
        <f t="shared" si="239"/>
        <v>0</v>
      </c>
      <c r="X3070" s="44">
        <f t="shared" si="240"/>
        <v>0</v>
      </c>
      <c r="Y3070" s="44">
        <f t="shared" si="241"/>
        <v>0</v>
      </c>
    </row>
    <row r="3071" spans="23:25">
      <c r="W3071" s="44">
        <f t="shared" si="239"/>
        <v>0</v>
      </c>
      <c r="X3071" s="44">
        <f t="shared" si="240"/>
        <v>0</v>
      </c>
      <c r="Y3071" s="44">
        <f t="shared" si="241"/>
        <v>0</v>
      </c>
    </row>
    <row r="3072" spans="23:25">
      <c r="W3072" s="44">
        <f t="shared" si="239"/>
        <v>0</v>
      </c>
      <c r="X3072" s="44">
        <f t="shared" si="240"/>
        <v>0</v>
      </c>
      <c r="Y3072" s="44">
        <f t="shared" si="241"/>
        <v>0</v>
      </c>
    </row>
    <row r="3073" spans="23:25">
      <c r="W3073" s="44">
        <f t="shared" si="239"/>
        <v>0</v>
      </c>
      <c r="X3073" s="44">
        <f t="shared" si="240"/>
        <v>0</v>
      </c>
      <c r="Y3073" s="44">
        <f t="shared" si="241"/>
        <v>0</v>
      </c>
    </row>
    <row r="3074" spans="23:25">
      <c r="W3074" s="44">
        <f t="shared" si="239"/>
        <v>0</v>
      </c>
      <c r="X3074" s="44">
        <f t="shared" si="240"/>
        <v>0</v>
      </c>
      <c r="Y3074" s="44">
        <f t="shared" si="241"/>
        <v>0</v>
      </c>
    </row>
    <row r="3075" spans="23:25">
      <c r="W3075" s="44">
        <f t="shared" si="239"/>
        <v>0</v>
      </c>
      <c r="X3075" s="44">
        <f t="shared" si="240"/>
        <v>0</v>
      </c>
      <c r="Y3075" s="44">
        <f t="shared" si="241"/>
        <v>0</v>
      </c>
    </row>
    <row r="3076" spans="23:25">
      <c r="W3076" s="44">
        <f t="shared" si="239"/>
        <v>0</v>
      </c>
      <c r="X3076" s="44">
        <f t="shared" si="240"/>
        <v>0</v>
      </c>
      <c r="Y3076" s="44">
        <f t="shared" si="241"/>
        <v>0</v>
      </c>
    </row>
    <row r="3077" spans="23:25">
      <c r="W3077" s="44">
        <f t="shared" si="239"/>
        <v>0</v>
      </c>
      <c r="X3077" s="44">
        <f t="shared" si="240"/>
        <v>0</v>
      </c>
      <c r="Y3077" s="44">
        <f t="shared" si="241"/>
        <v>0</v>
      </c>
    </row>
    <row r="3078" spans="23:25">
      <c r="W3078" s="44">
        <f t="shared" si="239"/>
        <v>0</v>
      </c>
      <c r="X3078" s="44">
        <f t="shared" si="240"/>
        <v>0</v>
      </c>
      <c r="Y3078" s="44">
        <f t="shared" si="241"/>
        <v>0</v>
      </c>
    </row>
    <row r="3079" spans="23:25">
      <c r="W3079" s="44">
        <f t="shared" si="239"/>
        <v>0</v>
      </c>
      <c r="X3079" s="44">
        <f t="shared" si="240"/>
        <v>0</v>
      </c>
      <c r="Y3079" s="44">
        <f t="shared" si="241"/>
        <v>0</v>
      </c>
    </row>
    <row r="3080" spans="23:25">
      <c r="W3080" s="44">
        <f t="shared" ref="W3080:W3143" si="242">+T3080-U3080-V3080-Z3080</f>
        <v>0</v>
      </c>
      <c r="X3080" s="44">
        <f t="shared" ref="X3080:X3143" si="243">(+O3080-U3080)*$X$1</f>
        <v>0</v>
      </c>
      <c r="Y3080" s="44">
        <f t="shared" ref="Y3080:Y3143" si="244">+W3080-X3080</f>
        <v>0</v>
      </c>
    </row>
    <row r="3081" spans="23:25">
      <c r="W3081" s="44">
        <f t="shared" si="242"/>
        <v>0</v>
      </c>
      <c r="X3081" s="44">
        <f t="shared" si="243"/>
        <v>0</v>
      </c>
      <c r="Y3081" s="44">
        <f t="shared" si="244"/>
        <v>0</v>
      </c>
    </row>
    <row r="3082" spans="23:25">
      <c r="W3082" s="44">
        <f t="shared" si="242"/>
        <v>0</v>
      </c>
      <c r="X3082" s="44">
        <f t="shared" si="243"/>
        <v>0</v>
      </c>
      <c r="Y3082" s="44">
        <f t="shared" si="244"/>
        <v>0</v>
      </c>
    </row>
    <row r="3083" spans="23:25">
      <c r="W3083" s="44">
        <f t="shared" si="242"/>
        <v>0</v>
      </c>
      <c r="X3083" s="44">
        <f t="shared" si="243"/>
        <v>0</v>
      </c>
      <c r="Y3083" s="44">
        <f t="shared" si="244"/>
        <v>0</v>
      </c>
    </row>
    <row r="3084" spans="23:25">
      <c r="W3084" s="44">
        <f t="shared" si="242"/>
        <v>0</v>
      </c>
      <c r="X3084" s="44">
        <f t="shared" si="243"/>
        <v>0</v>
      </c>
      <c r="Y3084" s="44">
        <f t="shared" si="244"/>
        <v>0</v>
      </c>
    </row>
    <row r="3085" spans="23:25">
      <c r="W3085" s="44">
        <f t="shared" si="242"/>
        <v>0</v>
      </c>
      <c r="X3085" s="44">
        <f t="shared" si="243"/>
        <v>0</v>
      </c>
      <c r="Y3085" s="44">
        <f t="shared" si="244"/>
        <v>0</v>
      </c>
    </row>
    <row r="3086" spans="23:25">
      <c r="W3086" s="44">
        <f t="shared" si="242"/>
        <v>0</v>
      </c>
      <c r="X3086" s="44">
        <f t="shared" si="243"/>
        <v>0</v>
      </c>
      <c r="Y3086" s="44">
        <f t="shared" si="244"/>
        <v>0</v>
      </c>
    </row>
    <row r="3087" spans="23:25">
      <c r="W3087" s="44">
        <f t="shared" si="242"/>
        <v>0</v>
      </c>
      <c r="X3087" s="44">
        <f t="shared" si="243"/>
        <v>0</v>
      </c>
      <c r="Y3087" s="44">
        <f t="shared" si="244"/>
        <v>0</v>
      </c>
    </row>
    <row r="3088" spans="23:25">
      <c r="W3088" s="44">
        <f t="shared" si="242"/>
        <v>0</v>
      </c>
      <c r="X3088" s="44">
        <f t="shared" si="243"/>
        <v>0</v>
      </c>
      <c r="Y3088" s="44">
        <f t="shared" si="244"/>
        <v>0</v>
      </c>
    </row>
    <row r="3089" spans="23:25">
      <c r="W3089" s="44">
        <f t="shared" si="242"/>
        <v>0</v>
      </c>
      <c r="X3089" s="44">
        <f t="shared" si="243"/>
        <v>0</v>
      </c>
      <c r="Y3089" s="44">
        <f t="shared" si="244"/>
        <v>0</v>
      </c>
    </row>
    <row r="3090" spans="23:25">
      <c r="W3090" s="44">
        <f t="shared" si="242"/>
        <v>0</v>
      </c>
      <c r="X3090" s="44">
        <f t="shared" si="243"/>
        <v>0</v>
      </c>
      <c r="Y3090" s="44">
        <f t="shared" si="244"/>
        <v>0</v>
      </c>
    </row>
    <row r="3091" spans="23:25">
      <c r="W3091" s="44">
        <f t="shared" si="242"/>
        <v>0</v>
      </c>
      <c r="X3091" s="44">
        <f t="shared" si="243"/>
        <v>0</v>
      </c>
      <c r="Y3091" s="44">
        <f t="shared" si="244"/>
        <v>0</v>
      </c>
    </row>
    <row r="3092" spans="23:25">
      <c r="W3092" s="44">
        <f t="shared" si="242"/>
        <v>0</v>
      </c>
      <c r="X3092" s="44">
        <f t="shared" si="243"/>
        <v>0</v>
      </c>
      <c r="Y3092" s="44">
        <f t="shared" si="244"/>
        <v>0</v>
      </c>
    </row>
    <row r="3093" spans="23:25">
      <c r="W3093" s="44">
        <f t="shared" si="242"/>
        <v>0</v>
      </c>
      <c r="X3093" s="44">
        <f t="shared" si="243"/>
        <v>0</v>
      </c>
      <c r="Y3093" s="44">
        <f t="shared" si="244"/>
        <v>0</v>
      </c>
    </row>
    <row r="3094" spans="23:25">
      <c r="W3094" s="44">
        <f t="shared" si="242"/>
        <v>0</v>
      </c>
      <c r="X3094" s="44">
        <f t="shared" si="243"/>
        <v>0</v>
      </c>
      <c r="Y3094" s="44">
        <f t="shared" si="244"/>
        <v>0</v>
      </c>
    </row>
    <row r="3095" spans="23:25">
      <c r="W3095" s="44">
        <f t="shared" si="242"/>
        <v>0</v>
      </c>
      <c r="X3095" s="44">
        <f t="shared" si="243"/>
        <v>0</v>
      </c>
      <c r="Y3095" s="44">
        <f t="shared" si="244"/>
        <v>0</v>
      </c>
    </row>
    <row r="3096" spans="23:25">
      <c r="W3096" s="44">
        <f t="shared" si="242"/>
        <v>0</v>
      </c>
      <c r="X3096" s="44">
        <f t="shared" si="243"/>
        <v>0</v>
      </c>
      <c r="Y3096" s="44">
        <f t="shared" si="244"/>
        <v>0</v>
      </c>
    </row>
    <row r="3097" spans="23:25">
      <c r="W3097" s="44">
        <f t="shared" si="242"/>
        <v>0</v>
      </c>
      <c r="X3097" s="44">
        <f t="shared" si="243"/>
        <v>0</v>
      </c>
      <c r="Y3097" s="44">
        <f t="shared" si="244"/>
        <v>0</v>
      </c>
    </row>
    <row r="3098" spans="23:25">
      <c r="W3098" s="44">
        <f t="shared" si="242"/>
        <v>0</v>
      </c>
      <c r="X3098" s="44">
        <f t="shared" si="243"/>
        <v>0</v>
      </c>
      <c r="Y3098" s="44">
        <f t="shared" si="244"/>
        <v>0</v>
      </c>
    </row>
    <row r="3099" spans="23:25">
      <c r="W3099" s="44">
        <f t="shared" si="242"/>
        <v>0</v>
      </c>
      <c r="X3099" s="44">
        <f t="shared" si="243"/>
        <v>0</v>
      </c>
      <c r="Y3099" s="44">
        <f t="shared" si="244"/>
        <v>0</v>
      </c>
    </row>
    <row r="3100" spans="23:25">
      <c r="W3100" s="44">
        <f t="shared" si="242"/>
        <v>0</v>
      </c>
      <c r="X3100" s="44">
        <f t="shared" si="243"/>
        <v>0</v>
      </c>
      <c r="Y3100" s="44">
        <f t="shared" si="244"/>
        <v>0</v>
      </c>
    </row>
    <row r="3101" spans="23:25">
      <c r="W3101" s="44">
        <f t="shared" si="242"/>
        <v>0</v>
      </c>
      <c r="X3101" s="44">
        <f t="shared" si="243"/>
        <v>0</v>
      </c>
      <c r="Y3101" s="44">
        <f t="shared" si="244"/>
        <v>0</v>
      </c>
    </row>
    <row r="3102" spans="23:25">
      <c r="W3102" s="44">
        <f t="shared" si="242"/>
        <v>0</v>
      </c>
      <c r="X3102" s="44">
        <f t="shared" si="243"/>
        <v>0</v>
      </c>
      <c r="Y3102" s="44">
        <f t="shared" si="244"/>
        <v>0</v>
      </c>
    </row>
    <row r="3103" spans="23:25">
      <c r="W3103" s="44">
        <f t="shared" si="242"/>
        <v>0</v>
      </c>
      <c r="X3103" s="44">
        <f t="shared" si="243"/>
        <v>0</v>
      </c>
      <c r="Y3103" s="44">
        <f t="shared" si="244"/>
        <v>0</v>
      </c>
    </row>
    <row r="3104" spans="23:25">
      <c r="W3104" s="44">
        <f t="shared" si="242"/>
        <v>0</v>
      </c>
      <c r="X3104" s="44">
        <f t="shared" si="243"/>
        <v>0</v>
      </c>
      <c r="Y3104" s="44">
        <f t="shared" si="244"/>
        <v>0</v>
      </c>
    </row>
    <row r="3105" spans="23:25">
      <c r="W3105" s="44">
        <f t="shared" si="242"/>
        <v>0</v>
      </c>
      <c r="X3105" s="44">
        <f t="shared" si="243"/>
        <v>0</v>
      </c>
      <c r="Y3105" s="44">
        <f t="shared" si="244"/>
        <v>0</v>
      </c>
    </row>
    <row r="3106" spans="23:25">
      <c r="W3106" s="44">
        <f t="shared" si="242"/>
        <v>0</v>
      </c>
      <c r="X3106" s="44">
        <f t="shared" si="243"/>
        <v>0</v>
      </c>
      <c r="Y3106" s="44">
        <f t="shared" si="244"/>
        <v>0</v>
      </c>
    </row>
    <row r="3107" spans="23:25">
      <c r="W3107" s="44">
        <f t="shared" si="242"/>
        <v>0</v>
      </c>
      <c r="X3107" s="44">
        <f t="shared" si="243"/>
        <v>0</v>
      </c>
      <c r="Y3107" s="44">
        <f t="shared" si="244"/>
        <v>0</v>
      </c>
    </row>
    <row r="3108" spans="23:25">
      <c r="W3108" s="44">
        <f t="shared" si="242"/>
        <v>0</v>
      </c>
      <c r="X3108" s="44">
        <f t="shared" si="243"/>
        <v>0</v>
      </c>
      <c r="Y3108" s="44">
        <f t="shared" si="244"/>
        <v>0</v>
      </c>
    </row>
    <row r="3109" spans="23:25">
      <c r="W3109" s="44">
        <f t="shared" si="242"/>
        <v>0</v>
      </c>
      <c r="X3109" s="44">
        <f t="shared" si="243"/>
        <v>0</v>
      </c>
      <c r="Y3109" s="44">
        <f t="shared" si="244"/>
        <v>0</v>
      </c>
    </row>
    <row r="3110" spans="23:25">
      <c r="W3110" s="44">
        <f t="shared" si="242"/>
        <v>0</v>
      </c>
      <c r="X3110" s="44">
        <f t="shared" si="243"/>
        <v>0</v>
      </c>
      <c r="Y3110" s="44">
        <f t="shared" si="244"/>
        <v>0</v>
      </c>
    </row>
    <row r="3111" spans="23:25">
      <c r="W3111" s="44">
        <f t="shared" si="242"/>
        <v>0</v>
      </c>
      <c r="X3111" s="44">
        <f t="shared" si="243"/>
        <v>0</v>
      </c>
      <c r="Y3111" s="44">
        <f t="shared" si="244"/>
        <v>0</v>
      </c>
    </row>
    <row r="3112" spans="23:25">
      <c r="W3112" s="44">
        <f t="shared" si="242"/>
        <v>0</v>
      </c>
      <c r="X3112" s="44">
        <f t="shared" si="243"/>
        <v>0</v>
      </c>
      <c r="Y3112" s="44">
        <f t="shared" si="244"/>
        <v>0</v>
      </c>
    </row>
    <row r="3113" spans="23:25">
      <c r="W3113" s="44">
        <f t="shared" si="242"/>
        <v>0</v>
      </c>
      <c r="X3113" s="44">
        <f t="shared" si="243"/>
        <v>0</v>
      </c>
      <c r="Y3113" s="44">
        <f t="shared" si="244"/>
        <v>0</v>
      </c>
    </row>
    <row r="3114" spans="23:25">
      <c r="W3114" s="44">
        <f t="shared" si="242"/>
        <v>0</v>
      </c>
      <c r="X3114" s="44">
        <f t="shared" si="243"/>
        <v>0</v>
      </c>
      <c r="Y3114" s="44">
        <f t="shared" si="244"/>
        <v>0</v>
      </c>
    </row>
    <row r="3115" spans="23:25">
      <c r="W3115" s="44">
        <f t="shared" si="242"/>
        <v>0</v>
      </c>
      <c r="X3115" s="44">
        <f t="shared" si="243"/>
        <v>0</v>
      </c>
      <c r="Y3115" s="44">
        <f t="shared" si="244"/>
        <v>0</v>
      </c>
    </row>
    <row r="3116" spans="23:25">
      <c r="W3116" s="44">
        <f t="shared" si="242"/>
        <v>0</v>
      </c>
      <c r="X3116" s="44">
        <f t="shared" si="243"/>
        <v>0</v>
      </c>
      <c r="Y3116" s="44">
        <f t="shared" si="244"/>
        <v>0</v>
      </c>
    </row>
    <row r="3117" spans="23:25">
      <c r="W3117" s="44">
        <f t="shared" si="242"/>
        <v>0</v>
      </c>
      <c r="X3117" s="44">
        <f t="shared" si="243"/>
        <v>0</v>
      </c>
      <c r="Y3117" s="44">
        <f t="shared" si="244"/>
        <v>0</v>
      </c>
    </row>
    <row r="3118" spans="23:25">
      <c r="W3118" s="44">
        <f t="shared" si="242"/>
        <v>0</v>
      </c>
      <c r="X3118" s="44">
        <f t="shared" si="243"/>
        <v>0</v>
      </c>
      <c r="Y3118" s="44">
        <f t="shared" si="244"/>
        <v>0</v>
      </c>
    </row>
    <row r="3119" spans="23:25">
      <c r="W3119" s="44">
        <f t="shared" si="242"/>
        <v>0</v>
      </c>
      <c r="X3119" s="44">
        <f t="shared" si="243"/>
        <v>0</v>
      </c>
      <c r="Y3119" s="44">
        <f t="shared" si="244"/>
        <v>0</v>
      </c>
    </row>
    <row r="3120" spans="23:25">
      <c r="W3120" s="44">
        <f t="shared" si="242"/>
        <v>0</v>
      </c>
      <c r="X3120" s="44">
        <f t="shared" si="243"/>
        <v>0</v>
      </c>
      <c r="Y3120" s="44">
        <f t="shared" si="244"/>
        <v>0</v>
      </c>
    </row>
    <row r="3121" spans="23:25">
      <c r="W3121" s="44">
        <f t="shared" si="242"/>
        <v>0</v>
      </c>
      <c r="X3121" s="44">
        <f t="shared" si="243"/>
        <v>0</v>
      </c>
      <c r="Y3121" s="44">
        <f t="shared" si="244"/>
        <v>0</v>
      </c>
    </row>
    <row r="3122" spans="23:25">
      <c r="W3122" s="44">
        <f t="shared" si="242"/>
        <v>0</v>
      </c>
      <c r="X3122" s="44">
        <f t="shared" si="243"/>
        <v>0</v>
      </c>
      <c r="Y3122" s="44">
        <f t="shared" si="244"/>
        <v>0</v>
      </c>
    </row>
    <row r="3123" spans="23:25">
      <c r="W3123" s="44">
        <f t="shared" si="242"/>
        <v>0</v>
      </c>
      <c r="X3123" s="44">
        <f t="shared" si="243"/>
        <v>0</v>
      </c>
      <c r="Y3123" s="44">
        <f t="shared" si="244"/>
        <v>0</v>
      </c>
    </row>
    <row r="3124" spans="23:25">
      <c r="W3124" s="44">
        <f t="shared" si="242"/>
        <v>0</v>
      </c>
      <c r="X3124" s="44">
        <f t="shared" si="243"/>
        <v>0</v>
      </c>
      <c r="Y3124" s="44">
        <f t="shared" si="244"/>
        <v>0</v>
      </c>
    </row>
    <row r="3125" spans="23:25">
      <c r="W3125" s="44">
        <f t="shared" si="242"/>
        <v>0</v>
      </c>
      <c r="X3125" s="44">
        <f t="shared" si="243"/>
        <v>0</v>
      </c>
      <c r="Y3125" s="44">
        <f t="shared" si="244"/>
        <v>0</v>
      </c>
    </row>
    <row r="3126" spans="23:25">
      <c r="W3126" s="44">
        <f t="shared" si="242"/>
        <v>0</v>
      </c>
      <c r="X3126" s="44">
        <f t="shared" si="243"/>
        <v>0</v>
      </c>
      <c r="Y3126" s="44">
        <f t="shared" si="244"/>
        <v>0</v>
      </c>
    </row>
    <row r="3127" spans="23:25">
      <c r="W3127" s="44">
        <f t="shared" si="242"/>
        <v>0</v>
      </c>
      <c r="X3127" s="44">
        <f t="shared" si="243"/>
        <v>0</v>
      </c>
      <c r="Y3127" s="44">
        <f t="shared" si="244"/>
        <v>0</v>
      </c>
    </row>
    <row r="3128" spans="23:25">
      <c r="W3128" s="44">
        <f t="shared" si="242"/>
        <v>0</v>
      </c>
      <c r="X3128" s="44">
        <f t="shared" si="243"/>
        <v>0</v>
      </c>
      <c r="Y3128" s="44">
        <f t="shared" si="244"/>
        <v>0</v>
      </c>
    </row>
    <row r="3129" spans="23:25">
      <c r="W3129" s="44">
        <f t="shared" si="242"/>
        <v>0</v>
      </c>
      <c r="X3129" s="44">
        <f t="shared" si="243"/>
        <v>0</v>
      </c>
      <c r="Y3129" s="44">
        <f t="shared" si="244"/>
        <v>0</v>
      </c>
    </row>
    <row r="3130" spans="23:25">
      <c r="W3130" s="44">
        <f t="shared" si="242"/>
        <v>0</v>
      </c>
      <c r="X3130" s="44">
        <f t="shared" si="243"/>
        <v>0</v>
      </c>
      <c r="Y3130" s="44">
        <f t="shared" si="244"/>
        <v>0</v>
      </c>
    </row>
    <row r="3131" spans="23:25">
      <c r="W3131" s="44">
        <f t="shared" si="242"/>
        <v>0</v>
      </c>
      <c r="X3131" s="44">
        <f t="shared" si="243"/>
        <v>0</v>
      </c>
      <c r="Y3131" s="44">
        <f t="shared" si="244"/>
        <v>0</v>
      </c>
    </row>
    <row r="3132" spans="23:25">
      <c r="W3132" s="44">
        <f t="shared" si="242"/>
        <v>0</v>
      </c>
      <c r="X3132" s="44">
        <f t="shared" si="243"/>
        <v>0</v>
      </c>
      <c r="Y3132" s="44">
        <f t="shared" si="244"/>
        <v>0</v>
      </c>
    </row>
    <row r="3133" spans="23:25">
      <c r="W3133" s="44">
        <f t="shared" si="242"/>
        <v>0</v>
      </c>
      <c r="X3133" s="44">
        <f t="shared" si="243"/>
        <v>0</v>
      </c>
      <c r="Y3133" s="44">
        <f t="shared" si="244"/>
        <v>0</v>
      </c>
    </row>
    <row r="3134" spans="23:25">
      <c r="W3134" s="44">
        <f t="shared" si="242"/>
        <v>0</v>
      </c>
      <c r="X3134" s="44">
        <f t="shared" si="243"/>
        <v>0</v>
      </c>
      <c r="Y3134" s="44">
        <f t="shared" si="244"/>
        <v>0</v>
      </c>
    </row>
    <row r="3135" spans="23:25">
      <c r="W3135" s="44">
        <f t="shared" si="242"/>
        <v>0</v>
      </c>
      <c r="X3135" s="44">
        <f t="shared" si="243"/>
        <v>0</v>
      </c>
      <c r="Y3135" s="44">
        <f t="shared" si="244"/>
        <v>0</v>
      </c>
    </row>
    <row r="3136" spans="23:25">
      <c r="W3136" s="44">
        <f t="shared" si="242"/>
        <v>0</v>
      </c>
      <c r="X3136" s="44">
        <f t="shared" si="243"/>
        <v>0</v>
      </c>
      <c r="Y3136" s="44">
        <f t="shared" si="244"/>
        <v>0</v>
      </c>
    </row>
    <row r="3137" spans="23:25">
      <c r="W3137" s="44">
        <f t="shared" si="242"/>
        <v>0</v>
      </c>
      <c r="X3137" s="44">
        <f t="shared" si="243"/>
        <v>0</v>
      </c>
      <c r="Y3137" s="44">
        <f t="shared" si="244"/>
        <v>0</v>
      </c>
    </row>
    <row r="3138" spans="23:25">
      <c r="W3138" s="44">
        <f t="shared" si="242"/>
        <v>0</v>
      </c>
      <c r="X3138" s="44">
        <f t="shared" si="243"/>
        <v>0</v>
      </c>
      <c r="Y3138" s="44">
        <f t="shared" si="244"/>
        <v>0</v>
      </c>
    </row>
    <row r="3139" spans="23:25">
      <c r="W3139" s="44">
        <f t="shared" si="242"/>
        <v>0</v>
      </c>
      <c r="X3139" s="44">
        <f t="shared" si="243"/>
        <v>0</v>
      </c>
      <c r="Y3139" s="44">
        <f t="shared" si="244"/>
        <v>0</v>
      </c>
    </row>
    <row r="3140" spans="23:25">
      <c r="W3140" s="44">
        <f t="shared" si="242"/>
        <v>0</v>
      </c>
      <c r="X3140" s="44">
        <f t="shared" si="243"/>
        <v>0</v>
      </c>
      <c r="Y3140" s="44">
        <f t="shared" si="244"/>
        <v>0</v>
      </c>
    </row>
    <row r="3141" spans="23:25">
      <c r="W3141" s="44">
        <f t="shared" si="242"/>
        <v>0</v>
      </c>
      <c r="X3141" s="44">
        <f t="shared" si="243"/>
        <v>0</v>
      </c>
      <c r="Y3141" s="44">
        <f t="shared" si="244"/>
        <v>0</v>
      </c>
    </row>
    <row r="3142" spans="23:25">
      <c r="W3142" s="44">
        <f t="shared" si="242"/>
        <v>0</v>
      </c>
      <c r="X3142" s="44">
        <f t="shared" si="243"/>
        <v>0</v>
      </c>
      <c r="Y3142" s="44">
        <f t="shared" si="244"/>
        <v>0</v>
      </c>
    </row>
    <row r="3143" spans="23:25">
      <c r="W3143" s="44">
        <f t="shared" si="242"/>
        <v>0</v>
      </c>
      <c r="X3143" s="44">
        <f t="shared" si="243"/>
        <v>0</v>
      </c>
      <c r="Y3143" s="44">
        <f t="shared" si="244"/>
        <v>0</v>
      </c>
    </row>
    <row r="3144" spans="23:25">
      <c r="W3144" s="44">
        <f t="shared" ref="W3144:W3207" si="245">+T3144-U3144-V3144-Z3144</f>
        <v>0</v>
      </c>
      <c r="X3144" s="44">
        <f t="shared" ref="X3144:X3207" si="246">(+O3144-U3144)*$X$1</f>
        <v>0</v>
      </c>
      <c r="Y3144" s="44">
        <f t="shared" ref="Y3144:Y3207" si="247">+W3144-X3144</f>
        <v>0</v>
      </c>
    </row>
    <row r="3145" spans="23:25">
      <c r="W3145" s="44">
        <f t="shared" si="245"/>
        <v>0</v>
      </c>
      <c r="X3145" s="44">
        <f t="shared" si="246"/>
        <v>0</v>
      </c>
      <c r="Y3145" s="44">
        <f t="shared" si="247"/>
        <v>0</v>
      </c>
    </row>
    <row r="3146" spans="23:25">
      <c r="W3146" s="44">
        <f t="shared" si="245"/>
        <v>0</v>
      </c>
      <c r="X3146" s="44">
        <f t="shared" si="246"/>
        <v>0</v>
      </c>
      <c r="Y3146" s="44">
        <f t="shared" si="247"/>
        <v>0</v>
      </c>
    </row>
    <row r="3147" spans="23:25">
      <c r="W3147" s="44">
        <f t="shared" si="245"/>
        <v>0</v>
      </c>
      <c r="X3147" s="44">
        <f t="shared" si="246"/>
        <v>0</v>
      </c>
      <c r="Y3147" s="44">
        <f t="shared" si="247"/>
        <v>0</v>
      </c>
    </row>
    <row r="3148" spans="23:25">
      <c r="W3148" s="44">
        <f t="shared" si="245"/>
        <v>0</v>
      </c>
      <c r="X3148" s="44">
        <f t="shared" si="246"/>
        <v>0</v>
      </c>
      <c r="Y3148" s="44">
        <f t="shared" si="247"/>
        <v>0</v>
      </c>
    </row>
    <row r="3149" spans="23:25">
      <c r="W3149" s="44">
        <f t="shared" si="245"/>
        <v>0</v>
      </c>
      <c r="X3149" s="44">
        <f t="shared" si="246"/>
        <v>0</v>
      </c>
      <c r="Y3149" s="44">
        <f t="shared" si="247"/>
        <v>0</v>
      </c>
    </row>
    <row r="3150" spans="23:25">
      <c r="W3150" s="44">
        <f t="shared" si="245"/>
        <v>0</v>
      </c>
      <c r="X3150" s="44">
        <f t="shared" si="246"/>
        <v>0</v>
      </c>
      <c r="Y3150" s="44">
        <f t="shared" si="247"/>
        <v>0</v>
      </c>
    </row>
    <row r="3151" spans="23:25">
      <c r="W3151" s="44">
        <f t="shared" si="245"/>
        <v>0</v>
      </c>
      <c r="X3151" s="44">
        <f t="shared" si="246"/>
        <v>0</v>
      </c>
      <c r="Y3151" s="44">
        <f t="shared" si="247"/>
        <v>0</v>
      </c>
    </row>
    <row r="3152" spans="23:25">
      <c r="W3152" s="44">
        <f t="shared" si="245"/>
        <v>0</v>
      </c>
      <c r="X3152" s="44">
        <f t="shared" si="246"/>
        <v>0</v>
      </c>
      <c r="Y3152" s="44">
        <f t="shared" si="247"/>
        <v>0</v>
      </c>
    </row>
    <row r="3153" spans="23:25">
      <c r="W3153" s="44">
        <f t="shared" si="245"/>
        <v>0</v>
      </c>
      <c r="X3153" s="44">
        <f t="shared" si="246"/>
        <v>0</v>
      </c>
      <c r="Y3153" s="44">
        <f t="shared" si="247"/>
        <v>0</v>
      </c>
    </row>
    <row r="3154" spans="23:25">
      <c r="W3154" s="44">
        <f t="shared" si="245"/>
        <v>0</v>
      </c>
      <c r="X3154" s="44">
        <f t="shared" si="246"/>
        <v>0</v>
      </c>
      <c r="Y3154" s="44">
        <f t="shared" si="247"/>
        <v>0</v>
      </c>
    </row>
    <row r="3155" spans="23:25">
      <c r="W3155" s="44">
        <f t="shared" si="245"/>
        <v>0</v>
      </c>
      <c r="X3155" s="44">
        <f t="shared" si="246"/>
        <v>0</v>
      </c>
      <c r="Y3155" s="44">
        <f t="shared" si="247"/>
        <v>0</v>
      </c>
    </row>
    <row r="3156" spans="23:25">
      <c r="W3156" s="44">
        <f t="shared" si="245"/>
        <v>0</v>
      </c>
      <c r="X3156" s="44">
        <f t="shared" si="246"/>
        <v>0</v>
      </c>
      <c r="Y3156" s="44">
        <f t="shared" si="247"/>
        <v>0</v>
      </c>
    </row>
    <row r="3157" spans="23:25">
      <c r="W3157" s="44">
        <f t="shared" si="245"/>
        <v>0</v>
      </c>
      <c r="X3157" s="44">
        <f t="shared" si="246"/>
        <v>0</v>
      </c>
      <c r="Y3157" s="44">
        <f t="shared" si="247"/>
        <v>0</v>
      </c>
    </row>
    <row r="3158" spans="23:25">
      <c r="W3158" s="44">
        <f t="shared" si="245"/>
        <v>0</v>
      </c>
      <c r="X3158" s="44">
        <f t="shared" si="246"/>
        <v>0</v>
      </c>
      <c r="Y3158" s="44">
        <f t="shared" si="247"/>
        <v>0</v>
      </c>
    </row>
    <row r="3159" spans="23:25">
      <c r="W3159" s="44">
        <f t="shared" si="245"/>
        <v>0</v>
      </c>
      <c r="X3159" s="44">
        <f t="shared" si="246"/>
        <v>0</v>
      </c>
      <c r="Y3159" s="44">
        <f t="shared" si="247"/>
        <v>0</v>
      </c>
    </row>
    <row r="3160" spans="23:25">
      <c r="W3160" s="44">
        <f t="shared" si="245"/>
        <v>0</v>
      </c>
      <c r="X3160" s="44">
        <f t="shared" si="246"/>
        <v>0</v>
      </c>
      <c r="Y3160" s="44">
        <f t="shared" si="247"/>
        <v>0</v>
      </c>
    </row>
    <row r="3161" spans="23:25">
      <c r="W3161" s="44">
        <f t="shared" si="245"/>
        <v>0</v>
      </c>
      <c r="X3161" s="44">
        <f t="shared" si="246"/>
        <v>0</v>
      </c>
      <c r="Y3161" s="44">
        <f t="shared" si="247"/>
        <v>0</v>
      </c>
    </row>
    <row r="3162" spans="23:25">
      <c r="W3162" s="44">
        <f t="shared" si="245"/>
        <v>0</v>
      </c>
      <c r="X3162" s="44">
        <f t="shared" si="246"/>
        <v>0</v>
      </c>
      <c r="Y3162" s="44">
        <f t="shared" si="247"/>
        <v>0</v>
      </c>
    </row>
    <row r="3163" spans="23:25">
      <c r="W3163" s="44">
        <f t="shared" si="245"/>
        <v>0</v>
      </c>
      <c r="X3163" s="44">
        <f t="shared" si="246"/>
        <v>0</v>
      </c>
      <c r="Y3163" s="44">
        <f t="shared" si="247"/>
        <v>0</v>
      </c>
    </row>
    <row r="3164" spans="23:25">
      <c r="W3164" s="44">
        <f t="shared" si="245"/>
        <v>0</v>
      </c>
      <c r="X3164" s="44">
        <f t="shared" si="246"/>
        <v>0</v>
      </c>
      <c r="Y3164" s="44">
        <f t="shared" si="247"/>
        <v>0</v>
      </c>
    </row>
    <row r="3165" spans="23:25">
      <c r="W3165" s="44">
        <f t="shared" si="245"/>
        <v>0</v>
      </c>
      <c r="X3165" s="44">
        <f t="shared" si="246"/>
        <v>0</v>
      </c>
      <c r="Y3165" s="44">
        <f t="shared" si="247"/>
        <v>0</v>
      </c>
    </row>
    <row r="3166" spans="23:25">
      <c r="W3166" s="44">
        <f t="shared" si="245"/>
        <v>0</v>
      </c>
      <c r="X3166" s="44">
        <f t="shared" si="246"/>
        <v>0</v>
      </c>
      <c r="Y3166" s="44">
        <f t="shared" si="247"/>
        <v>0</v>
      </c>
    </row>
    <row r="3167" spans="23:25">
      <c r="W3167" s="44">
        <f t="shared" si="245"/>
        <v>0</v>
      </c>
      <c r="X3167" s="44">
        <f t="shared" si="246"/>
        <v>0</v>
      </c>
      <c r="Y3167" s="44">
        <f t="shared" si="247"/>
        <v>0</v>
      </c>
    </row>
    <row r="3168" spans="23:25">
      <c r="W3168" s="44">
        <f t="shared" si="245"/>
        <v>0</v>
      </c>
      <c r="X3168" s="44">
        <f t="shared" si="246"/>
        <v>0</v>
      </c>
      <c r="Y3168" s="44">
        <f t="shared" si="247"/>
        <v>0</v>
      </c>
    </row>
    <row r="3169" spans="23:25">
      <c r="W3169" s="44">
        <f t="shared" si="245"/>
        <v>0</v>
      </c>
      <c r="X3169" s="44">
        <f t="shared" si="246"/>
        <v>0</v>
      </c>
      <c r="Y3169" s="44">
        <f t="shared" si="247"/>
        <v>0</v>
      </c>
    </row>
    <row r="3170" spans="23:25">
      <c r="W3170" s="44">
        <f t="shared" si="245"/>
        <v>0</v>
      </c>
      <c r="X3170" s="44">
        <f t="shared" si="246"/>
        <v>0</v>
      </c>
      <c r="Y3170" s="44">
        <f t="shared" si="247"/>
        <v>0</v>
      </c>
    </row>
    <row r="3171" spans="23:25">
      <c r="W3171" s="44">
        <f t="shared" si="245"/>
        <v>0</v>
      </c>
      <c r="X3171" s="44">
        <f t="shared" si="246"/>
        <v>0</v>
      </c>
      <c r="Y3171" s="44">
        <f t="shared" si="247"/>
        <v>0</v>
      </c>
    </row>
    <row r="3172" spans="23:25">
      <c r="W3172" s="44">
        <f t="shared" si="245"/>
        <v>0</v>
      </c>
      <c r="X3172" s="44">
        <f t="shared" si="246"/>
        <v>0</v>
      </c>
      <c r="Y3172" s="44">
        <f t="shared" si="247"/>
        <v>0</v>
      </c>
    </row>
    <row r="3173" spans="23:25">
      <c r="W3173" s="44">
        <f t="shared" si="245"/>
        <v>0</v>
      </c>
      <c r="X3173" s="44">
        <f t="shared" si="246"/>
        <v>0</v>
      </c>
      <c r="Y3173" s="44">
        <f t="shared" si="247"/>
        <v>0</v>
      </c>
    </row>
    <row r="3174" spans="23:25">
      <c r="W3174" s="44">
        <f t="shared" si="245"/>
        <v>0</v>
      </c>
      <c r="X3174" s="44">
        <f t="shared" si="246"/>
        <v>0</v>
      </c>
      <c r="Y3174" s="44">
        <f t="shared" si="247"/>
        <v>0</v>
      </c>
    </row>
    <row r="3175" spans="23:25">
      <c r="W3175" s="44">
        <f t="shared" si="245"/>
        <v>0</v>
      </c>
      <c r="X3175" s="44">
        <f t="shared" si="246"/>
        <v>0</v>
      </c>
      <c r="Y3175" s="44">
        <f t="shared" si="247"/>
        <v>0</v>
      </c>
    </row>
    <row r="3176" spans="23:25">
      <c r="W3176" s="44">
        <f t="shared" si="245"/>
        <v>0</v>
      </c>
      <c r="X3176" s="44">
        <f t="shared" si="246"/>
        <v>0</v>
      </c>
      <c r="Y3176" s="44">
        <f t="shared" si="247"/>
        <v>0</v>
      </c>
    </row>
    <row r="3177" spans="23:25">
      <c r="W3177" s="44">
        <f t="shared" si="245"/>
        <v>0</v>
      </c>
      <c r="X3177" s="44">
        <f t="shared" si="246"/>
        <v>0</v>
      </c>
      <c r="Y3177" s="44">
        <f t="shared" si="247"/>
        <v>0</v>
      </c>
    </row>
    <row r="3178" spans="23:25">
      <c r="W3178" s="44">
        <f t="shared" si="245"/>
        <v>0</v>
      </c>
      <c r="X3178" s="44">
        <f t="shared" si="246"/>
        <v>0</v>
      </c>
      <c r="Y3178" s="44">
        <f t="shared" si="247"/>
        <v>0</v>
      </c>
    </row>
    <row r="3179" spans="23:25">
      <c r="W3179" s="44">
        <f t="shared" si="245"/>
        <v>0</v>
      </c>
      <c r="X3179" s="44">
        <f t="shared" si="246"/>
        <v>0</v>
      </c>
      <c r="Y3179" s="44">
        <f t="shared" si="247"/>
        <v>0</v>
      </c>
    </row>
    <row r="3180" spans="23:25">
      <c r="W3180" s="44">
        <f t="shared" si="245"/>
        <v>0</v>
      </c>
      <c r="X3180" s="44">
        <f t="shared" si="246"/>
        <v>0</v>
      </c>
      <c r="Y3180" s="44">
        <f t="shared" si="247"/>
        <v>0</v>
      </c>
    </row>
    <row r="3181" spans="23:25">
      <c r="W3181" s="44">
        <f t="shared" si="245"/>
        <v>0</v>
      </c>
      <c r="X3181" s="44">
        <f t="shared" si="246"/>
        <v>0</v>
      </c>
      <c r="Y3181" s="44">
        <f t="shared" si="247"/>
        <v>0</v>
      </c>
    </row>
    <row r="3182" spans="23:25">
      <c r="W3182" s="44">
        <f t="shared" si="245"/>
        <v>0</v>
      </c>
      <c r="X3182" s="44">
        <f t="shared" si="246"/>
        <v>0</v>
      </c>
      <c r="Y3182" s="44">
        <f t="shared" si="247"/>
        <v>0</v>
      </c>
    </row>
    <row r="3183" spans="23:25">
      <c r="W3183" s="44">
        <f t="shared" si="245"/>
        <v>0</v>
      </c>
      <c r="X3183" s="44">
        <f t="shared" si="246"/>
        <v>0</v>
      </c>
      <c r="Y3183" s="44">
        <f t="shared" si="247"/>
        <v>0</v>
      </c>
    </row>
    <row r="3184" spans="23:25">
      <c r="W3184" s="44">
        <f t="shared" si="245"/>
        <v>0</v>
      </c>
      <c r="X3184" s="44">
        <f t="shared" si="246"/>
        <v>0</v>
      </c>
      <c r="Y3184" s="44">
        <f t="shared" si="247"/>
        <v>0</v>
      </c>
    </row>
    <row r="3185" spans="23:25">
      <c r="W3185" s="44">
        <f t="shared" si="245"/>
        <v>0</v>
      </c>
      <c r="X3185" s="44">
        <f t="shared" si="246"/>
        <v>0</v>
      </c>
      <c r="Y3185" s="44">
        <f t="shared" si="247"/>
        <v>0</v>
      </c>
    </row>
    <row r="3186" spans="23:25">
      <c r="W3186" s="44">
        <f t="shared" si="245"/>
        <v>0</v>
      </c>
      <c r="X3186" s="44">
        <f t="shared" si="246"/>
        <v>0</v>
      </c>
      <c r="Y3186" s="44">
        <f t="shared" si="247"/>
        <v>0</v>
      </c>
    </row>
    <row r="3187" spans="23:25">
      <c r="W3187" s="44">
        <f t="shared" si="245"/>
        <v>0</v>
      </c>
      <c r="X3187" s="44">
        <f t="shared" si="246"/>
        <v>0</v>
      </c>
      <c r="Y3187" s="44">
        <f t="shared" si="247"/>
        <v>0</v>
      </c>
    </row>
    <row r="3188" spans="23:25">
      <c r="W3188" s="44">
        <f t="shared" si="245"/>
        <v>0</v>
      </c>
      <c r="X3188" s="44">
        <f t="shared" si="246"/>
        <v>0</v>
      </c>
      <c r="Y3188" s="44">
        <f t="shared" si="247"/>
        <v>0</v>
      </c>
    </row>
    <row r="3189" spans="23:25">
      <c r="W3189" s="44">
        <f t="shared" si="245"/>
        <v>0</v>
      </c>
      <c r="X3189" s="44">
        <f t="shared" si="246"/>
        <v>0</v>
      </c>
      <c r="Y3189" s="44">
        <f t="shared" si="247"/>
        <v>0</v>
      </c>
    </row>
    <row r="3190" spans="23:25">
      <c r="W3190" s="44">
        <f t="shared" si="245"/>
        <v>0</v>
      </c>
      <c r="X3190" s="44">
        <f t="shared" si="246"/>
        <v>0</v>
      </c>
      <c r="Y3190" s="44">
        <f t="shared" si="247"/>
        <v>0</v>
      </c>
    </row>
    <row r="3191" spans="23:25">
      <c r="W3191" s="44">
        <f t="shared" si="245"/>
        <v>0</v>
      </c>
      <c r="X3191" s="44">
        <f t="shared" si="246"/>
        <v>0</v>
      </c>
      <c r="Y3191" s="44">
        <f t="shared" si="247"/>
        <v>0</v>
      </c>
    </row>
    <row r="3192" spans="23:25">
      <c r="W3192" s="44">
        <f t="shared" si="245"/>
        <v>0</v>
      </c>
      <c r="X3192" s="44">
        <f t="shared" si="246"/>
        <v>0</v>
      </c>
      <c r="Y3192" s="44">
        <f t="shared" si="247"/>
        <v>0</v>
      </c>
    </row>
    <row r="3193" spans="23:25">
      <c r="W3193" s="44">
        <f t="shared" si="245"/>
        <v>0</v>
      </c>
      <c r="X3193" s="44">
        <f t="shared" si="246"/>
        <v>0</v>
      </c>
      <c r="Y3193" s="44">
        <f t="shared" si="247"/>
        <v>0</v>
      </c>
    </row>
    <row r="3194" spans="23:25">
      <c r="W3194" s="44">
        <f t="shared" si="245"/>
        <v>0</v>
      </c>
      <c r="X3194" s="44">
        <f t="shared" si="246"/>
        <v>0</v>
      </c>
      <c r="Y3194" s="44">
        <f t="shared" si="247"/>
        <v>0</v>
      </c>
    </row>
    <row r="3195" spans="23:25">
      <c r="W3195" s="44">
        <f t="shared" si="245"/>
        <v>0</v>
      </c>
      <c r="X3195" s="44">
        <f t="shared" si="246"/>
        <v>0</v>
      </c>
      <c r="Y3195" s="44">
        <f t="shared" si="247"/>
        <v>0</v>
      </c>
    </row>
    <row r="3196" spans="23:25">
      <c r="W3196" s="44">
        <f t="shared" si="245"/>
        <v>0</v>
      </c>
      <c r="X3196" s="44">
        <f t="shared" si="246"/>
        <v>0</v>
      </c>
      <c r="Y3196" s="44">
        <f t="shared" si="247"/>
        <v>0</v>
      </c>
    </row>
    <row r="3197" spans="23:25">
      <c r="W3197" s="44">
        <f t="shared" si="245"/>
        <v>0</v>
      </c>
      <c r="X3197" s="44">
        <f t="shared" si="246"/>
        <v>0</v>
      </c>
      <c r="Y3197" s="44">
        <f t="shared" si="247"/>
        <v>0</v>
      </c>
    </row>
    <row r="3198" spans="23:25">
      <c r="W3198" s="44">
        <f t="shared" si="245"/>
        <v>0</v>
      </c>
      <c r="X3198" s="44">
        <f t="shared" si="246"/>
        <v>0</v>
      </c>
      <c r="Y3198" s="44">
        <f t="shared" si="247"/>
        <v>0</v>
      </c>
    </row>
    <row r="3199" spans="23:25">
      <c r="W3199" s="44">
        <f t="shared" si="245"/>
        <v>0</v>
      </c>
      <c r="X3199" s="44">
        <f t="shared" si="246"/>
        <v>0</v>
      </c>
      <c r="Y3199" s="44">
        <f t="shared" si="247"/>
        <v>0</v>
      </c>
    </row>
    <row r="3200" spans="23:25">
      <c r="W3200" s="44">
        <f t="shared" si="245"/>
        <v>0</v>
      </c>
      <c r="X3200" s="44">
        <f t="shared" si="246"/>
        <v>0</v>
      </c>
      <c r="Y3200" s="44">
        <f t="shared" si="247"/>
        <v>0</v>
      </c>
    </row>
    <row r="3201" spans="23:25">
      <c r="W3201" s="44">
        <f t="shared" si="245"/>
        <v>0</v>
      </c>
      <c r="X3201" s="44">
        <f t="shared" si="246"/>
        <v>0</v>
      </c>
      <c r="Y3201" s="44">
        <f t="shared" si="247"/>
        <v>0</v>
      </c>
    </row>
    <row r="3202" spans="23:25">
      <c r="W3202" s="44">
        <f t="shared" si="245"/>
        <v>0</v>
      </c>
      <c r="X3202" s="44">
        <f t="shared" si="246"/>
        <v>0</v>
      </c>
      <c r="Y3202" s="44">
        <f t="shared" si="247"/>
        <v>0</v>
      </c>
    </row>
    <row r="3203" spans="23:25">
      <c r="W3203" s="44">
        <f t="shared" si="245"/>
        <v>0</v>
      </c>
      <c r="X3203" s="44">
        <f t="shared" si="246"/>
        <v>0</v>
      </c>
      <c r="Y3203" s="44">
        <f t="shared" si="247"/>
        <v>0</v>
      </c>
    </row>
    <row r="3204" spans="23:25">
      <c r="W3204" s="44">
        <f t="shared" si="245"/>
        <v>0</v>
      </c>
      <c r="X3204" s="44">
        <f t="shared" si="246"/>
        <v>0</v>
      </c>
      <c r="Y3204" s="44">
        <f t="shared" si="247"/>
        <v>0</v>
      </c>
    </row>
    <row r="3205" spans="23:25">
      <c r="W3205" s="44">
        <f t="shared" si="245"/>
        <v>0</v>
      </c>
      <c r="X3205" s="44">
        <f t="shared" si="246"/>
        <v>0</v>
      </c>
      <c r="Y3205" s="44">
        <f t="shared" si="247"/>
        <v>0</v>
      </c>
    </row>
    <row r="3206" spans="23:25">
      <c r="W3206" s="44">
        <f t="shared" si="245"/>
        <v>0</v>
      </c>
      <c r="X3206" s="44">
        <f t="shared" si="246"/>
        <v>0</v>
      </c>
      <c r="Y3206" s="44">
        <f t="shared" si="247"/>
        <v>0</v>
      </c>
    </row>
    <row r="3207" spans="23:25">
      <c r="W3207" s="44">
        <f t="shared" si="245"/>
        <v>0</v>
      </c>
      <c r="X3207" s="44">
        <f t="shared" si="246"/>
        <v>0</v>
      </c>
      <c r="Y3207" s="44">
        <f t="shared" si="247"/>
        <v>0</v>
      </c>
    </row>
    <row r="3208" spans="23:25">
      <c r="W3208" s="44">
        <f t="shared" ref="W3208:W3271" si="248">+T3208-U3208-V3208-Z3208</f>
        <v>0</v>
      </c>
      <c r="X3208" s="44">
        <f t="shared" ref="X3208:X3271" si="249">(+O3208-U3208)*$X$1</f>
        <v>0</v>
      </c>
      <c r="Y3208" s="44">
        <f t="shared" ref="Y3208:Y3271" si="250">+W3208-X3208</f>
        <v>0</v>
      </c>
    </row>
    <row r="3209" spans="23:25">
      <c r="W3209" s="44">
        <f t="shared" si="248"/>
        <v>0</v>
      </c>
      <c r="X3209" s="44">
        <f t="shared" si="249"/>
        <v>0</v>
      </c>
      <c r="Y3209" s="44">
        <f t="shared" si="250"/>
        <v>0</v>
      </c>
    </row>
    <row r="3210" spans="23:25">
      <c r="W3210" s="44">
        <f t="shared" si="248"/>
        <v>0</v>
      </c>
      <c r="X3210" s="44">
        <f t="shared" si="249"/>
        <v>0</v>
      </c>
      <c r="Y3210" s="44">
        <f t="shared" si="250"/>
        <v>0</v>
      </c>
    </row>
    <row r="3211" spans="23:25">
      <c r="W3211" s="44">
        <f t="shared" si="248"/>
        <v>0</v>
      </c>
      <c r="X3211" s="44">
        <f t="shared" si="249"/>
        <v>0</v>
      </c>
      <c r="Y3211" s="44">
        <f t="shared" si="250"/>
        <v>0</v>
      </c>
    </row>
    <row r="3212" spans="23:25">
      <c r="W3212" s="44">
        <f t="shared" si="248"/>
        <v>0</v>
      </c>
      <c r="X3212" s="44">
        <f t="shared" si="249"/>
        <v>0</v>
      </c>
      <c r="Y3212" s="44">
        <f t="shared" si="250"/>
        <v>0</v>
      </c>
    </row>
    <row r="3213" spans="23:25">
      <c r="W3213" s="44">
        <f t="shared" si="248"/>
        <v>0</v>
      </c>
      <c r="X3213" s="44">
        <f t="shared" si="249"/>
        <v>0</v>
      </c>
      <c r="Y3213" s="44">
        <f t="shared" si="250"/>
        <v>0</v>
      </c>
    </row>
    <row r="3214" spans="23:25">
      <c r="W3214" s="44">
        <f t="shared" si="248"/>
        <v>0</v>
      </c>
      <c r="X3214" s="44">
        <f t="shared" si="249"/>
        <v>0</v>
      </c>
      <c r="Y3214" s="44">
        <f t="shared" si="250"/>
        <v>0</v>
      </c>
    </row>
    <row r="3215" spans="23:25">
      <c r="W3215" s="44">
        <f t="shared" si="248"/>
        <v>0</v>
      </c>
      <c r="X3215" s="44">
        <f t="shared" si="249"/>
        <v>0</v>
      </c>
      <c r="Y3215" s="44">
        <f t="shared" si="250"/>
        <v>0</v>
      </c>
    </row>
    <row r="3216" spans="23:25">
      <c r="W3216" s="44">
        <f t="shared" si="248"/>
        <v>0</v>
      </c>
      <c r="X3216" s="44">
        <f t="shared" si="249"/>
        <v>0</v>
      </c>
      <c r="Y3216" s="44">
        <f t="shared" si="250"/>
        <v>0</v>
      </c>
    </row>
    <row r="3217" spans="23:25">
      <c r="W3217" s="44">
        <f t="shared" si="248"/>
        <v>0</v>
      </c>
      <c r="X3217" s="44">
        <f t="shared" si="249"/>
        <v>0</v>
      </c>
      <c r="Y3217" s="44">
        <f t="shared" si="250"/>
        <v>0</v>
      </c>
    </row>
    <row r="3218" spans="23:25">
      <c r="W3218" s="44">
        <f t="shared" si="248"/>
        <v>0</v>
      </c>
      <c r="X3218" s="44">
        <f t="shared" si="249"/>
        <v>0</v>
      </c>
      <c r="Y3218" s="44">
        <f t="shared" si="250"/>
        <v>0</v>
      </c>
    </row>
    <row r="3219" spans="23:25">
      <c r="W3219" s="44">
        <f t="shared" si="248"/>
        <v>0</v>
      </c>
      <c r="X3219" s="44">
        <f t="shared" si="249"/>
        <v>0</v>
      </c>
      <c r="Y3219" s="44">
        <f t="shared" si="250"/>
        <v>0</v>
      </c>
    </row>
    <row r="3220" spans="23:25">
      <c r="W3220" s="44">
        <f t="shared" si="248"/>
        <v>0</v>
      </c>
      <c r="X3220" s="44">
        <f t="shared" si="249"/>
        <v>0</v>
      </c>
      <c r="Y3220" s="44">
        <f t="shared" si="250"/>
        <v>0</v>
      </c>
    </row>
    <row r="3221" spans="23:25">
      <c r="W3221" s="44">
        <f t="shared" si="248"/>
        <v>0</v>
      </c>
      <c r="X3221" s="44">
        <f t="shared" si="249"/>
        <v>0</v>
      </c>
      <c r="Y3221" s="44">
        <f t="shared" si="250"/>
        <v>0</v>
      </c>
    </row>
    <row r="3222" spans="23:25">
      <c r="W3222" s="44">
        <f t="shared" si="248"/>
        <v>0</v>
      </c>
      <c r="X3222" s="44">
        <f t="shared" si="249"/>
        <v>0</v>
      </c>
      <c r="Y3222" s="44">
        <f t="shared" si="250"/>
        <v>0</v>
      </c>
    </row>
    <row r="3223" spans="23:25">
      <c r="W3223" s="44">
        <f t="shared" si="248"/>
        <v>0</v>
      </c>
      <c r="X3223" s="44">
        <f t="shared" si="249"/>
        <v>0</v>
      </c>
      <c r="Y3223" s="44">
        <f t="shared" si="250"/>
        <v>0</v>
      </c>
    </row>
    <row r="3224" spans="23:25">
      <c r="W3224" s="44">
        <f t="shared" si="248"/>
        <v>0</v>
      </c>
      <c r="X3224" s="44">
        <f t="shared" si="249"/>
        <v>0</v>
      </c>
      <c r="Y3224" s="44">
        <f t="shared" si="250"/>
        <v>0</v>
      </c>
    </row>
    <row r="3225" spans="23:25">
      <c r="W3225" s="44">
        <f t="shared" si="248"/>
        <v>0</v>
      </c>
      <c r="X3225" s="44">
        <f t="shared" si="249"/>
        <v>0</v>
      </c>
      <c r="Y3225" s="44">
        <f t="shared" si="250"/>
        <v>0</v>
      </c>
    </row>
    <row r="3226" spans="23:25">
      <c r="W3226" s="44">
        <f t="shared" si="248"/>
        <v>0</v>
      </c>
      <c r="X3226" s="44">
        <f t="shared" si="249"/>
        <v>0</v>
      </c>
      <c r="Y3226" s="44">
        <f t="shared" si="250"/>
        <v>0</v>
      </c>
    </row>
    <row r="3227" spans="23:25">
      <c r="W3227" s="44">
        <f t="shared" si="248"/>
        <v>0</v>
      </c>
      <c r="X3227" s="44">
        <f t="shared" si="249"/>
        <v>0</v>
      </c>
      <c r="Y3227" s="44">
        <f t="shared" si="250"/>
        <v>0</v>
      </c>
    </row>
    <row r="3228" spans="23:25">
      <c r="W3228" s="44">
        <f t="shared" si="248"/>
        <v>0</v>
      </c>
      <c r="X3228" s="44">
        <f t="shared" si="249"/>
        <v>0</v>
      </c>
      <c r="Y3228" s="44">
        <f t="shared" si="250"/>
        <v>0</v>
      </c>
    </row>
    <row r="3229" spans="23:25">
      <c r="W3229" s="44">
        <f t="shared" si="248"/>
        <v>0</v>
      </c>
      <c r="X3229" s="44">
        <f t="shared" si="249"/>
        <v>0</v>
      </c>
      <c r="Y3229" s="44">
        <f t="shared" si="250"/>
        <v>0</v>
      </c>
    </row>
    <row r="3230" spans="23:25">
      <c r="W3230" s="44">
        <f t="shared" si="248"/>
        <v>0</v>
      </c>
      <c r="X3230" s="44">
        <f t="shared" si="249"/>
        <v>0</v>
      </c>
      <c r="Y3230" s="44">
        <f t="shared" si="250"/>
        <v>0</v>
      </c>
    </row>
    <row r="3231" spans="23:25">
      <c r="W3231" s="44">
        <f t="shared" si="248"/>
        <v>0</v>
      </c>
      <c r="X3231" s="44">
        <f t="shared" si="249"/>
        <v>0</v>
      </c>
      <c r="Y3231" s="44">
        <f t="shared" si="250"/>
        <v>0</v>
      </c>
    </row>
    <row r="3232" spans="23:25">
      <c r="W3232" s="44">
        <f t="shared" si="248"/>
        <v>0</v>
      </c>
      <c r="X3232" s="44">
        <f t="shared" si="249"/>
        <v>0</v>
      </c>
      <c r="Y3232" s="44">
        <f t="shared" si="250"/>
        <v>0</v>
      </c>
    </row>
    <row r="3233" spans="23:25">
      <c r="W3233" s="44">
        <f t="shared" si="248"/>
        <v>0</v>
      </c>
      <c r="X3233" s="44">
        <f t="shared" si="249"/>
        <v>0</v>
      </c>
      <c r="Y3233" s="44">
        <f t="shared" si="250"/>
        <v>0</v>
      </c>
    </row>
    <row r="3234" spans="23:25">
      <c r="W3234" s="44">
        <f t="shared" si="248"/>
        <v>0</v>
      </c>
      <c r="X3234" s="44">
        <f t="shared" si="249"/>
        <v>0</v>
      </c>
      <c r="Y3234" s="44">
        <f t="shared" si="250"/>
        <v>0</v>
      </c>
    </row>
    <row r="3235" spans="23:25">
      <c r="W3235" s="44">
        <f t="shared" si="248"/>
        <v>0</v>
      </c>
      <c r="X3235" s="44">
        <f t="shared" si="249"/>
        <v>0</v>
      </c>
      <c r="Y3235" s="44">
        <f t="shared" si="250"/>
        <v>0</v>
      </c>
    </row>
    <row r="3236" spans="23:25">
      <c r="W3236" s="44">
        <f t="shared" si="248"/>
        <v>0</v>
      </c>
      <c r="X3236" s="44">
        <f t="shared" si="249"/>
        <v>0</v>
      </c>
      <c r="Y3236" s="44">
        <f t="shared" si="250"/>
        <v>0</v>
      </c>
    </row>
    <row r="3237" spans="23:25">
      <c r="W3237" s="44">
        <f t="shared" si="248"/>
        <v>0</v>
      </c>
      <c r="X3237" s="44">
        <f t="shared" si="249"/>
        <v>0</v>
      </c>
      <c r="Y3237" s="44">
        <f t="shared" si="250"/>
        <v>0</v>
      </c>
    </row>
    <row r="3238" spans="23:25">
      <c r="W3238" s="44">
        <f t="shared" si="248"/>
        <v>0</v>
      </c>
      <c r="X3238" s="44">
        <f t="shared" si="249"/>
        <v>0</v>
      </c>
      <c r="Y3238" s="44">
        <f t="shared" si="250"/>
        <v>0</v>
      </c>
    </row>
    <row r="3239" spans="23:25">
      <c r="W3239" s="44">
        <f t="shared" si="248"/>
        <v>0</v>
      </c>
      <c r="X3239" s="44">
        <f t="shared" si="249"/>
        <v>0</v>
      </c>
      <c r="Y3239" s="44">
        <f t="shared" si="250"/>
        <v>0</v>
      </c>
    </row>
    <row r="3240" spans="23:25">
      <c r="W3240" s="44">
        <f t="shared" si="248"/>
        <v>0</v>
      </c>
      <c r="X3240" s="44">
        <f t="shared" si="249"/>
        <v>0</v>
      </c>
      <c r="Y3240" s="44">
        <f t="shared" si="250"/>
        <v>0</v>
      </c>
    </row>
    <row r="3241" spans="23:25">
      <c r="W3241" s="44">
        <f t="shared" si="248"/>
        <v>0</v>
      </c>
      <c r="X3241" s="44">
        <f t="shared" si="249"/>
        <v>0</v>
      </c>
      <c r="Y3241" s="44">
        <f t="shared" si="250"/>
        <v>0</v>
      </c>
    </row>
    <row r="3242" spans="23:25">
      <c r="W3242" s="44">
        <f t="shared" si="248"/>
        <v>0</v>
      </c>
      <c r="X3242" s="44">
        <f t="shared" si="249"/>
        <v>0</v>
      </c>
      <c r="Y3242" s="44">
        <f t="shared" si="250"/>
        <v>0</v>
      </c>
    </row>
    <row r="3243" spans="23:25">
      <c r="W3243" s="44">
        <f t="shared" si="248"/>
        <v>0</v>
      </c>
      <c r="X3243" s="44">
        <f t="shared" si="249"/>
        <v>0</v>
      </c>
      <c r="Y3243" s="44">
        <f t="shared" si="250"/>
        <v>0</v>
      </c>
    </row>
    <row r="3244" spans="23:25">
      <c r="W3244" s="44">
        <f t="shared" si="248"/>
        <v>0</v>
      </c>
      <c r="X3244" s="44">
        <f t="shared" si="249"/>
        <v>0</v>
      </c>
      <c r="Y3244" s="44">
        <f t="shared" si="250"/>
        <v>0</v>
      </c>
    </row>
    <row r="3245" spans="23:25">
      <c r="W3245" s="44">
        <f t="shared" si="248"/>
        <v>0</v>
      </c>
      <c r="X3245" s="44">
        <f t="shared" si="249"/>
        <v>0</v>
      </c>
      <c r="Y3245" s="44">
        <f t="shared" si="250"/>
        <v>0</v>
      </c>
    </row>
    <row r="3246" spans="23:25">
      <c r="W3246" s="44">
        <f t="shared" si="248"/>
        <v>0</v>
      </c>
      <c r="X3246" s="44">
        <f t="shared" si="249"/>
        <v>0</v>
      </c>
      <c r="Y3246" s="44">
        <f t="shared" si="250"/>
        <v>0</v>
      </c>
    </row>
    <row r="3247" spans="23:25">
      <c r="W3247" s="44">
        <f t="shared" si="248"/>
        <v>0</v>
      </c>
      <c r="X3247" s="44">
        <f t="shared" si="249"/>
        <v>0</v>
      </c>
      <c r="Y3247" s="44">
        <f t="shared" si="250"/>
        <v>0</v>
      </c>
    </row>
    <row r="3248" spans="23:25">
      <c r="W3248" s="44">
        <f t="shared" si="248"/>
        <v>0</v>
      </c>
      <c r="X3248" s="44">
        <f t="shared" si="249"/>
        <v>0</v>
      </c>
      <c r="Y3248" s="44">
        <f t="shared" si="250"/>
        <v>0</v>
      </c>
    </row>
    <row r="3249" spans="23:25">
      <c r="W3249" s="44">
        <f t="shared" si="248"/>
        <v>0</v>
      </c>
      <c r="X3249" s="44">
        <f t="shared" si="249"/>
        <v>0</v>
      </c>
      <c r="Y3249" s="44">
        <f t="shared" si="250"/>
        <v>0</v>
      </c>
    </row>
    <row r="3250" spans="23:25">
      <c r="W3250" s="44">
        <f t="shared" si="248"/>
        <v>0</v>
      </c>
      <c r="X3250" s="44">
        <f t="shared" si="249"/>
        <v>0</v>
      </c>
      <c r="Y3250" s="44">
        <f t="shared" si="250"/>
        <v>0</v>
      </c>
    </row>
    <row r="3251" spans="23:25">
      <c r="W3251" s="44">
        <f t="shared" si="248"/>
        <v>0</v>
      </c>
      <c r="X3251" s="44">
        <f t="shared" si="249"/>
        <v>0</v>
      </c>
      <c r="Y3251" s="44">
        <f t="shared" si="250"/>
        <v>0</v>
      </c>
    </row>
    <row r="3252" spans="23:25">
      <c r="W3252" s="44">
        <f t="shared" si="248"/>
        <v>0</v>
      </c>
      <c r="X3252" s="44">
        <f t="shared" si="249"/>
        <v>0</v>
      </c>
      <c r="Y3252" s="44">
        <f t="shared" si="250"/>
        <v>0</v>
      </c>
    </row>
    <row r="3253" spans="23:25">
      <c r="W3253" s="44">
        <f t="shared" si="248"/>
        <v>0</v>
      </c>
      <c r="X3253" s="44">
        <f t="shared" si="249"/>
        <v>0</v>
      </c>
      <c r="Y3253" s="44">
        <f t="shared" si="250"/>
        <v>0</v>
      </c>
    </row>
    <row r="3254" spans="23:25">
      <c r="W3254" s="44">
        <f t="shared" si="248"/>
        <v>0</v>
      </c>
      <c r="X3254" s="44">
        <f t="shared" si="249"/>
        <v>0</v>
      </c>
      <c r="Y3254" s="44">
        <f t="shared" si="250"/>
        <v>0</v>
      </c>
    </row>
    <row r="3255" spans="23:25">
      <c r="W3255" s="44">
        <f t="shared" si="248"/>
        <v>0</v>
      </c>
      <c r="X3255" s="44">
        <f t="shared" si="249"/>
        <v>0</v>
      </c>
      <c r="Y3255" s="44">
        <f t="shared" si="250"/>
        <v>0</v>
      </c>
    </row>
    <row r="3256" spans="23:25">
      <c r="W3256" s="44">
        <f t="shared" si="248"/>
        <v>0</v>
      </c>
      <c r="X3256" s="44">
        <f t="shared" si="249"/>
        <v>0</v>
      </c>
      <c r="Y3256" s="44">
        <f t="shared" si="250"/>
        <v>0</v>
      </c>
    </row>
    <row r="3257" spans="23:25">
      <c r="W3257" s="44">
        <f t="shared" si="248"/>
        <v>0</v>
      </c>
      <c r="X3257" s="44">
        <f t="shared" si="249"/>
        <v>0</v>
      </c>
      <c r="Y3257" s="44">
        <f t="shared" si="250"/>
        <v>0</v>
      </c>
    </row>
    <row r="3258" spans="23:25">
      <c r="W3258" s="44">
        <f t="shared" si="248"/>
        <v>0</v>
      </c>
      <c r="X3258" s="44">
        <f t="shared" si="249"/>
        <v>0</v>
      </c>
      <c r="Y3258" s="44">
        <f t="shared" si="250"/>
        <v>0</v>
      </c>
    </row>
    <row r="3259" spans="23:25">
      <c r="W3259" s="44">
        <f t="shared" si="248"/>
        <v>0</v>
      </c>
      <c r="X3259" s="44">
        <f t="shared" si="249"/>
        <v>0</v>
      </c>
      <c r="Y3259" s="44">
        <f t="shared" si="250"/>
        <v>0</v>
      </c>
    </row>
    <row r="3260" spans="23:25">
      <c r="W3260" s="44">
        <f t="shared" si="248"/>
        <v>0</v>
      </c>
      <c r="X3260" s="44">
        <f t="shared" si="249"/>
        <v>0</v>
      </c>
      <c r="Y3260" s="44">
        <f t="shared" si="250"/>
        <v>0</v>
      </c>
    </row>
    <row r="3261" spans="23:25">
      <c r="W3261" s="44">
        <f t="shared" si="248"/>
        <v>0</v>
      </c>
      <c r="X3261" s="44">
        <f t="shared" si="249"/>
        <v>0</v>
      </c>
      <c r="Y3261" s="44">
        <f t="shared" si="250"/>
        <v>0</v>
      </c>
    </row>
    <row r="3262" spans="23:25">
      <c r="W3262" s="44">
        <f t="shared" si="248"/>
        <v>0</v>
      </c>
      <c r="X3262" s="44">
        <f t="shared" si="249"/>
        <v>0</v>
      </c>
      <c r="Y3262" s="44">
        <f t="shared" si="250"/>
        <v>0</v>
      </c>
    </row>
    <row r="3263" spans="23:25">
      <c r="W3263" s="44">
        <f t="shared" si="248"/>
        <v>0</v>
      </c>
      <c r="X3263" s="44">
        <f t="shared" si="249"/>
        <v>0</v>
      </c>
      <c r="Y3263" s="44">
        <f t="shared" si="250"/>
        <v>0</v>
      </c>
    </row>
    <row r="3264" spans="23:25">
      <c r="W3264" s="44">
        <f t="shared" si="248"/>
        <v>0</v>
      </c>
      <c r="X3264" s="44">
        <f t="shared" si="249"/>
        <v>0</v>
      </c>
      <c r="Y3264" s="44">
        <f t="shared" si="250"/>
        <v>0</v>
      </c>
    </row>
    <row r="3265" spans="23:25">
      <c r="W3265" s="44">
        <f t="shared" si="248"/>
        <v>0</v>
      </c>
      <c r="X3265" s="44">
        <f t="shared" si="249"/>
        <v>0</v>
      </c>
      <c r="Y3265" s="44">
        <f t="shared" si="250"/>
        <v>0</v>
      </c>
    </row>
    <row r="3266" spans="23:25">
      <c r="W3266" s="44">
        <f t="shared" si="248"/>
        <v>0</v>
      </c>
      <c r="X3266" s="44">
        <f t="shared" si="249"/>
        <v>0</v>
      </c>
      <c r="Y3266" s="44">
        <f t="shared" si="250"/>
        <v>0</v>
      </c>
    </row>
    <row r="3267" spans="23:25">
      <c r="W3267" s="44">
        <f t="shared" si="248"/>
        <v>0</v>
      </c>
      <c r="X3267" s="44">
        <f t="shared" si="249"/>
        <v>0</v>
      </c>
      <c r="Y3267" s="44">
        <f t="shared" si="250"/>
        <v>0</v>
      </c>
    </row>
    <row r="3268" spans="23:25">
      <c r="W3268" s="44">
        <f t="shared" si="248"/>
        <v>0</v>
      </c>
      <c r="X3268" s="44">
        <f t="shared" si="249"/>
        <v>0</v>
      </c>
      <c r="Y3268" s="44">
        <f t="shared" si="250"/>
        <v>0</v>
      </c>
    </row>
    <row r="3269" spans="23:25">
      <c r="W3269" s="44">
        <f t="shared" si="248"/>
        <v>0</v>
      </c>
      <c r="X3269" s="44">
        <f t="shared" si="249"/>
        <v>0</v>
      </c>
      <c r="Y3269" s="44">
        <f t="shared" si="250"/>
        <v>0</v>
      </c>
    </row>
    <row r="3270" spans="23:25">
      <c r="W3270" s="44">
        <f t="shared" si="248"/>
        <v>0</v>
      </c>
      <c r="X3270" s="44">
        <f t="shared" si="249"/>
        <v>0</v>
      </c>
      <c r="Y3270" s="44">
        <f t="shared" si="250"/>
        <v>0</v>
      </c>
    </row>
    <row r="3271" spans="23:25">
      <c r="W3271" s="44">
        <f t="shared" si="248"/>
        <v>0</v>
      </c>
      <c r="X3271" s="44">
        <f t="shared" si="249"/>
        <v>0</v>
      </c>
      <c r="Y3271" s="44">
        <f t="shared" si="250"/>
        <v>0</v>
      </c>
    </row>
    <row r="3272" spans="23:25">
      <c r="W3272" s="44">
        <f t="shared" ref="W3272:W3335" si="251">+T3272-U3272-V3272-Z3272</f>
        <v>0</v>
      </c>
      <c r="X3272" s="44">
        <f t="shared" ref="X3272:X3335" si="252">(+O3272-U3272)*$X$1</f>
        <v>0</v>
      </c>
      <c r="Y3272" s="44">
        <f t="shared" ref="Y3272:Y3335" si="253">+W3272-X3272</f>
        <v>0</v>
      </c>
    </row>
    <row r="3273" spans="23:25">
      <c r="W3273" s="44">
        <f t="shared" si="251"/>
        <v>0</v>
      </c>
      <c r="X3273" s="44">
        <f t="shared" si="252"/>
        <v>0</v>
      </c>
      <c r="Y3273" s="44">
        <f t="shared" si="253"/>
        <v>0</v>
      </c>
    </row>
    <row r="3274" spans="23:25">
      <c r="W3274" s="44">
        <f t="shared" si="251"/>
        <v>0</v>
      </c>
      <c r="X3274" s="44">
        <f t="shared" si="252"/>
        <v>0</v>
      </c>
      <c r="Y3274" s="44">
        <f t="shared" si="253"/>
        <v>0</v>
      </c>
    </row>
    <row r="3275" spans="23:25">
      <c r="W3275" s="44">
        <f t="shared" si="251"/>
        <v>0</v>
      </c>
      <c r="X3275" s="44">
        <f t="shared" si="252"/>
        <v>0</v>
      </c>
      <c r="Y3275" s="44">
        <f t="shared" si="253"/>
        <v>0</v>
      </c>
    </row>
    <row r="3276" spans="23:25">
      <c r="W3276" s="44">
        <f t="shared" si="251"/>
        <v>0</v>
      </c>
      <c r="X3276" s="44">
        <f t="shared" si="252"/>
        <v>0</v>
      </c>
      <c r="Y3276" s="44">
        <f t="shared" si="253"/>
        <v>0</v>
      </c>
    </row>
    <row r="3277" spans="23:25">
      <c r="W3277" s="44">
        <f t="shared" si="251"/>
        <v>0</v>
      </c>
      <c r="X3277" s="44">
        <f t="shared" si="252"/>
        <v>0</v>
      </c>
      <c r="Y3277" s="44">
        <f t="shared" si="253"/>
        <v>0</v>
      </c>
    </row>
    <row r="3278" spans="23:25">
      <c r="W3278" s="44">
        <f t="shared" si="251"/>
        <v>0</v>
      </c>
      <c r="X3278" s="44">
        <f t="shared" si="252"/>
        <v>0</v>
      </c>
      <c r="Y3278" s="44">
        <f t="shared" si="253"/>
        <v>0</v>
      </c>
    </row>
    <row r="3279" spans="23:25">
      <c r="W3279" s="44">
        <f t="shared" si="251"/>
        <v>0</v>
      </c>
      <c r="X3279" s="44">
        <f t="shared" si="252"/>
        <v>0</v>
      </c>
      <c r="Y3279" s="44">
        <f t="shared" si="253"/>
        <v>0</v>
      </c>
    </row>
    <row r="3280" spans="23:25">
      <c r="W3280" s="44">
        <f t="shared" si="251"/>
        <v>0</v>
      </c>
      <c r="X3280" s="44">
        <f t="shared" si="252"/>
        <v>0</v>
      </c>
      <c r="Y3280" s="44">
        <f t="shared" si="253"/>
        <v>0</v>
      </c>
    </row>
    <row r="3281" spans="23:25">
      <c r="W3281" s="44">
        <f t="shared" si="251"/>
        <v>0</v>
      </c>
      <c r="X3281" s="44">
        <f t="shared" si="252"/>
        <v>0</v>
      </c>
      <c r="Y3281" s="44">
        <f t="shared" si="253"/>
        <v>0</v>
      </c>
    </row>
    <row r="3282" spans="23:25">
      <c r="W3282" s="44">
        <f t="shared" si="251"/>
        <v>0</v>
      </c>
      <c r="X3282" s="44">
        <f t="shared" si="252"/>
        <v>0</v>
      </c>
      <c r="Y3282" s="44">
        <f t="shared" si="253"/>
        <v>0</v>
      </c>
    </row>
    <row r="3283" spans="23:25">
      <c r="W3283" s="44">
        <f t="shared" si="251"/>
        <v>0</v>
      </c>
      <c r="X3283" s="44">
        <f t="shared" si="252"/>
        <v>0</v>
      </c>
      <c r="Y3283" s="44">
        <f t="shared" si="253"/>
        <v>0</v>
      </c>
    </row>
    <row r="3284" spans="23:25">
      <c r="W3284" s="44">
        <f t="shared" si="251"/>
        <v>0</v>
      </c>
      <c r="X3284" s="44">
        <f t="shared" si="252"/>
        <v>0</v>
      </c>
      <c r="Y3284" s="44">
        <f t="shared" si="253"/>
        <v>0</v>
      </c>
    </row>
    <row r="3285" spans="23:25">
      <c r="W3285" s="44">
        <f t="shared" si="251"/>
        <v>0</v>
      </c>
      <c r="X3285" s="44">
        <f t="shared" si="252"/>
        <v>0</v>
      </c>
      <c r="Y3285" s="44">
        <f t="shared" si="253"/>
        <v>0</v>
      </c>
    </row>
    <row r="3286" spans="23:25">
      <c r="W3286" s="44">
        <f t="shared" si="251"/>
        <v>0</v>
      </c>
      <c r="X3286" s="44">
        <f t="shared" si="252"/>
        <v>0</v>
      </c>
      <c r="Y3286" s="44">
        <f t="shared" si="253"/>
        <v>0</v>
      </c>
    </row>
    <row r="3287" spans="23:25">
      <c r="W3287" s="44">
        <f t="shared" si="251"/>
        <v>0</v>
      </c>
      <c r="X3287" s="44">
        <f t="shared" si="252"/>
        <v>0</v>
      </c>
      <c r="Y3287" s="44">
        <f t="shared" si="253"/>
        <v>0</v>
      </c>
    </row>
    <row r="3288" spans="23:25">
      <c r="W3288" s="44">
        <f t="shared" si="251"/>
        <v>0</v>
      </c>
      <c r="X3288" s="44">
        <f t="shared" si="252"/>
        <v>0</v>
      </c>
      <c r="Y3288" s="44">
        <f t="shared" si="253"/>
        <v>0</v>
      </c>
    </row>
    <row r="3289" spans="23:25">
      <c r="W3289" s="44">
        <f t="shared" si="251"/>
        <v>0</v>
      </c>
      <c r="X3289" s="44">
        <f t="shared" si="252"/>
        <v>0</v>
      </c>
      <c r="Y3289" s="44">
        <f t="shared" si="253"/>
        <v>0</v>
      </c>
    </row>
    <row r="3290" spans="23:25">
      <c r="W3290" s="44">
        <f t="shared" si="251"/>
        <v>0</v>
      </c>
      <c r="X3290" s="44">
        <f t="shared" si="252"/>
        <v>0</v>
      </c>
      <c r="Y3290" s="44">
        <f t="shared" si="253"/>
        <v>0</v>
      </c>
    </row>
    <row r="3291" spans="23:25">
      <c r="W3291" s="44">
        <f t="shared" si="251"/>
        <v>0</v>
      </c>
      <c r="X3291" s="44">
        <f t="shared" si="252"/>
        <v>0</v>
      </c>
      <c r="Y3291" s="44">
        <f t="shared" si="253"/>
        <v>0</v>
      </c>
    </row>
    <row r="3292" spans="23:25">
      <c r="W3292" s="44">
        <f t="shared" si="251"/>
        <v>0</v>
      </c>
      <c r="X3292" s="44">
        <f t="shared" si="252"/>
        <v>0</v>
      </c>
      <c r="Y3292" s="44">
        <f t="shared" si="253"/>
        <v>0</v>
      </c>
    </row>
    <row r="3293" spans="23:25">
      <c r="W3293" s="44">
        <f t="shared" si="251"/>
        <v>0</v>
      </c>
      <c r="X3293" s="44">
        <f t="shared" si="252"/>
        <v>0</v>
      </c>
      <c r="Y3293" s="44">
        <f t="shared" si="253"/>
        <v>0</v>
      </c>
    </row>
    <row r="3294" spans="23:25">
      <c r="W3294" s="44">
        <f t="shared" si="251"/>
        <v>0</v>
      </c>
      <c r="X3294" s="44">
        <f t="shared" si="252"/>
        <v>0</v>
      </c>
      <c r="Y3294" s="44">
        <f t="shared" si="253"/>
        <v>0</v>
      </c>
    </row>
    <row r="3295" spans="23:25">
      <c r="W3295" s="44">
        <f t="shared" si="251"/>
        <v>0</v>
      </c>
      <c r="X3295" s="44">
        <f t="shared" si="252"/>
        <v>0</v>
      </c>
      <c r="Y3295" s="44">
        <f t="shared" si="253"/>
        <v>0</v>
      </c>
    </row>
    <row r="3296" spans="23:25">
      <c r="W3296" s="44">
        <f t="shared" si="251"/>
        <v>0</v>
      </c>
      <c r="X3296" s="44">
        <f t="shared" si="252"/>
        <v>0</v>
      </c>
      <c r="Y3296" s="44">
        <f t="shared" si="253"/>
        <v>0</v>
      </c>
    </row>
    <row r="3297" spans="23:25">
      <c r="W3297" s="44">
        <f t="shared" si="251"/>
        <v>0</v>
      </c>
      <c r="X3297" s="44">
        <f t="shared" si="252"/>
        <v>0</v>
      </c>
      <c r="Y3297" s="44">
        <f t="shared" si="253"/>
        <v>0</v>
      </c>
    </row>
    <row r="3298" spans="23:25">
      <c r="W3298" s="44">
        <f t="shared" si="251"/>
        <v>0</v>
      </c>
      <c r="X3298" s="44">
        <f t="shared" si="252"/>
        <v>0</v>
      </c>
      <c r="Y3298" s="44">
        <f t="shared" si="253"/>
        <v>0</v>
      </c>
    </row>
    <row r="3299" spans="23:25">
      <c r="W3299" s="44">
        <f t="shared" si="251"/>
        <v>0</v>
      </c>
      <c r="X3299" s="44">
        <f t="shared" si="252"/>
        <v>0</v>
      </c>
      <c r="Y3299" s="44">
        <f t="shared" si="253"/>
        <v>0</v>
      </c>
    </row>
    <row r="3300" spans="23:25">
      <c r="W3300" s="44">
        <f t="shared" si="251"/>
        <v>0</v>
      </c>
      <c r="X3300" s="44">
        <f t="shared" si="252"/>
        <v>0</v>
      </c>
      <c r="Y3300" s="44">
        <f t="shared" si="253"/>
        <v>0</v>
      </c>
    </row>
    <row r="3301" spans="23:25">
      <c r="W3301" s="44">
        <f t="shared" si="251"/>
        <v>0</v>
      </c>
      <c r="X3301" s="44">
        <f t="shared" si="252"/>
        <v>0</v>
      </c>
      <c r="Y3301" s="44">
        <f t="shared" si="253"/>
        <v>0</v>
      </c>
    </row>
    <row r="3302" spans="23:25">
      <c r="W3302" s="44">
        <f t="shared" si="251"/>
        <v>0</v>
      </c>
      <c r="X3302" s="44">
        <f t="shared" si="252"/>
        <v>0</v>
      </c>
      <c r="Y3302" s="44">
        <f t="shared" si="253"/>
        <v>0</v>
      </c>
    </row>
    <row r="3303" spans="23:25">
      <c r="W3303" s="44">
        <f t="shared" si="251"/>
        <v>0</v>
      </c>
      <c r="X3303" s="44">
        <f t="shared" si="252"/>
        <v>0</v>
      </c>
      <c r="Y3303" s="44">
        <f t="shared" si="253"/>
        <v>0</v>
      </c>
    </row>
    <row r="3304" spans="23:25">
      <c r="W3304" s="44">
        <f t="shared" si="251"/>
        <v>0</v>
      </c>
      <c r="X3304" s="44">
        <f t="shared" si="252"/>
        <v>0</v>
      </c>
      <c r="Y3304" s="44">
        <f t="shared" si="253"/>
        <v>0</v>
      </c>
    </row>
    <row r="3305" spans="23:25">
      <c r="W3305" s="44">
        <f t="shared" si="251"/>
        <v>0</v>
      </c>
      <c r="X3305" s="44">
        <f t="shared" si="252"/>
        <v>0</v>
      </c>
      <c r="Y3305" s="44">
        <f t="shared" si="253"/>
        <v>0</v>
      </c>
    </row>
    <row r="3306" spans="23:25">
      <c r="W3306" s="44">
        <f t="shared" si="251"/>
        <v>0</v>
      </c>
      <c r="X3306" s="44">
        <f t="shared" si="252"/>
        <v>0</v>
      </c>
      <c r="Y3306" s="44">
        <f t="shared" si="253"/>
        <v>0</v>
      </c>
    </row>
    <row r="3307" spans="23:25">
      <c r="W3307" s="44">
        <f t="shared" si="251"/>
        <v>0</v>
      </c>
      <c r="X3307" s="44">
        <f t="shared" si="252"/>
        <v>0</v>
      </c>
      <c r="Y3307" s="44">
        <f t="shared" si="253"/>
        <v>0</v>
      </c>
    </row>
    <row r="3308" spans="23:25">
      <c r="W3308" s="44">
        <f t="shared" si="251"/>
        <v>0</v>
      </c>
      <c r="X3308" s="44">
        <f t="shared" si="252"/>
        <v>0</v>
      </c>
      <c r="Y3308" s="44">
        <f t="shared" si="253"/>
        <v>0</v>
      </c>
    </row>
    <row r="3309" spans="23:25">
      <c r="W3309" s="44">
        <f t="shared" si="251"/>
        <v>0</v>
      </c>
      <c r="X3309" s="44">
        <f t="shared" si="252"/>
        <v>0</v>
      </c>
      <c r="Y3309" s="44">
        <f t="shared" si="253"/>
        <v>0</v>
      </c>
    </row>
    <row r="3310" spans="23:25">
      <c r="W3310" s="44">
        <f t="shared" si="251"/>
        <v>0</v>
      </c>
      <c r="X3310" s="44">
        <f t="shared" si="252"/>
        <v>0</v>
      </c>
      <c r="Y3310" s="44">
        <f t="shared" si="253"/>
        <v>0</v>
      </c>
    </row>
    <row r="3311" spans="23:25">
      <c r="W3311" s="44">
        <f t="shared" si="251"/>
        <v>0</v>
      </c>
      <c r="X3311" s="44">
        <f t="shared" si="252"/>
        <v>0</v>
      </c>
      <c r="Y3311" s="44">
        <f t="shared" si="253"/>
        <v>0</v>
      </c>
    </row>
    <row r="3312" spans="23:25">
      <c r="W3312" s="44">
        <f t="shared" si="251"/>
        <v>0</v>
      </c>
      <c r="X3312" s="44">
        <f t="shared" si="252"/>
        <v>0</v>
      </c>
      <c r="Y3312" s="44">
        <f t="shared" si="253"/>
        <v>0</v>
      </c>
    </row>
    <row r="3313" spans="23:25">
      <c r="W3313" s="44">
        <f t="shared" si="251"/>
        <v>0</v>
      </c>
      <c r="X3313" s="44">
        <f t="shared" si="252"/>
        <v>0</v>
      </c>
      <c r="Y3313" s="44">
        <f t="shared" si="253"/>
        <v>0</v>
      </c>
    </row>
    <row r="3314" spans="23:25">
      <c r="W3314" s="44">
        <f t="shared" si="251"/>
        <v>0</v>
      </c>
      <c r="X3314" s="44">
        <f t="shared" si="252"/>
        <v>0</v>
      </c>
      <c r="Y3314" s="44">
        <f t="shared" si="253"/>
        <v>0</v>
      </c>
    </row>
    <row r="3315" spans="23:25">
      <c r="W3315" s="44">
        <f t="shared" si="251"/>
        <v>0</v>
      </c>
      <c r="X3315" s="44">
        <f t="shared" si="252"/>
        <v>0</v>
      </c>
      <c r="Y3315" s="44">
        <f t="shared" si="253"/>
        <v>0</v>
      </c>
    </row>
    <row r="3316" spans="23:25">
      <c r="W3316" s="44">
        <f t="shared" si="251"/>
        <v>0</v>
      </c>
      <c r="X3316" s="44">
        <f t="shared" si="252"/>
        <v>0</v>
      </c>
      <c r="Y3316" s="44">
        <f t="shared" si="253"/>
        <v>0</v>
      </c>
    </row>
    <row r="3317" spans="23:25">
      <c r="W3317" s="44">
        <f t="shared" si="251"/>
        <v>0</v>
      </c>
      <c r="X3317" s="44">
        <f t="shared" si="252"/>
        <v>0</v>
      </c>
      <c r="Y3317" s="44">
        <f t="shared" si="253"/>
        <v>0</v>
      </c>
    </row>
    <row r="3318" spans="23:25">
      <c r="W3318" s="44">
        <f t="shared" si="251"/>
        <v>0</v>
      </c>
      <c r="X3318" s="44">
        <f t="shared" si="252"/>
        <v>0</v>
      </c>
      <c r="Y3318" s="44">
        <f t="shared" si="253"/>
        <v>0</v>
      </c>
    </row>
    <row r="3319" spans="23:25">
      <c r="W3319" s="44">
        <f t="shared" si="251"/>
        <v>0</v>
      </c>
      <c r="X3319" s="44">
        <f t="shared" si="252"/>
        <v>0</v>
      </c>
      <c r="Y3319" s="44">
        <f t="shared" si="253"/>
        <v>0</v>
      </c>
    </row>
    <row r="3320" spans="23:25">
      <c r="W3320" s="44">
        <f t="shared" si="251"/>
        <v>0</v>
      </c>
      <c r="X3320" s="44">
        <f t="shared" si="252"/>
        <v>0</v>
      </c>
      <c r="Y3320" s="44">
        <f t="shared" si="253"/>
        <v>0</v>
      </c>
    </row>
    <row r="3321" spans="23:25">
      <c r="W3321" s="44">
        <f t="shared" si="251"/>
        <v>0</v>
      </c>
      <c r="X3321" s="44">
        <f t="shared" si="252"/>
        <v>0</v>
      </c>
      <c r="Y3321" s="44">
        <f t="shared" si="253"/>
        <v>0</v>
      </c>
    </row>
    <row r="3322" spans="23:25">
      <c r="W3322" s="44">
        <f t="shared" si="251"/>
        <v>0</v>
      </c>
      <c r="X3322" s="44">
        <f t="shared" si="252"/>
        <v>0</v>
      </c>
      <c r="Y3322" s="44">
        <f t="shared" si="253"/>
        <v>0</v>
      </c>
    </row>
    <row r="3323" spans="23:25">
      <c r="W3323" s="44">
        <f t="shared" si="251"/>
        <v>0</v>
      </c>
      <c r="X3323" s="44">
        <f t="shared" si="252"/>
        <v>0</v>
      </c>
      <c r="Y3323" s="44">
        <f t="shared" si="253"/>
        <v>0</v>
      </c>
    </row>
    <row r="3324" spans="23:25">
      <c r="W3324" s="44">
        <f t="shared" si="251"/>
        <v>0</v>
      </c>
      <c r="X3324" s="44">
        <f t="shared" si="252"/>
        <v>0</v>
      </c>
      <c r="Y3324" s="44">
        <f t="shared" si="253"/>
        <v>0</v>
      </c>
    </row>
    <row r="3325" spans="23:25">
      <c r="W3325" s="44">
        <f t="shared" si="251"/>
        <v>0</v>
      </c>
      <c r="X3325" s="44">
        <f t="shared" si="252"/>
        <v>0</v>
      </c>
      <c r="Y3325" s="44">
        <f t="shared" si="253"/>
        <v>0</v>
      </c>
    </row>
    <row r="3326" spans="23:25">
      <c r="W3326" s="44">
        <f t="shared" si="251"/>
        <v>0</v>
      </c>
      <c r="X3326" s="44">
        <f t="shared" si="252"/>
        <v>0</v>
      </c>
      <c r="Y3326" s="44">
        <f t="shared" si="253"/>
        <v>0</v>
      </c>
    </row>
    <row r="3327" spans="23:25">
      <c r="W3327" s="44">
        <f t="shared" si="251"/>
        <v>0</v>
      </c>
      <c r="X3327" s="44">
        <f t="shared" si="252"/>
        <v>0</v>
      </c>
      <c r="Y3327" s="44">
        <f t="shared" si="253"/>
        <v>0</v>
      </c>
    </row>
    <row r="3328" spans="23:25">
      <c r="W3328" s="44">
        <f t="shared" si="251"/>
        <v>0</v>
      </c>
      <c r="X3328" s="44">
        <f t="shared" si="252"/>
        <v>0</v>
      </c>
      <c r="Y3328" s="44">
        <f t="shared" si="253"/>
        <v>0</v>
      </c>
    </row>
    <row r="3329" spans="23:25">
      <c r="W3329" s="44">
        <f t="shared" si="251"/>
        <v>0</v>
      </c>
      <c r="X3329" s="44">
        <f t="shared" si="252"/>
        <v>0</v>
      </c>
      <c r="Y3329" s="44">
        <f t="shared" si="253"/>
        <v>0</v>
      </c>
    </row>
    <row r="3330" spans="23:25">
      <c r="W3330" s="44">
        <f t="shared" si="251"/>
        <v>0</v>
      </c>
      <c r="X3330" s="44">
        <f t="shared" si="252"/>
        <v>0</v>
      </c>
      <c r="Y3330" s="44">
        <f t="shared" si="253"/>
        <v>0</v>
      </c>
    </row>
    <row r="3331" spans="23:25">
      <c r="W3331" s="44">
        <f t="shared" si="251"/>
        <v>0</v>
      </c>
      <c r="X3331" s="44">
        <f t="shared" si="252"/>
        <v>0</v>
      </c>
      <c r="Y3331" s="44">
        <f t="shared" si="253"/>
        <v>0</v>
      </c>
    </row>
    <row r="3332" spans="23:25">
      <c r="W3332" s="44">
        <f t="shared" si="251"/>
        <v>0</v>
      </c>
      <c r="X3332" s="44">
        <f t="shared" si="252"/>
        <v>0</v>
      </c>
      <c r="Y3332" s="44">
        <f t="shared" si="253"/>
        <v>0</v>
      </c>
    </row>
    <row r="3333" spans="23:25">
      <c r="W3333" s="44">
        <f t="shared" si="251"/>
        <v>0</v>
      </c>
      <c r="X3333" s="44">
        <f t="shared" si="252"/>
        <v>0</v>
      </c>
      <c r="Y3333" s="44">
        <f t="shared" si="253"/>
        <v>0</v>
      </c>
    </row>
    <row r="3334" spans="23:25">
      <c r="W3334" s="44">
        <f t="shared" si="251"/>
        <v>0</v>
      </c>
      <c r="X3334" s="44">
        <f t="shared" si="252"/>
        <v>0</v>
      </c>
      <c r="Y3334" s="44">
        <f t="shared" si="253"/>
        <v>0</v>
      </c>
    </row>
    <row r="3335" spans="23:25">
      <c r="W3335" s="44">
        <f t="shared" si="251"/>
        <v>0</v>
      </c>
      <c r="X3335" s="44">
        <f t="shared" si="252"/>
        <v>0</v>
      </c>
      <c r="Y3335" s="44">
        <f t="shared" si="253"/>
        <v>0</v>
      </c>
    </row>
    <row r="3336" spans="23:25">
      <c r="W3336" s="44">
        <f t="shared" ref="W3336:W3399" si="254">+T3336-U3336-V3336-Z3336</f>
        <v>0</v>
      </c>
      <c r="X3336" s="44">
        <f t="shared" ref="X3336:X3399" si="255">(+O3336-U3336)*$X$1</f>
        <v>0</v>
      </c>
      <c r="Y3336" s="44">
        <f t="shared" ref="Y3336:Y3399" si="256">+W3336-X3336</f>
        <v>0</v>
      </c>
    </row>
    <row r="3337" spans="23:25">
      <c r="W3337" s="44">
        <f t="shared" si="254"/>
        <v>0</v>
      </c>
      <c r="X3337" s="44">
        <f t="shared" si="255"/>
        <v>0</v>
      </c>
      <c r="Y3337" s="44">
        <f t="shared" si="256"/>
        <v>0</v>
      </c>
    </row>
    <row r="3338" spans="23:25">
      <c r="W3338" s="44">
        <f t="shared" si="254"/>
        <v>0</v>
      </c>
      <c r="X3338" s="44">
        <f t="shared" si="255"/>
        <v>0</v>
      </c>
      <c r="Y3338" s="44">
        <f t="shared" si="256"/>
        <v>0</v>
      </c>
    </row>
    <row r="3339" spans="23:25">
      <c r="W3339" s="44">
        <f t="shared" si="254"/>
        <v>0</v>
      </c>
      <c r="X3339" s="44">
        <f t="shared" si="255"/>
        <v>0</v>
      </c>
      <c r="Y3339" s="44">
        <f t="shared" si="256"/>
        <v>0</v>
      </c>
    </row>
    <row r="3340" spans="23:25">
      <c r="W3340" s="44">
        <f t="shared" si="254"/>
        <v>0</v>
      </c>
      <c r="X3340" s="44">
        <f t="shared" si="255"/>
        <v>0</v>
      </c>
      <c r="Y3340" s="44">
        <f t="shared" si="256"/>
        <v>0</v>
      </c>
    </row>
    <row r="3341" spans="23:25">
      <c r="W3341" s="44">
        <f t="shared" si="254"/>
        <v>0</v>
      </c>
      <c r="X3341" s="44">
        <f t="shared" si="255"/>
        <v>0</v>
      </c>
      <c r="Y3341" s="44">
        <f t="shared" si="256"/>
        <v>0</v>
      </c>
    </row>
    <row r="3342" spans="23:25">
      <c r="W3342" s="44">
        <f t="shared" si="254"/>
        <v>0</v>
      </c>
      <c r="X3342" s="44">
        <f t="shared" si="255"/>
        <v>0</v>
      </c>
      <c r="Y3342" s="44">
        <f t="shared" si="256"/>
        <v>0</v>
      </c>
    </row>
    <row r="3343" spans="23:25">
      <c r="W3343" s="44">
        <f t="shared" si="254"/>
        <v>0</v>
      </c>
      <c r="X3343" s="44">
        <f t="shared" si="255"/>
        <v>0</v>
      </c>
      <c r="Y3343" s="44">
        <f t="shared" si="256"/>
        <v>0</v>
      </c>
    </row>
    <row r="3344" spans="23:25">
      <c r="W3344" s="44">
        <f t="shared" si="254"/>
        <v>0</v>
      </c>
      <c r="X3344" s="44">
        <f t="shared" si="255"/>
        <v>0</v>
      </c>
      <c r="Y3344" s="44">
        <f t="shared" si="256"/>
        <v>0</v>
      </c>
    </row>
    <row r="3345" spans="23:25">
      <c r="W3345" s="44">
        <f t="shared" si="254"/>
        <v>0</v>
      </c>
      <c r="X3345" s="44">
        <f t="shared" si="255"/>
        <v>0</v>
      </c>
      <c r="Y3345" s="44">
        <f t="shared" si="256"/>
        <v>0</v>
      </c>
    </row>
    <row r="3346" spans="23:25">
      <c r="W3346" s="44">
        <f t="shared" si="254"/>
        <v>0</v>
      </c>
      <c r="X3346" s="44">
        <f t="shared" si="255"/>
        <v>0</v>
      </c>
      <c r="Y3346" s="44">
        <f t="shared" si="256"/>
        <v>0</v>
      </c>
    </row>
    <row r="3347" spans="23:25">
      <c r="W3347" s="44">
        <f t="shared" si="254"/>
        <v>0</v>
      </c>
      <c r="X3347" s="44">
        <f t="shared" si="255"/>
        <v>0</v>
      </c>
      <c r="Y3347" s="44">
        <f t="shared" si="256"/>
        <v>0</v>
      </c>
    </row>
    <row r="3348" spans="23:25">
      <c r="W3348" s="44">
        <f t="shared" si="254"/>
        <v>0</v>
      </c>
      <c r="X3348" s="44">
        <f t="shared" si="255"/>
        <v>0</v>
      </c>
      <c r="Y3348" s="44">
        <f t="shared" si="256"/>
        <v>0</v>
      </c>
    </row>
    <row r="3349" spans="23:25">
      <c r="W3349" s="44">
        <f t="shared" si="254"/>
        <v>0</v>
      </c>
      <c r="X3349" s="44">
        <f t="shared" si="255"/>
        <v>0</v>
      </c>
      <c r="Y3349" s="44">
        <f t="shared" si="256"/>
        <v>0</v>
      </c>
    </row>
    <row r="3350" spans="23:25">
      <c r="W3350" s="44">
        <f t="shared" si="254"/>
        <v>0</v>
      </c>
      <c r="X3350" s="44">
        <f t="shared" si="255"/>
        <v>0</v>
      </c>
      <c r="Y3350" s="44">
        <f t="shared" si="256"/>
        <v>0</v>
      </c>
    </row>
    <row r="3351" spans="23:25">
      <c r="W3351" s="44">
        <f t="shared" si="254"/>
        <v>0</v>
      </c>
      <c r="X3351" s="44">
        <f t="shared" si="255"/>
        <v>0</v>
      </c>
      <c r="Y3351" s="44">
        <f t="shared" si="256"/>
        <v>0</v>
      </c>
    </row>
    <row r="3352" spans="23:25">
      <c r="W3352" s="44">
        <f t="shared" si="254"/>
        <v>0</v>
      </c>
      <c r="X3352" s="44">
        <f t="shared" si="255"/>
        <v>0</v>
      </c>
      <c r="Y3352" s="44">
        <f t="shared" si="256"/>
        <v>0</v>
      </c>
    </row>
    <row r="3353" spans="23:25">
      <c r="W3353" s="44">
        <f t="shared" si="254"/>
        <v>0</v>
      </c>
      <c r="X3353" s="44">
        <f t="shared" si="255"/>
        <v>0</v>
      </c>
      <c r="Y3353" s="44">
        <f t="shared" si="256"/>
        <v>0</v>
      </c>
    </row>
    <row r="3354" spans="23:25">
      <c r="W3354" s="44">
        <f t="shared" si="254"/>
        <v>0</v>
      </c>
      <c r="X3354" s="44">
        <f t="shared" si="255"/>
        <v>0</v>
      </c>
      <c r="Y3354" s="44">
        <f t="shared" si="256"/>
        <v>0</v>
      </c>
    </row>
    <row r="3355" spans="23:25">
      <c r="W3355" s="44">
        <f t="shared" si="254"/>
        <v>0</v>
      </c>
      <c r="X3355" s="44">
        <f t="shared" si="255"/>
        <v>0</v>
      </c>
      <c r="Y3355" s="44">
        <f t="shared" si="256"/>
        <v>0</v>
      </c>
    </row>
    <row r="3356" spans="23:25">
      <c r="W3356" s="44">
        <f t="shared" si="254"/>
        <v>0</v>
      </c>
      <c r="X3356" s="44">
        <f t="shared" si="255"/>
        <v>0</v>
      </c>
      <c r="Y3356" s="44">
        <f t="shared" si="256"/>
        <v>0</v>
      </c>
    </row>
    <row r="3357" spans="23:25">
      <c r="W3357" s="44">
        <f t="shared" si="254"/>
        <v>0</v>
      </c>
      <c r="X3357" s="44">
        <f t="shared" si="255"/>
        <v>0</v>
      </c>
      <c r="Y3357" s="44">
        <f t="shared" si="256"/>
        <v>0</v>
      </c>
    </row>
    <row r="3358" spans="23:25">
      <c r="W3358" s="44">
        <f t="shared" si="254"/>
        <v>0</v>
      </c>
      <c r="X3358" s="44">
        <f t="shared" si="255"/>
        <v>0</v>
      </c>
      <c r="Y3358" s="44">
        <f t="shared" si="256"/>
        <v>0</v>
      </c>
    </row>
    <row r="3359" spans="23:25">
      <c r="W3359" s="44">
        <f t="shared" si="254"/>
        <v>0</v>
      </c>
      <c r="X3359" s="44">
        <f t="shared" si="255"/>
        <v>0</v>
      </c>
      <c r="Y3359" s="44">
        <f t="shared" si="256"/>
        <v>0</v>
      </c>
    </row>
    <row r="3360" spans="23:25">
      <c r="W3360" s="44">
        <f t="shared" si="254"/>
        <v>0</v>
      </c>
      <c r="X3360" s="44">
        <f t="shared" si="255"/>
        <v>0</v>
      </c>
      <c r="Y3360" s="44">
        <f t="shared" si="256"/>
        <v>0</v>
      </c>
    </row>
    <row r="3361" spans="23:25">
      <c r="W3361" s="44">
        <f t="shared" si="254"/>
        <v>0</v>
      </c>
      <c r="X3361" s="44">
        <f t="shared" si="255"/>
        <v>0</v>
      </c>
      <c r="Y3361" s="44">
        <f t="shared" si="256"/>
        <v>0</v>
      </c>
    </row>
    <row r="3362" spans="23:25">
      <c r="W3362" s="44">
        <f t="shared" si="254"/>
        <v>0</v>
      </c>
      <c r="X3362" s="44">
        <f t="shared" si="255"/>
        <v>0</v>
      </c>
      <c r="Y3362" s="44">
        <f t="shared" si="256"/>
        <v>0</v>
      </c>
    </row>
    <row r="3363" spans="23:25">
      <c r="W3363" s="44">
        <f t="shared" si="254"/>
        <v>0</v>
      </c>
      <c r="X3363" s="44">
        <f t="shared" si="255"/>
        <v>0</v>
      </c>
      <c r="Y3363" s="44">
        <f t="shared" si="256"/>
        <v>0</v>
      </c>
    </row>
    <row r="3364" spans="23:25">
      <c r="W3364" s="44">
        <f t="shared" si="254"/>
        <v>0</v>
      </c>
      <c r="X3364" s="44">
        <f t="shared" si="255"/>
        <v>0</v>
      </c>
      <c r="Y3364" s="44">
        <f t="shared" si="256"/>
        <v>0</v>
      </c>
    </row>
    <row r="3365" spans="23:25">
      <c r="W3365" s="44">
        <f t="shared" si="254"/>
        <v>0</v>
      </c>
      <c r="X3365" s="44">
        <f t="shared" si="255"/>
        <v>0</v>
      </c>
      <c r="Y3365" s="44">
        <f t="shared" si="256"/>
        <v>0</v>
      </c>
    </row>
    <row r="3366" spans="23:25">
      <c r="W3366" s="44">
        <f t="shared" si="254"/>
        <v>0</v>
      </c>
      <c r="X3366" s="44">
        <f t="shared" si="255"/>
        <v>0</v>
      </c>
      <c r="Y3366" s="44">
        <f t="shared" si="256"/>
        <v>0</v>
      </c>
    </row>
    <row r="3367" spans="23:25">
      <c r="W3367" s="44">
        <f t="shared" si="254"/>
        <v>0</v>
      </c>
      <c r="X3367" s="44">
        <f t="shared" si="255"/>
        <v>0</v>
      </c>
      <c r="Y3367" s="44">
        <f t="shared" si="256"/>
        <v>0</v>
      </c>
    </row>
    <row r="3368" spans="23:25">
      <c r="W3368" s="44">
        <f t="shared" si="254"/>
        <v>0</v>
      </c>
      <c r="X3368" s="44">
        <f t="shared" si="255"/>
        <v>0</v>
      </c>
      <c r="Y3368" s="44">
        <f t="shared" si="256"/>
        <v>0</v>
      </c>
    </row>
    <row r="3369" spans="23:25">
      <c r="W3369" s="44">
        <f t="shared" si="254"/>
        <v>0</v>
      </c>
      <c r="X3369" s="44">
        <f t="shared" si="255"/>
        <v>0</v>
      </c>
      <c r="Y3369" s="44">
        <f t="shared" si="256"/>
        <v>0</v>
      </c>
    </row>
    <row r="3370" spans="23:25">
      <c r="W3370" s="44">
        <f t="shared" si="254"/>
        <v>0</v>
      </c>
      <c r="X3370" s="44">
        <f t="shared" si="255"/>
        <v>0</v>
      </c>
      <c r="Y3370" s="44">
        <f t="shared" si="256"/>
        <v>0</v>
      </c>
    </row>
    <row r="3371" spans="23:25">
      <c r="W3371" s="44">
        <f t="shared" si="254"/>
        <v>0</v>
      </c>
      <c r="X3371" s="44">
        <f t="shared" si="255"/>
        <v>0</v>
      </c>
      <c r="Y3371" s="44">
        <f t="shared" si="256"/>
        <v>0</v>
      </c>
    </row>
    <row r="3372" spans="23:25">
      <c r="W3372" s="44">
        <f t="shared" si="254"/>
        <v>0</v>
      </c>
      <c r="X3372" s="44">
        <f t="shared" si="255"/>
        <v>0</v>
      </c>
      <c r="Y3372" s="44">
        <f t="shared" si="256"/>
        <v>0</v>
      </c>
    </row>
    <row r="3373" spans="23:25">
      <c r="W3373" s="44">
        <f t="shared" si="254"/>
        <v>0</v>
      </c>
      <c r="X3373" s="44">
        <f t="shared" si="255"/>
        <v>0</v>
      </c>
      <c r="Y3373" s="44">
        <f t="shared" si="256"/>
        <v>0</v>
      </c>
    </row>
    <row r="3374" spans="23:25">
      <c r="W3374" s="44">
        <f t="shared" si="254"/>
        <v>0</v>
      </c>
      <c r="X3374" s="44">
        <f t="shared" si="255"/>
        <v>0</v>
      </c>
      <c r="Y3374" s="44">
        <f t="shared" si="256"/>
        <v>0</v>
      </c>
    </row>
    <row r="3375" spans="23:25">
      <c r="W3375" s="44">
        <f t="shared" si="254"/>
        <v>0</v>
      </c>
      <c r="X3375" s="44">
        <f t="shared" si="255"/>
        <v>0</v>
      </c>
      <c r="Y3375" s="44">
        <f t="shared" si="256"/>
        <v>0</v>
      </c>
    </row>
    <row r="3376" spans="23:25">
      <c r="W3376" s="44">
        <f t="shared" si="254"/>
        <v>0</v>
      </c>
      <c r="X3376" s="44">
        <f t="shared" si="255"/>
        <v>0</v>
      </c>
      <c r="Y3376" s="44">
        <f t="shared" si="256"/>
        <v>0</v>
      </c>
    </row>
    <row r="3377" spans="23:25">
      <c r="W3377" s="44">
        <f t="shared" si="254"/>
        <v>0</v>
      </c>
      <c r="X3377" s="44">
        <f t="shared" si="255"/>
        <v>0</v>
      </c>
      <c r="Y3377" s="44">
        <f t="shared" si="256"/>
        <v>0</v>
      </c>
    </row>
    <row r="3378" spans="23:25">
      <c r="W3378" s="44">
        <f t="shared" si="254"/>
        <v>0</v>
      </c>
      <c r="X3378" s="44">
        <f t="shared" si="255"/>
        <v>0</v>
      </c>
      <c r="Y3378" s="44">
        <f t="shared" si="256"/>
        <v>0</v>
      </c>
    </row>
    <row r="3379" spans="23:25">
      <c r="W3379" s="44">
        <f t="shared" si="254"/>
        <v>0</v>
      </c>
      <c r="X3379" s="44">
        <f t="shared" si="255"/>
        <v>0</v>
      </c>
      <c r="Y3379" s="44">
        <f t="shared" si="256"/>
        <v>0</v>
      </c>
    </row>
    <row r="3380" spans="23:25">
      <c r="W3380" s="44">
        <f t="shared" si="254"/>
        <v>0</v>
      </c>
      <c r="X3380" s="44">
        <f t="shared" si="255"/>
        <v>0</v>
      </c>
      <c r="Y3380" s="44">
        <f t="shared" si="256"/>
        <v>0</v>
      </c>
    </row>
    <row r="3381" spans="23:25">
      <c r="W3381" s="44">
        <f t="shared" si="254"/>
        <v>0</v>
      </c>
      <c r="X3381" s="44">
        <f t="shared" si="255"/>
        <v>0</v>
      </c>
      <c r="Y3381" s="44">
        <f t="shared" si="256"/>
        <v>0</v>
      </c>
    </row>
    <row r="3382" spans="23:25">
      <c r="W3382" s="44">
        <f t="shared" si="254"/>
        <v>0</v>
      </c>
      <c r="X3382" s="44">
        <f t="shared" si="255"/>
        <v>0</v>
      </c>
      <c r="Y3382" s="44">
        <f t="shared" si="256"/>
        <v>0</v>
      </c>
    </row>
    <row r="3383" spans="23:25">
      <c r="W3383" s="44">
        <f t="shared" si="254"/>
        <v>0</v>
      </c>
      <c r="X3383" s="44">
        <f t="shared" si="255"/>
        <v>0</v>
      </c>
      <c r="Y3383" s="44">
        <f t="shared" si="256"/>
        <v>0</v>
      </c>
    </row>
    <row r="3384" spans="23:25">
      <c r="W3384" s="44">
        <f t="shared" si="254"/>
        <v>0</v>
      </c>
      <c r="X3384" s="44">
        <f t="shared" si="255"/>
        <v>0</v>
      </c>
      <c r="Y3384" s="44">
        <f t="shared" si="256"/>
        <v>0</v>
      </c>
    </row>
    <row r="3385" spans="23:25">
      <c r="W3385" s="44">
        <f t="shared" si="254"/>
        <v>0</v>
      </c>
      <c r="X3385" s="44">
        <f t="shared" si="255"/>
        <v>0</v>
      </c>
      <c r="Y3385" s="44">
        <f t="shared" si="256"/>
        <v>0</v>
      </c>
    </row>
    <row r="3386" spans="23:25">
      <c r="W3386" s="44">
        <f t="shared" si="254"/>
        <v>0</v>
      </c>
      <c r="X3386" s="44">
        <f t="shared" si="255"/>
        <v>0</v>
      </c>
      <c r="Y3386" s="44">
        <f t="shared" si="256"/>
        <v>0</v>
      </c>
    </row>
    <row r="3387" spans="23:25">
      <c r="W3387" s="44">
        <f t="shared" si="254"/>
        <v>0</v>
      </c>
      <c r="X3387" s="44">
        <f t="shared" si="255"/>
        <v>0</v>
      </c>
      <c r="Y3387" s="44">
        <f t="shared" si="256"/>
        <v>0</v>
      </c>
    </row>
    <row r="3388" spans="23:25">
      <c r="W3388" s="44">
        <f t="shared" si="254"/>
        <v>0</v>
      </c>
      <c r="X3388" s="44">
        <f t="shared" si="255"/>
        <v>0</v>
      </c>
      <c r="Y3388" s="44">
        <f t="shared" si="256"/>
        <v>0</v>
      </c>
    </row>
    <row r="3389" spans="23:25">
      <c r="W3389" s="44">
        <f t="shared" si="254"/>
        <v>0</v>
      </c>
      <c r="X3389" s="44">
        <f t="shared" si="255"/>
        <v>0</v>
      </c>
      <c r="Y3389" s="44">
        <f t="shared" si="256"/>
        <v>0</v>
      </c>
    </row>
    <row r="3390" spans="23:25">
      <c r="W3390" s="44">
        <f t="shared" si="254"/>
        <v>0</v>
      </c>
      <c r="X3390" s="44">
        <f t="shared" si="255"/>
        <v>0</v>
      </c>
      <c r="Y3390" s="44">
        <f t="shared" si="256"/>
        <v>0</v>
      </c>
    </row>
    <row r="3391" spans="23:25">
      <c r="W3391" s="44">
        <f t="shared" si="254"/>
        <v>0</v>
      </c>
      <c r="X3391" s="44">
        <f t="shared" si="255"/>
        <v>0</v>
      </c>
      <c r="Y3391" s="44">
        <f t="shared" si="256"/>
        <v>0</v>
      </c>
    </row>
    <row r="3392" spans="23:25">
      <c r="W3392" s="44">
        <f t="shared" si="254"/>
        <v>0</v>
      </c>
      <c r="X3392" s="44">
        <f t="shared" si="255"/>
        <v>0</v>
      </c>
      <c r="Y3392" s="44">
        <f t="shared" si="256"/>
        <v>0</v>
      </c>
    </row>
    <row r="3393" spans="23:25">
      <c r="W3393" s="44">
        <f t="shared" si="254"/>
        <v>0</v>
      </c>
      <c r="X3393" s="44">
        <f t="shared" si="255"/>
        <v>0</v>
      </c>
      <c r="Y3393" s="44">
        <f t="shared" si="256"/>
        <v>0</v>
      </c>
    </row>
    <row r="3394" spans="23:25">
      <c r="W3394" s="44">
        <f t="shared" si="254"/>
        <v>0</v>
      </c>
      <c r="X3394" s="44">
        <f t="shared" si="255"/>
        <v>0</v>
      </c>
      <c r="Y3394" s="44">
        <f t="shared" si="256"/>
        <v>0</v>
      </c>
    </row>
    <row r="3395" spans="23:25">
      <c r="W3395" s="44">
        <f t="shared" si="254"/>
        <v>0</v>
      </c>
      <c r="X3395" s="44">
        <f t="shared" si="255"/>
        <v>0</v>
      </c>
      <c r="Y3395" s="44">
        <f t="shared" si="256"/>
        <v>0</v>
      </c>
    </row>
    <row r="3396" spans="23:25">
      <c r="W3396" s="44">
        <f t="shared" si="254"/>
        <v>0</v>
      </c>
      <c r="X3396" s="44">
        <f t="shared" si="255"/>
        <v>0</v>
      </c>
      <c r="Y3396" s="44">
        <f t="shared" si="256"/>
        <v>0</v>
      </c>
    </row>
    <row r="3397" spans="23:25">
      <c r="W3397" s="44">
        <f t="shared" si="254"/>
        <v>0</v>
      </c>
      <c r="X3397" s="44">
        <f t="shared" si="255"/>
        <v>0</v>
      </c>
      <c r="Y3397" s="44">
        <f t="shared" si="256"/>
        <v>0</v>
      </c>
    </row>
    <row r="3398" spans="23:25">
      <c r="W3398" s="44">
        <f t="shared" si="254"/>
        <v>0</v>
      </c>
      <c r="X3398" s="44">
        <f t="shared" si="255"/>
        <v>0</v>
      </c>
      <c r="Y3398" s="44">
        <f t="shared" si="256"/>
        <v>0</v>
      </c>
    </row>
    <row r="3399" spans="23:25">
      <c r="W3399" s="44">
        <f t="shared" si="254"/>
        <v>0</v>
      </c>
      <c r="X3399" s="44">
        <f t="shared" si="255"/>
        <v>0</v>
      </c>
      <c r="Y3399" s="44">
        <f t="shared" si="256"/>
        <v>0</v>
      </c>
    </row>
    <row r="3400" spans="23:25">
      <c r="W3400" s="44">
        <f t="shared" ref="W3400:W3463" si="257">+T3400-U3400-V3400-Z3400</f>
        <v>0</v>
      </c>
      <c r="X3400" s="44">
        <f t="shared" ref="X3400:X3463" si="258">(+O3400-U3400)*$X$1</f>
        <v>0</v>
      </c>
      <c r="Y3400" s="44">
        <f t="shared" ref="Y3400:Y3463" si="259">+W3400-X3400</f>
        <v>0</v>
      </c>
    </row>
    <row r="3401" spans="23:25">
      <c r="W3401" s="44">
        <f t="shared" si="257"/>
        <v>0</v>
      </c>
      <c r="X3401" s="44">
        <f t="shared" si="258"/>
        <v>0</v>
      </c>
      <c r="Y3401" s="44">
        <f t="shared" si="259"/>
        <v>0</v>
      </c>
    </row>
    <row r="3402" spans="23:25">
      <c r="W3402" s="44">
        <f t="shared" si="257"/>
        <v>0</v>
      </c>
      <c r="X3402" s="44">
        <f t="shared" si="258"/>
        <v>0</v>
      </c>
      <c r="Y3402" s="44">
        <f t="shared" si="259"/>
        <v>0</v>
      </c>
    </row>
    <row r="3403" spans="23:25">
      <c r="W3403" s="44">
        <f t="shared" si="257"/>
        <v>0</v>
      </c>
      <c r="X3403" s="44">
        <f t="shared" si="258"/>
        <v>0</v>
      </c>
      <c r="Y3403" s="44">
        <f t="shared" si="259"/>
        <v>0</v>
      </c>
    </row>
    <row r="3404" spans="23:25">
      <c r="W3404" s="44">
        <f t="shared" si="257"/>
        <v>0</v>
      </c>
      <c r="X3404" s="44">
        <f t="shared" si="258"/>
        <v>0</v>
      </c>
      <c r="Y3404" s="44">
        <f t="shared" si="259"/>
        <v>0</v>
      </c>
    </row>
    <row r="3405" spans="23:25">
      <c r="W3405" s="44">
        <f t="shared" si="257"/>
        <v>0</v>
      </c>
      <c r="X3405" s="44">
        <f t="shared" si="258"/>
        <v>0</v>
      </c>
      <c r="Y3405" s="44">
        <f t="shared" si="259"/>
        <v>0</v>
      </c>
    </row>
    <row r="3406" spans="23:25">
      <c r="W3406" s="44">
        <f t="shared" si="257"/>
        <v>0</v>
      </c>
      <c r="X3406" s="44">
        <f t="shared" si="258"/>
        <v>0</v>
      </c>
      <c r="Y3406" s="44">
        <f t="shared" si="259"/>
        <v>0</v>
      </c>
    </row>
    <row r="3407" spans="23:25">
      <c r="W3407" s="44">
        <f t="shared" si="257"/>
        <v>0</v>
      </c>
      <c r="X3407" s="44">
        <f t="shared" si="258"/>
        <v>0</v>
      </c>
      <c r="Y3407" s="44">
        <f t="shared" si="259"/>
        <v>0</v>
      </c>
    </row>
    <row r="3408" spans="23:25">
      <c r="W3408" s="44">
        <f t="shared" si="257"/>
        <v>0</v>
      </c>
      <c r="X3408" s="44">
        <f t="shared" si="258"/>
        <v>0</v>
      </c>
      <c r="Y3408" s="44">
        <f t="shared" si="259"/>
        <v>0</v>
      </c>
    </row>
    <row r="3409" spans="23:25">
      <c r="W3409" s="44">
        <f t="shared" si="257"/>
        <v>0</v>
      </c>
      <c r="X3409" s="44">
        <f t="shared" si="258"/>
        <v>0</v>
      </c>
      <c r="Y3409" s="44">
        <f t="shared" si="259"/>
        <v>0</v>
      </c>
    </row>
    <row r="3410" spans="23:25">
      <c r="W3410" s="44">
        <f t="shared" si="257"/>
        <v>0</v>
      </c>
      <c r="X3410" s="44">
        <f t="shared" si="258"/>
        <v>0</v>
      </c>
      <c r="Y3410" s="44">
        <f t="shared" si="259"/>
        <v>0</v>
      </c>
    </row>
    <row r="3411" spans="23:25">
      <c r="W3411" s="44">
        <f t="shared" si="257"/>
        <v>0</v>
      </c>
      <c r="X3411" s="44">
        <f t="shared" si="258"/>
        <v>0</v>
      </c>
      <c r="Y3411" s="44">
        <f t="shared" si="259"/>
        <v>0</v>
      </c>
    </row>
    <row r="3412" spans="23:25">
      <c r="W3412" s="44">
        <f t="shared" si="257"/>
        <v>0</v>
      </c>
      <c r="X3412" s="44">
        <f t="shared" si="258"/>
        <v>0</v>
      </c>
      <c r="Y3412" s="44">
        <f t="shared" si="259"/>
        <v>0</v>
      </c>
    </row>
    <row r="3413" spans="23:25">
      <c r="W3413" s="44">
        <f t="shared" si="257"/>
        <v>0</v>
      </c>
      <c r="X3413" s="44">
        <f t="shared" si="258"/>
        <v>0</v>
      </c>
      <c r="Y3413" s="44">
        <f t="shared" si="259"/>
        <v>0</v>
      </c>
    </row>
    <row r="3414" spans="23:25">
      <c r="W3414" s="44">
        <f t="shared" si="257"/>
        <v>0</v>
      </c>
      <c r="X3414" s="44">
        <f t="shared" si="258"/>
        <v>0</v>
      </c>
      <c r="Y3414" s="44">
        <f t="shared" si="259"/>
        <v>0</v>
      </c>
    </row>
    <row r="3415" spans="23:25">
      <c r="W3415" s="44">
        <f t="shared" si="257"/>
        <v>0</v>
      </c>
      <c r="X3415" s="44">
        <f t="shared" si="258"/>
        <v>0</v>
      </c>
      <c r="Y3415" s="44">
        <f t="shared" si="259"/>
        <v>0</v>
      </c>
    </row>
    <row r="3416" spans="23:25">
      <c r="W3416" s="44">
        <f t="shared" si="257"/>
        <v>0</v>
      </c>
      <c r="X3416" s="44">
        <f t="shared" si="258"/>
        <v>0</v>
      </c>
      <c r="Y3416" s="44">
        <f t="shared" si="259"/>
        <v>0</v>
      </c>
    </row>
    <row r="3417" spans="23:25">
      <c r="W3417" s="44">
        <f t="shared" si="257"/>
        <v>0</v>
      </c>
      <c r="X3417" s="44">
        <f t="shared" si="258"/>
        <v>0</v>
      </c>
      <c r="Y3417" s="44">
        <f t="shared" si="259"/>
        <v>0</v>
      </c>
    </row>
    <row r="3418" spans="23:25">
      <c r="W3418" s="44">
        <f t="shared" si="257"/>
        <v>0</v>
      </c>
      <c r="X3418" s="44">
        <f t="shared" si="258"/>
        <v>0</v>
      </c>
      <c r="Y3418" s="44">
        <f t="shared" si="259"/>
        <v>0</v>
      </c>
    </row>
    <row r="3419" spans="23:25">
      <c r="W3419" s="44">
        <f t="shared" si="257"/>
        <v>0</v>
      </c>
      <c r="X3419" s="44">
        <f t="shared" si="258"/>
        <v>0</v>
      </c>
      <c r="Y3419" s="44">
        <f t="shared" si="259"/>
        <v>0</v>
      </c>
    </row>
    <row r="3420" spans="23:25">
      <c r="W3420" s="44">
        <f t="shared" si="257"/>
        <v>0</v>
      </c>
      <c r="X3420" s="44">
        <f t="shared" si="258"/>
        <v>0</v>
      </c>
      <c r="Y3420" s="44">
        <f t="shared" si="259"/>
        <v>0</v>
      </c>
    </row>
    <row r="3421" spans="23:25">
      <c r="W3421" s="44">
        <f t="shared" si="257"/>
        <v>0</v>
      </c>
      <c r="X3421" s="44">
        <f t="shared" si="258"/>
        <v>0</v>
      </c>
      <c r="Y3421" s="44">
        <f t="shared" si="259"/>
        <v>0</v>
      </c>
    </row>
    <row r="3422" spans="23:25">
      <c r="W3422" s="44">
        <f t="shared" si="257"/>
        <v>0</v>
      </c>
      <c r="X3422" s="44">
        <f t="shared" si="258"/>
        <v>0</v>
      </c>
      <c r="Y3422" s="44">
        <f t="shared" si="259"/>
        <v>0</v>
      </c>
    </row>
    <row r="3423" spans="23:25">
      <c r="W3423" s="44">
        <f t="shared" si="257"/>
        <v>0</v>
      </c>
      <c r="X3423" s="44">
        <f t="shared" si="258"/>
        <v>0</v>
      </c>
      <c r="Y3423" s="44">
        <f t="shared" si="259"/>
        <v>0</v>
      </c>
    </row>
    <row r="3424" spans="23:25">
      <c r="W3424" s="44">
        <f t="shared" si="257"/>
        <v>0</v>
      </c>
      <c r="X3424" s="44">
        <f t="shared" si="258"/>
        <v>0</v>
      </c>
      <c r="Y3424" s="44">
        <f t="shared" si="259"/>
        <v>0</v>
      </c>
    </row>
    <row r="3425" spans="23:25">
      <c r="W3425" s="44">
        <f t="shared" si="257"/>
        <v>0</v>
      </c>
      <c r="X3425" s="44">
        <f t="shared" si="258"/>
        <v>0</v>
      </c>
      <c r="Y3425" s="44">
        <f t="shared" si="259"/>
        <v>0</v>
      </c>
    </row>
    <row r="3426" spans="23:25">
      <c r="W3426" s="44">
        <f t="shared" si="257"/>
        <v>0</v>
      </c>
      <c r="X3426" s="44">
        <f t="shared" si="258"/>
        <v>0</v>
      </c>
      <c r="Y3426" s="44">
        <f t="shared" si="259"/>
        <v>0</v>
      </c>
    </row>
    <row r="3427" spans="23:25">
      <c r="W3427" s="44">
        <f t="shared" si="257"/>
        <v>0</v>
      </c>
      <c r="X3427" s="44">
        <f t="shared" si="258"/>
        <v>0</v>
      </c>
      <c r="Y3427" s="44">
        <f t="shared" si="259"/>
        <v>0</v>
      </c>
    </row>
    <row r="3428" spans="23:25">
      <c r="W3428" s="44">
        <f t="shared" si="257"/>
        <v>0</v>
      </c>
      <c r="X3428" s="44">
        <f t="shared" si="258"/>
        <v>0</v>
      </c>
      <c r="Y3428" s="44">
        <f t="shared" si="259"/>
        <v>0</v>
      </c>
    </row>
    <row r="3429" spans="23:25">
      <c r="W3429" s="44">
        <f t="shared" si="257"/>
        <v>0</v>
      </c>
      <c r="X3429" s="44">
        <f t="shared" si="258"/>
        <v>0</v>
      </c>
      <c r="Y3429" s="44">
        <f t="shared" si="259"/>
        <v>0</v>
      </c>
    </row>
    <row r="3430" spans="23:25">
      <c r="W3430" s="44">
        <f t="shared" si="257"/>
        <v>0</v>
      </c>
      <c r="X3430" s="44">
        <f t="shared" si="258"/>
        <v>0</v>
      </c>
      <c r="Y3430" s="44">
        <f t="shared" si="259"/>
        <v>0</v>
      </c>
    </row>
    <row r="3431" spans="23:25">
      <c r="W3431" s="44">
        <f t="shared" si="257"/>
        <v>0</v>
      </c>
      <c r="X3431" s="44">
        <f t="shared" si="258"/>
        <v>0</v>
      </c>
      <c r="Y3431" s="44">
        <f t="shared" si="259"/>
        <v>0</v>
      </c>
    </row>
    <row r="3432" spans="23:25">
      <c r="W3432" s="44">
        <f t="shared" si="257"/>
        <v>0</v>
      </c>
      <c r="X3432" s="44">
        <f t="shared" si="258"/>
        <v>0</v>
      </c>
      <c r="Y3432" s="44">
        <f t="shared" si="259"/>
        <v>0</v>
      </c>
    </row>
    <row r="3433" spans="23:25">
      <c r="W3433" s="44">
        <f t="shared" si="257"/>
        <v>0</v>
      </c>
      <c r="X3433" s="44">
        <f t="shared" si="258"/>
        <v>0</v>
      </c>
      <c r="Y3433" s="44">
        <f t="shared" si="259"/>
        <v>0</v>
      </c>
    </row>
    <row r="3434" spans="23:25">
      <c r="W3434" s="44">
        <f t="shared" si="257"/>
        <v>0</v>
      </c>
      <c r="X3434" s="44">
        <f t="shared" si="258"/>
        <v>0</v>
      </c>
      <c r="Y3434" s="44">
        <f t="shared" si="259"/>
        <v>0</v>
      </c>
    </row>
    <row r="3435" spans="23:25">
      <c r="W3435" s="44">
        <f t="shared" si="257"/>
        <v>0</v>
      </c>
      <c r="X3435" s="44">
        <f t="shared" si="258"/>
        <v>0</v>
      </c>
      <c r="Y3435" s="44">
        <f t="shared" si="259"/>
        <v>0</v>
      </c>
    </row>
    <row r="3436" spans="23:25">
      <c r="W3436" s="44">
        <f t="shared" si="257"/>
        <v>0</v>
      </c>
      <c r="X3436" s="44">
        <f t="shared" si="258"/>
        <v>0</v>
      </c>
      <c r="Y3436" s="44">
        <f t="shared" si="259"/>
        <v>0</v>
      </c>
    </row>
    <row r="3437" spans="23:25">
      <c r="W3437" s="44">
        <f t="shared" si="257"/>
        <v>0</v>
      </c>
      <c r="X3437" s="44">
        <f t="shared" si="258"/>
        <v>0</v>
      </c>
      <c r="Y3437" s="44">
        <f t="shared" si="259"/>
        <v>0</v>
      </c>
    </row>
    <row r="3438" spans="23:25">
      <c r="W3438" s="44">
        <f t="shared" si="257"/>
        <v>0</v>
      </c>
      <c r="X3438" s="44">
        <f t="shared" si="258"/>
        <v>0</v>
      </c>
      <c r="Y3438" s="44">
        <f t="shared" si="259"/>
        <v>0</v>
      </c>
    </row>
    <row r="3439" spans="23:25">
      <c r="W3439" s="44">
        <f t="shared" si="257"/>
        <v>0</v>
      </c>
      <c r="X3439" s="44">
        <f t="shared" si="258"/>
        <v>0</v>
      </c>
      <c r="Y3439" s="44">
        <f t="shared" si="259"/>
        <v>0</v>
      </c>
    </row>
    <row r="3440" spans="23:25">
      <c r="W3440" s="44">
        <f t="shared" si="257"/>
        <v>0</v>
      </c>
      <c r="X3440" s="44">
        <f t="shared" si="258"/>
        <v>0</v>
      </c>
      <c r="Y3440" s="44">
        <f t="shared" si="259"/>
        <v>0</v>
      </c>
    </row>
    <row r="3441" spans="23:25">
      <c r="W3441" s="44">
        <f t="shared" si="257"/>
        <v>0</v>
      </c>
      <c r="X3441" s="44">
        <f t="shared" si="258"/>
        <v>0</v>
      </c>
      <c r="Y3441" s="44">
        <f t="shared" si="259"/>
        <v>0</v>
      </c>
    </row>
    <row r="3442" spans="23:25">
      <c r="W3442" s="44">
        <f t="shared" si="257"/>
        <v>0</v>
      </c>
      <c r="X3442" s="44">
        <f t="shared" si="258"/>
        <v>0</v>
      </c>
      <c r="Y3442" s="44">
        <f t="shared" si="259"/>
        <v>0</v>
      </c>
    </row>
    <row r="3443" spans="23:25">
      <c r="W3443" s="44">
        <f t="shared" si="257"/>
        <v>0</v>
      </c>
      <c r="X3443" s="44">
        <f t="shared" si="258"/>
        <v>0</v>
      </c>
      <c r="Y3443" s="44">
        <f t="shared" si="259"/>
        <v>0</v>
      </c>
    </row>
    <row r="3444" spans="23:25">
      <c r="W3444" s="44">
        <f t="shared" si="257"/>
        <v>0</v>
      </c>
      <c r="X3444" s="44">
        <f t="shared" si="258"/>
        <v>0</v>
      </c>
      <c r="Y3444" s="44">
        <f t="shared" si="259"/>
        <v>0</v>
      </c>
    </row>
    <row r="3445" spans="23:25">
      <c r="W3445" s="44">
        <f t="shared" si="257"/>
        <v>0</v>
      </c>
      <c r="X3445" s="44">
        <f t="shared" si="258"/>
        <v>0</v>
      </c>
      <c r="Y3445" s="44">
        <f t="shared" si="259"/>
        <v>0</v>
      </c>
    </row>
    <row r="3446" spans="23:25">
      <c r="W3446" s="44">
        <f t="shared" si="257"/>
        <v>0</v>
      </c>
      <c r="X3446" s="44">
        <f t="shared" si="258"/>
        <v>0</v>
      </c>
      <c r="Y3446" s="44">
        <f t="shared" si="259"/>
        <v>0</v>
      </c>
    </row>
    <row r="3447" spans="23:25">
      <c r="W3447" s="44">
        <f t="shared" si="257"/>
        <v>0</v>
      </c>
      <c r="X3447" s="44">
        <f t="shared" si="258"/>
        <v>0</v>
      </c>
      <c r="Y3447" s="44">
        <f t="shared" si="259"/>
        <v>0</v>
      </c>
    </row>
    <row r="3448" spans="23:25">
      <c r="W3448" s="44">
        <f t="shared" si="257"/>
        <v>0</v>
      </c>
      <c r="X3448" s="44">
        <f t="shared" si="258"/>
        <v>0</v>
      </c>
      <c r="Y3448" s="44">
        <f t="shared" si="259"/>
        <v>0</v>
      </c>
    </row>
    <row r="3449" spans="23:25">
      <c r="W3449" s="44">
        <f t="shared" si="257"/>
        <v>0</v>
      </c>
      <c r="X3449" s="44">
        <f t="shared" si="258"/>
        <v>0</v>
      </c>
      <c r="Y3449" s="44">
        <f t="shared" si="259"/>
        <v>0</v>
      </c>
    </row>
    <row r="3450" spans="23:25">
      <c r="W3450" s="44">
        <f t="shared" si="257"/>
        <v>0</v>
      </c>
      <c r="X3450" s="44">
        <f t="shared" si="258"/>
        <v>0</v>
      </c>
      <c r="Y3450" s="44">
        <f t="shared" si="259"/>
        <v>0</v>
      </c>
    </row>
    <row r="3451" spans="23:25">
      <c r="W3451" s="44">
        <f t="shared" si="257"/>
        <v>0</v>
      </c>
      <c r="X3451" s="44">
        <f t="shared" si="258"/>
        <v>0</v>
      </c>
      <c r="Y3451" s="44">
        <f t="shared" si="259"/>
        <v>0</v>
      </c>
    </row>
    <row r="3452" spans="23:25">
      <c r="W3452" s="44">
        <f t="shared" si="257"/>
        <v>0</v>
      </c>
      <c r="X3452" s="44">
        <f t="shared" si="258"/>
        <v>0</v>
      </c>
      <c r="Y3452" s="44">
        <f t="shared" si="259"/>
        <v>0</v>
      </c>
    </row>
    <row r="3453" spans="23:25">
      <c r="W3453" s="44">
        <f t="shared" si="257"/>
        <v>0</v>
      </c>
      <c r="X3453" s="44">
        <f t="shared" si="258"/>
        <v>0</v>
      </c>
      <c r="Y3453" s="44">
        <f t="shared" si="259"/>
        <v>0</v>
      </c>
    </row>
    <row r="3454" spans="23:25">
      <c r="W3454" s="44">
        <f t="shared" si="257"/>
        <v>0</v>
      </c>
      <c r="X3454" s="44">
        <f t="shared" si="258"/>
        <v>0</v>
      </c>
      <c r="Y3454" s="44">
        <f t="shared" si="259"/>
        <v>0</v>
      </c>
    </row>
    <row r="3455" spans="23:25">
      <c r="W3455" s="44">
        <f t="shared" si="257"/>
        <v>0</v>
      </c>
      <c r="X3455" s="44">
        <f t="shared" si="258"/>
        <v>0</v>
      </c>
      <c r="Y3455" s="44">
        <f t="shared" si="259"/>
        <v>0</v>
      </c>
    </row>
    <row r="3456" spans="23:25">
      <c r="W3456" s="44">
        <f t="shared" si="257"/>
        <v>0</v>
      </c>
      <c r="X3456" s="44">
        <f t="shared" si="258"/>
        <v>0</v>
      </c>
      <c r="Y3456" s="44">
        <f t="shared" si="259"/>
        <v>0</v>
      </c>
    </row>
    <row r="3457" spans="23:25">
      <c r="W3457" s="44">
        <f t="shared" si="257"/>
        <v>0</v>
      </c>
      <c r="X3457" s="44">
        <f t="shared" si="258"/>
        <v>0</v>
      </c>
      <c r="Y3457" s="44">
        <f t="shared" si="259"/>
        <v>0</v>
      </c>
    </row>
    <row r="3458" spans="23:25">
      <c r="W3458" s="44">
        <f t="shared" si="257"/>
        <v>0</v>
      </c>
      <c r="X3458" s="44">
        <f t="shared" si="258"/>
        <v>0</v>
      </c>
      <c r="Y3458" s="44">
        <f t="shared" si="259"/>
        <v>0</v>
      </c>
    </row>
    <row r="3459" spans="23:25">
      <c r="W3459" s="44">
        <f t="shared" si="257"/>
        <v>0</v>
      </c>
      <c r="X3459" s="44">
        <f t="shared" si="258"/>
        <v>0</v>
      </c>
      <c r="Y3459" s="44">
        <f t="shared" si="259"/>
        <v>0</v>
      </c>
    </row>
    <row r="3460" spans="23:25">
      <c r="W3460" s="44">
        <f t="shared" si="257"/>
        <v>0</v>
      </c>
      <c r="X3460" s="44">
        <f t="shared" si="258"/>
        <v>0</v>
      </c>
      <c r="Y3460" s="44">
        <f t="shared" si="259"/>
        <v>0</v>
      </c>
    </row>
    <row r="3461" spans="23:25">
      <c r="W3461" s="44">
        <f t="shared" si="257"/>
        <v>0</v>
      </c>
      <c r="X3461" s="44">
        <f t="shared" si="258"/>
        <v>0</v>
      </c>
      <c r="Y3461" s="44">
        <f t="shared" si="259"/>
        <v>0</v>
      </c>
    </row>
    <row r="3462" spans="23:25">
      <c r="W3462" s="44">
        <f t="shared" si="257"/>
        <v>0</v>
      </c>
      <c r="X3462" s="44">
        <f t="shared" si="258"/>
        <v>0</v>
      </c>
      <c r="Y3462" s="44">
        <f t="shared" si="259"/>
        <v>0</v>
      </c>
    </row>
    <row r="3463" spans="23:25">
      <c r="W3463" s="44">
        <f t="shared" si="257"/>
        <v>0</v>
      </c>
      <c r="X3463" s="44">
        <f t="shared" si="258"/>
        <v>0</v>
      </c>
      <c r="Y3463" s="44">
        <f t="shared" si="259"/>
        <v>0</v>
      </c>
    </row>
    <row r="3464" spans="23:25">
      <c r="W3464" s="44">
        <f t="shared" ref="W3464:W3506" si="260">+T3464-U3464-V3464-Z3464</f>
        <v>0</v>
      </c>
      <c r="X3464" s="44">
        <f t="shared" ref="X3464:X3522" si="261">(+O3464-U3464)*$X$1</f>
        <v>0</v>
      </c>
      <c r="Y3464" s="44">
        <f t="shared" ref="Y3464:Y3522" si="262">+W3464-X3464</f>
        <v>0</v>
      </c>
    </row>
    <row r="3465" spans="23:25">
      <c r="W3465" s="44">
        <f t="shared" si="260"/>
        <v>0</v>
      </c>
      <c r="X3465" s="44">
        <f t="shared" si="261"/>
        <v>0</v>
      </c>
      <c r="Y3465" s="44">
        <f t="shared" si="262"/>
        <v>0</v>
      </c>
    </row>
    <row r="3466" spans="23:25">
      <c r="W3466" s="44">
        <f t="shared" si="260"/>
        <v>0</v>
      </c>
      <c r="X3466" s="44">
        <f t="shared" si="261"/>
        <v>0</v>
      </c>
      <c r="Y3466" s="44">
        <f t="shared" si="262"/>
        <v>0</v>
      </c>
    </row>
    <row r="3467" spans="23:25">
      <c r="W3467" s="44">
        <f t="shared" si="260"/>
        <v>0</v>
      </c>
      <c r="X3467" s="44">
        <f t="shared" si="261"/>
        <v>0</v>
      </c>
      <c r="Y3467" s="44">
        <f t="shared" si="262"/>
        <v>0</v>
      </c>
    </row>
    <row r="3468" spans="23:25">
      <c r="W3468" s="44">
        <f t="shared" si="260"/>
        <v>0</v>
      </c>
      <c r="X3468" s="44">
        <f t="shared" si="261"/>
        <v>0</v>
      </c>
      <c r="Y3468" s="44">
        <f t="shared" si="262"/>
        <v>0</v>
      </c>
    </row>
    <row r="3469" spans="23:25">
      <c r="W3469" s="44">
        <f t="shared" si="260"/>
        <v>0</v>
      </c>
      <c r="X3469" s="44">
        <f t="shared" si="261"/>
        <v>0</v>
      </c>
      <c r="Y3469" s="44">
        <f t="shared" si="262"/>
        <v>0</v>
      </c>
    </row>
    <row r="3470" spans="23:25">
      <c r="W3470" s="44">
        <f t="shared" si="260"/>
        <v>0</v>
      </c>
      <c r="X3470" s="44">
        <f t="shared" si="261"/>
        <v>0</v>
      </c>
      <c r="Y3470" s="44">
        <f t="shared" si="262"/>
        <v>0</v>
      </c>
    </row>
    <row r="3471" spans="23:25">
      <c r="W3471" s="44">
        <f t="shared" si="260"/>
        <v>0</v>
      </c>
      <c r="X3471" s="44">
        <f t="shared" si="261"/>
        <v>0</v>
      </c>
      <c r="Y3471" s="44">
        <f t="shared" si="262"/>
        <v>0</v>
      </c>
    </row>
    <row r="3472" spans="23:25">
      <c r="W3472" s="44">
        <f t="shared" si="260"/>
        <v>0</v>
      </c>
      <c r="X3472" s="44">
        <f t="shared" si="261"/>
        <v>0</v>
      </c>
      <c r="Y3472" s="44">
        <f t="shared" si="262"/>
        <v>0</v>
      </c>
    </row>
    <row r="3473" spans="23:25">
      <c r="W3473" s="44">
        <f t="shared" si="260"/>
        <v>0</v>
      </c>
      <c r="X3473" s="44">
        <f t="shared" si="261"/>
        <v>0</v>
      </c>
      <c r="Y3473" s="44">
        <f t="shared" si="262"/>
        <v>0</v>
      </c>
    </row>
    <row r="3474" spans="23:25">
      <c r="W3474" s="44">
        <f t="shared" si="260"/>
        <v>0</v>
      </c>
      <c r="X3474" s="44">
        <f t="shared" si="261"/>
        <v>0</v>
      </c>
      <c r="Y3474" s="44">
        <f t="shared" si="262"/>
        <v>0</v>
      </c>
    </row>
    <row r="3475" spans="23:25">
      <c r="W3475" s="44">
        <f t="shared" si="260"/>
        <v>0</v>
      </c>
      <c r="X3475" s="44">
        <f t="shared" si="261"/>
        <v>0</v>
      </c>
      <c r="Y3475" s="44">
        <f t="shared" si="262"/>
        <v>0</v>
      </c>
    </row>
    <row r="3476" spans="23:25">
      <c r="W3476" s="44">
        <f t="shared" si="260"/>
        <v>0</v>
      </c>
      <c r="X3476" s="44">
        <f t="shared" si="261"/>
        <v>0</v>
      </c>
      <c r="Y3476" s="44">
        <f t="shared" si="262"/>
        <v>0</v>
      </c>
    </row>
    <row r="3477" spans="23:25">
      <c r="W3477" s="44">
        <f t="shared" si="260"/>
        <v>0</v>
      </c>
      <c r="X3477" s="44">
        <f t="shared" si="261"/>
        <v>0</v>
      </c>
      <c r="Y3477" s="44">
        <f t="shared" si="262"/>
        <v>0</v>
      </c>
    </row>
    <row r="3478" spans="23:25">
      <c r="W3478" s="44">
        <f t="shared" si="260"/>
        <v>0</v>
      </c>
      <c r="X3478" s="44">
        <f t="shared" si="261"/>
        <v>0</v>
      </c>
      <c r="Y3478" s="44">
        <f t="shared" si="262"/>
        <v>0</v>
      </c>
    </row>
    <row r="3479" spans="23:25">
      <c r="W3479" s="44">
        <f t="shared" si="260"/>
        <v>0</v>
      </c>
      <c r="X3479" s="44">
        <f t="shared" si="261"/>
        <v>0</v>
      </c>
      <c r="Y3479" s="44">
        <f t="shared" si="262"/>
        <v>0</v>
      </c>
    </row>
    <row r="3480" spans="23:25">
      <c r="W3480" s="44">
        <f t="shared" si="260"/>
        <v>0</v>
      </c>
      <c r="X3480" s="44">
        <f t="shared" si="261"/>
        <v>0</v>
      </c>
      <c r="Y3480" s="44">
        <f t="shared" si="262"/>
        <v>0</v>
      </c>
    </row>
    <row r="3481" spans="23:25">
      <c r="W3481" s="44">
        <f t="shared" si="260"/>
        <v>0</v>
      </c>
      <c r="X3481" s="44">
        <f t="shared" si="261"/>
        <v>0</v>
      </c>
      <c r="Y3481" s="44">
        <f t="shared" si="262"/>
        <v>0</v>
      </c>
    </row>
    <row r="3482" spans="23:25">
      <c r="W3482" s="44">
        <f t="shared" si="260"/>
        <v>0</v>
      </c>
      <c r="X3482" s="44">
        <f t="shared" si="261"/>
        <v>0</v>
      </c>
      <c r="Y3482" s="44">
        <f t="shared" si="262"/>
        <v>0</v>
      </c>
    </row>
    <row r="3483" spans="23:25">
      <c r="W3483" s="44">
        <f t="shared" si="260"/>
        <v>0</v>
      </c>
      <c r="X3483" s="44">
        <f t="shared" si="261"/>
        <v>0</v>
      </c>
      <c r="Y3483" s="44">
        <f t="shared" si="262"/>
        <v>0</v>
      </c>
    </row>
    <row r="3484" spans="23:25">
      <c r="W3484" s="44">
        <f t="shared" si="260"/>
        <v>0</v>
      </c>
      <c r="X3484" s="44">
        <f t="shared" si="261"/>
        <v>0</v>
      </c>
      <c r="Y3484" s="44">
        <f t="shared" si="262"/>
        <v>0</v>
      </c>
    </row>
    <row r="3485" spans="23:25">
      <c r="W3485" s="44">
        <f t="shared" si="260"/>
        <v>0</v>
      </c>
      <c r="X3485" s="44">
        <f t="shared" si="261"/>
        <v>0</v>
      </c>
      <c r="Y3485" s="44">
        <f t="shared" si="262"/>
        <v>0</v>
      </c>
    </row>
    <row r="3486" spans="23:25">
      <c r="W3486" s="44">
        <f t="shared" si="260"/>
        <v>0</v>
      </c>
      <c r="X3486" s="44">
        <f t="shared" si="261"/>
        <v>0</v>
      </c>
      <c r="Y3486" s="44">
        <f t="shared" si="262"/>
        <v>0</v>
      </c>
    </row>
    <row r="3487" spans="23:25">
      <c r="W3487" s="44">
        <f t="shared" si="260"/>
        <v>0</v>
      </c>
      <c r="X3487" s="44">
        <f t="shared" si="261"/>
        <v>0</v>
      </c>
      <c r="Y3487" s="44">
        <f t="shared" si="262"/>
        <v>0</v>
      </c>
    </row>
    <row r="3488" spans="23:25">
      <c r="W3488" s="44">
        <f t="shared" si="260"/>
        <v>0</v>
      </c>
      <c r="X3488" s="44">
        <f t="shared" si="261"/>
        <v>0</v>
      </c>
      <c r="Y3488" s="44">
        <f t="shared" si="262"/>
        <v>0</v>
      </c>
    </row>
    <row r="3489" spans="23:25">
      <c r="W3489" s="44">
        <f t="shared" si="260"/>
        <v>0</v>
      </c>
      <c r="X3489" s="44">
        <f t="shared" si="261"/>
        <v>0</v>
      </c>
      <c r="Y3489" s="44">
        <f t="shared" si="262"/>
        <v>0</v>
      </c>
    </row>
    <row r="3490" spans="23:25">
      <c r="W3490" s="44">
        <f t="shared" si="260"/>
        <v>0</v>
      </c>
      <c r="X3490" s="44">
        <f t="shared" si="261"/>
        <v>0</v>
      </c>
      <c r="Y3490" s="44">
        <f t="shared" si="262"/>
        <v>0</v>
      </c>
    </row>
    <row r="3491" spans="23:25">
      <c r="W3491" s="44">
        <f t="shared" si="260"/>
        <v>0</v>
      </c>
      <c r="X3491" s="44">
        <f t="shared" si="261"/>
        <v>0</v>
      </c>
      <c r="Y3491" s="44">
        <f t="shared" si="262"/>
        <v>0</v>
      </c>
    </row>
    <row r="3492" spans="23:25">
      <c r="W3492" s="44">
        <f t="shared" si="260"/>
        <v>0</v>
      </c>
      <c r="X3492" s="44">
        <f t="shared" si="261"/>
        <v>0</v>
      </c>
      <c r="Y3492" s="44">
        <f t="shared" si="262"/>
        <v>0</v>
      </c>
    </row>
    <row r="3493" spans="23:25">
      <c r="W3493" s="44">
        <f t="shared" si="260"/>
        <v>0</v>
      </c>
      <c r="X3493" s="44">
        <f t="shared" si="261"/>
        <v>0</v>
      </c>
      <c r="Y3493" s="44">
        <f t="shared" si="262"/>
        <v>0</v>
      </c>
    </row>
    <row r="3494" spans="23:25">
      <c r="W3494" s="44">
        <f t="shared" si="260"/>
        <v>0</v>
      </c>
      <c r="X3494" s="44">
        <f t="shared" si="261"/>
        <v>0</v>
      </c>
      <c r="Y3494" s="44">
        <f t="shared" si="262"/>
        <v>0</v>
      </c>
    </row>
    <row r="3495" spans="23:25">
      <c r="W3495" s="44">
        <f t="shared" si="260"/>
        <v>0</v>
      </c>
      <c r="X3495" s="44">
        <f t="shared" si="261"/>
        <v>0</v>
      </c>
      <c r="Y3495" s="44">
        <f t="shared" si="262"/>
        <v>0</v>
      </c>
    </row>
    <row r="3496" spans="23:25">
      <c r="W3496" s="44">
        <f t="shared" si="260"/>
        <v>0</v>
      </c>
      <c r="X3496" s="44">
        <f t="shared" si="261"/>
        <v>0</v>
      </c>
      <c r="Y3496" s="44">
        <f t="shared" si="262"/>
        <v>0</v>
      </c>
    </row>
    <row r="3497" spans="23:25">
      <c r="W3497" s="44">
        <f t="shared" si="260"/>
        <v>0</v>
      </c>
      <c r="X3497" s="44">
        <f t="shared" si="261"/>
        <v>0</v>
      </c>
      <c r="Y3497" s="44">
        <f t="shared" si="262"/>
        <v>0</v>
      </c>
    </row>
    <row r="3498" spans="23:25">
      <c r="W3498" s="44">
        <f t="shared" si="260"/>
        <v>0</v>
      </c>
      <c r="X3498" s="44">
        <f t="shared" si="261"/>
        <v>0</v>
      </c>
      <c r="Y3498" s="44">
        <f t="shared" si="262"/>
        <v>0</v>
      </c>
    </row>
    <row r="3499" spans="23:25">
      <c r="W3499" s="44">
        <f t="shared" si="260"/>
        <v>0</v>
      </c>
      <c r="X3499" s="44">
        <f t="shared" si="261"/>
        <v>0</v>
      </c>
      <c r="Y3499" s="44">
        <f t="shared" si="262"/>
        <v>0</v>
      </c>
    </row>
    <row r="3500" spans="23:25">
      <c r="W3500" s="44">
        <f t="shared" si="260"/>
        <v>0</v>
      </c>
      <c r="X3500" s="44">
        <f t="shared" si="261"/>
        <v>0</v>
      </c>
      <c r="Y3500" s="44">
        <f t="shared" si="262"/>
        <v>0</v>
      </c>
    </row>
    <row r="3501" spans="23:25">
      <c r="W3501" s="44">
        <f t="shared" si="260"/>
        <v>0</v>
      </c>
      <c r="X3501" s="44">
        <f t="shared" si="261"/>
        <v>0</v>
      </c>
      <c r="Y3501" s="44">
        <f t="shared" si="262"/>
        <v>0</v>
      </c>
    </row>
    <row r="3502" spans="23:25">
      <c r="W3502" s="44">
        <f t="shared" si="260"/>
        <v>0</v>
      </c>
      <c r="X3502" s="44">
        <f t="shared" si="261"/>
        <v>0</v>
      </c>
      <c r="Y3502" s="44">
        <f t="shared" si="262"/>
        <v>0</v>
      </c>
    </row>
    <row r="3503" spans="23:25">
      <c r="W3503" s="44">
        <f t="shared" si="260"/>
        <v>0</v>
      </c>
      <c r="X3503" s="44">
        <f t="shared" si="261"/>
        <v>0</v>
      </c>
      <c r="Y3503" s="44">
        <f t="shared" si="262"/>
        <v>0</v>
      </c>
    </row>
    <row r="3504" spans="23:25">
      <c r="W3504" s="44">
        <f t="shared" si="260"/>
        <v>0</v>
      </c>
      <c r="X3504" s="44">
        <f t="shared" si="261"/>
        <v>0</v>
      </c>
      <c r="Y3504" s="44">
        <f t="shared" si="262"/>
        <v>0</v>
      </c>
    </row>
    <row r="3505" spans="23:25">
      <c r="W3505" s="44">
        <f t="shared" si="260"/>
        <v>0</v>
      </c>
      <c r="X3505" s="44">
        <f t="shared" si="261"/>
        <v>0</v>
      </c>
      <c r="Y3505" s="44">
        <f t="shared" si="262"/>
        <v>0</v>
      </c>
    </row>
    <row r="3506" spans="23:25">
      <c r="W3506" s="44">
        <f t="shared" si="260"/>
        <v>0</v>
      </c>
      <c r="X3506" s="44">
        <f t="shared" si="261"/>
        <v>0</v>
      </c>
      <c r="Y3506" s="44">
        <f t="shared" si="262"/>
        <v>0</v>
      </c>
    </row>
    <row r="3507" spans="23:25">
      <c r="W3507" s="44">
        <f t="shared" ref="W3507:W3522" si="263">+T3507-U3507-V3507-Z3507</f>
        <v>0</v>
      </c>
      <c r="X3507" s="44">
        <f t="shared" si="261"/>
        <v>0</v>
      </c>
      <c r="Y3507" s="44">
        <f t="shared" si="262"/>
        <v>0</v>
      </c>
    </row>
    <row r="3508" spans="23:25">
      <c r="W3508" s="44">
        <f t="shared" si="263"/>
        <v>0</v>
      </c>
      <c r="X3508" s="44">
        <f t="shared" si="261"/>
        <v>0</v>
      </c>
      <c r="Y3508" s="44">
        <f t="shared" si="262"/>
        <v>0</v>
      </c>
    </row>
    <row r="3509" spans="23:25">
      <c r="W3509" s="44">
        <f t="shared" si="263"/>
        <v>0</v>
      </c>
      <c r="X3509" s="44">
        <f t="shared" si="261"/>
        <v>0</v>
      </c>
      <c r="Y3509" s="44">
        <f t="shared" si="262"/>
        <v>0</v>
      </c>
    </row>
    <row r="3510" spans="23:25">
      <c r="W3510" s="44">
        <f t="shared" si="263"/>
        <v>0</v>
      </c>
      <c r="X3510" s="44">
        <f t="shared" si="261"/>
        <v>0</v>
      </c>
      <c r="Y3510" s="44">
        <f t="shared" si="262"/>
        <v>0</v>
      </c>
    </row>
    <row r="3511" spans="23:25">
      <c r="W3511" s="44">
        <f t="shared" si="263"/>
        <v>0</v>
      </c>
      <c r="X3511" s="44">
        <f t="shared" si="261"/>
        <v>0</v>
      </c>
      <c r="Y3511" s="44">
        <f t="shared" si="262"/>
        <v>0</v>
      </c>
    </row>
    <row r="3512" spans="23:25">
      <c r="W3512" s="44">
        <f t="shared" si="263"/>
        <v>0</v>
      </c>
      <c r="X3512" s="44">
        <f t="shared" si="261"/>
        <v>0</v>
      </c>
      <c r="Y3512" s="44">
        <f t="shared" si="262"/>
        <v>0</v>
      </c>
    </row>
    <row r="3513" spans="23:25">
      <c r="W3513" s="44">
        <f t="shared" si="263"/>
        <v>0</v>
      </c>
      <c r="X3513" s="44">
        <f t="shared" si="261"/>
        <v>0</v>
      </c>
      <c r="Y3513" s="44">
        <f t="shared" si="262"/>
        <v>0</v>
      </c>
    </row>
    <row r="3514" spans="23:25">
      <c r="W3514" s="44">
        <f t="shared" si="263"/>
        <v>0</v>
      </c>
      <c r="X3514" s="44">
        <f t="shared" si="261"/>
        <v>0</v>
      </c>
      <c r="Y3514" s="44">
        <f t="shared" si="262"/>
        <v>0</v>
      </c>
    </row>
    <row r="3515" spans="23:25">
      <c r="W3515" s="44">
        <f t="shared" si="263"/>
        <v>0</v>
      </c>
      <c r="X3515" s="44">
        <f t="shared" si="261"/>
        <v>0</v>
      </c>
      <c r="Y3515" s="44">
        <f t="shared" si="262"/>
        <v>0</v>
      </c>
    </row>
    <row r="3516" spans="23:25">
      <c r="W3516" s="44">
        <f t="shared" si="263"/>
        <v>0</v>
      </c>
      <c r="X3516" s="44">
        <f t="shared" si="261"/>
        <v>0</v>
      </c>
      <c r="Y3516" s="44">
        <f t="shared" si="262"/>
        <v>0</v>
      </c>
    </row>
    <row r="3517" spans="23:25">
      <c r="W3517" s="44">
        <f t="shared" si="263"/>
        <v>0</v>
      </c>
      <c r="X3517" s="44">
        <f t="shared" si="261"/>
        <v>0</v>
      </c>
      <c r="Y3517" s="44">
        <f t="shared" si="262"/>
        <v>0</v>
      </c>
    </row>
    <row r="3518" spans="23:25">
      <c r="W3518" s="44">
        <f t="shared" si="263"/>
        <v>0</v>
      </c>
      <c r="X3518" s="44">
        <f t="shared" si="261"/>
        <v>0</v>
      </c>
      <c r="Y3518" s="44">
        <f t="shared" si="262"/>
        <v>0</v>
      </c>
    </row>
    <row r="3519" spans="23:25">
      <c r="W3519" s="44">
        <f t="shared" si="263"/>
        <v>0</v>
      </c>
      <c r="X3519" s="44">
        <f t="shared" si="261"/>
        <v>0</v>
      </c>
      <c r="Y3519" s="44">
        <f t="shared" si="262"/>
        <v>0</v>
      </c>
    </row>
    <row r="3520" spans="23:25">
      <c r="W3520" s="44">
        <f t="shared" si="263"/>
        <v>0</v>
      </c>
      <c r="X3520" s="44">
        <f t="shared" si="261"/>
        <v>0</v>
      </c>
      <c r="Y3520" s="44">
        <f t="shared" si="262"/>
        <v>0</v>
      </c>
    </row>
    <row r="3521" spans="23:25">
      <c r="W3521" s="44">
        <f t="shared" si="263"/>
        <v>0</v>
      </c>
      <c r="X3521" s="44">
        <f t="shared" si="261"/>
        <v>0</v>
      </c>
      <c r="Y3521" s="44">
        <f t="shared" si="262"/>
        <v>0</v>
      </c>
    </row>
    <row r="3522" spans="23:25">
      <c r="W3522" s="44">
        <f t="shared" si="263"/>
        <v>0</v>
      </c>
      <c r="X3522" s="44">
        <f t="shared" si="261"/>
        <v>0</v>
      </c>
      <c r="Y3522" s="44">
        <f t="shared" si="262"/>
        <v>0</v>
      </c>
    </row>
  </sheetData>
  <phoneticPr fontId="0" type="noConversion"/>
  <conditionalFormatting sqref="R1056:R65536 R1:R4">
    <cfRule type="cellIs" dxfId="1" priority="1" stopIfTrue="1" operator="equal">
      <formula>"Y"</formula>
    </cfRule>
    <cfRule type="cellIs" dxfId="0" priority="2" stopIfTrue="1" operator="equal">
      <formula>"N"</formula>
    </cfRule>
  </conditionalFormatting>
  <dataValidations count="1">
    <dataValidation type="list" allowBlank="1" showInputMessage="1" showErrorMessage="1" sqref="C4:D4">
      <formula1>$A$2952:$A$3004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Calender</vt:lpstr>
      <vt:lpstr>sales per week</vt:lpstr>
    </vt:vector>
  </TitlesOfParts>
  <Company>ICI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varavv01</dc:creator>
  <cp:lastModifiedBy>Lenovo</cp:lastModifiedBy>
  <dcterms:created xsi:type="dcterms:W3CDTF">2007-01-13T09:25:44Z</dcterms:created>
  <dcterms:modified xsi:type="dcterms:W3CDTF">2018-04-13T04:31:41Z</dcterms:modified>
</cp:coreProperties>
</file>